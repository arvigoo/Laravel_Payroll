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AppData\Local\Packages\5319275A.WhatsAppDesktop_cv1g1gvanyjgm\LocalState\sessions\7388A25C50DBA4B9A168D5322A564EE640FB0492\transfers\2026-03\"/>
    </mc:Choice>
  </mc:AlternateContent>
  <xr:revisionPtr revIDLastSave="0" documentId="13_ncr:1_{3F4F6AC2-AE0C-41FD-BA3E-A6A2B2834382}" xr6:coauthVersionLast="47" xr6:coauthVersionMax="47" xr10:uidLastSave="{00000000-0000-0000-0000-000000000000}"/>
  <bookViews>
    <workbookView xWindow="-120" yWindow="-120" windowWidth="20730" windowHeight="11160" tabRatio="783" firstSheet="4" activeTab="9" xr2:uid="{00000000-000D-0000-FFFF-FFFF00000000}"/>
  </bookViews>
  <sheets>
    <sheet name="DIREKSI" sheetId="17" r:id="rId1"/>
    <sheet name="STAFF" sheetId="1" r:id="rId2"/>
    <sheet name="SLIP-STAFF" sheetId="18" r:id="rId3"/>
    <sheet name="GENERAL" sheetId="13" r:id="rId4"/>
    <sheet name="SLIP-GENERAL" sheetId="21" r:id="rId5"/>
    <sheet name="PRODUKSI 1" sheetId="12" r:id="rId6"/>
    <sheet name="SLIP-PRODUKSI 1" sheetId="19" r:id="rId7"/>
    <sheet name="PRODUKSI 2" sheetId="11" r:id="rId8"/>
    <sheet name="SLIP-PRODUKSI 2" sheetId="20" r:id="rId9"/>
    <sheet name="DIREKSI ubah nama" sheetId="25" r:id="rId10"/>
    <sheet name="STAFF ubah nama" sheetId="22" r:id="rId11"/>
    <sheet name="PRODUKSI ubah nama" sheetId="23" r:id="rId12"/>
  </sheets>
  <externalReferences>
    <externalReference r:id="rId13"/>
    <externalReference r:id="rId14"/>
    <externalReference r:id="rId15"/>
  </externalReferences>
  <definedNames>
    <definedName name="_xlnm._FilterDatabase" localSheetId="0" hidden="1">DIREKSI!#REF!</definedName>
    <definedName name="_xlnm._FilterDatabase" localSheetId="9" hidden="1">'DIREKSI ubah nama'!#REF!</definedName>
    <definedName name="_xlnm._FilterDatabase" localSheetId="3">GENERAL!#REF!</definedName>
    <definedName name="_xlnm._FilterDatabase" localSheetId="5">'PRODUKSI 1'!#REF!</definedName>
    <definedName name="_xlnm._FilterDatabase" localSheetId="7">'PRODUKSI 2'!#REF!</definedName>
    <definedName name="_xlnm._FilterDatabase" localSheetId="11">'PRODUKSI ubah nama'!#REF!</definedName>
    <definedName name="_xlnm._FilterDatabase" localSheetId="1">STAFF!#REF!</definedName>
    <definedName name="_xlnm._FilterDatabase" localSheetId="10">'STAFF ubah nama'!#REF!</definedName>
    <definedName name="d" localSheetId="5">#REF!</definedName>
    <definedName name="d" localSheetId="7">#REF!</definedName>
    <definedName name="d" localSheetId="11">#REF!</definedName>
    <definedName name="_xlnm.Print_Area" localSheetId="0">DIREKSI!$A$1:$N$12</definedName>
    <definedName name="_xlnm.Print_Area" localSheetId="9">'DIREKSI ubah nama'!$A$1:$N$12</definedName>
    <definedName name="_xlnm.Print_Area" localSheetId="3">GENERAL!$A$1:$AB$25</definedName>
    <definedName name="_xlnm.Print_Area" localSheetId="5">'PRODUKSI 1'!$A$1:$AI$45</definedName>
    <definedName name="_xlnm.Print_Area" localSheetId="7">'PRODUKSI 2'!$A$1:$AJ$45</definedName>
    <definedName name="_xlnm.Print_Area" localSheetId="11">'PRODUKSI ubah nama'!$A$1:$AI$20</definedName>
    <definedName name="_xlnm.Print_Area" localSheetId="4">'SLIP-GENERAL'!$A$106:$S$174</definedName>
    <definedName name="_xlnm.Print_Area" localSheetId="6">'SLIP-PRODUKSI 1'!$A$1:$S$71</definedName>
    <definedName name="_xlnm.Print_Area" localSheetId="8">'SLIP-PRODUKSI 2'!$A$403:$I$437</definedName>
    <definedName name="_xlnm.Print_Area" localSheetId="2">'SLIP-STAFF'!$K$276:$S$306</definedName>
    <definedName name="_xlnm.Print_Area" localSheetId="1">STAFF!$A$1:$AA$29</definedName>
    <definedName name="_xlnm.Print_Area" localSheetId="10">'STAFF ubah nama'!$A$1:$AA$24</definedName>
    <definedName name="_xlnm.Print_Titles" localSheetId="5">'PRODUKSI 1'!$1:$8</definedName>
    <definedName name="_xlnm.Print_Titles" localSheetId="7">'PRODUKSI 2'!$1:$8</definedName>
    <definedName name="_xlnm.Print_Titles" localSheetId="11">'PRODUKSI ubah nama'!$1:$8</definedName>
    <definedName name="s">'[1]SLIP-STAFF'!#REF!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25" l="1"/>
  <c r="N10" i="25"/>
  <c r="M12" i="25"/>
  <c r="J12" i="25"/>
  <c r="I12" i="25"/>
  <c r="H12" i="25"/>
  <c r="G12" i="25"/>
  <c r="L10" i="25"/>
  <c r="L12" i="25" s="1"/>
  <c r="F10" i="25"/>
  <c r="F12" i="25" s="1"/>
  <c r="S24" i="23"/>
  <c r="AH20" i="23"/>
  <c r="U20" i="23"/>
  <c r="T20" i="23"/>
  <c r="S20" i="23"/>
  <c r="O20" i="23"/>
  <c r="L20" i="23"/>
  <c r="K20" i="23"/>
  <c r="J20" i="23"/>
  <c r="I20" i="23"/>
  <c r="H20" i="23"/>
  <c r="F20" i="23"/>
  <c r="AF20" i="23"/>
  <c r="AR18" i="23"/>
  <c r="AE18" i="23"/>
  <c r="AD18" i="23"/>
  <c r="AC18" i="23"/>
  <c r="AG18" i="23" s="1"/>
  <c r="Z18" i="23"/>
  <c r="Y18" i="23"/>
  <c r="X18" i="23"/>
  <c r="W18" i="23"/>
  <c r="Q18" i="23"/>
  <c r="R18" i="23" s="1"/>
  <c r="V18" i="23" s="1"/>
  <c r="AR17" i="23"/>
  <c r="AE17" i="23"/>
  <c r="AD17" i="23"/>
  <c r="AC17" i="23"/>
  <c r="Z17" i="23"/>
  <c r="Y17" i="23"/>
  <c r="X17" i="23"/>
  <c r="W17" i="23"/>
  <c r="Q17" i="23"/>
  <c r="R17" i="23" s="1"/>
  <c r="V17" i="23" s="1"/>
  <c r="AR16" i="23"/>
  <c r="AG16" i="23"/>
  <c r="AE16" i="23"/>
  <c r="AD16" i="23"/>
  <c r="AC16" i="23"/>
  <c r="Z16" i="23"/>
  <c r="Y16" i="23"/>
  <c r="X16" i="23"/>
  <c r="W16" i="23"/>
  <c r="Q16" i="23"/>
  <c r="R16" i="23" s="1"/>
  <c r="V16" i="23" s="1"/>
  <c r="AR15" i="23"/>
  <c r="AE15" i="23"/>
  <c r="AD15" i="23"/>
  <c r="AC15" i="23"/>
  <c r="AG15" i="23" s="1"/>
  <c r="Z15" i="23"/>
  <c r="Y15" i="23"/>
  <c r="X15" i="23"/>
  <c r="W15" i="23"/>
  <c r="AA15" i="23" s="1"/>
  <c r="Q15" i="23"/>
  <c r="R15" i="23" s="1"/>
  <c r="V15" i="23" s="1"/>
  <c r="AR14" i="23"/>
  <c r="AE14" i="23"/>
  <c r="AD14" i="23"/>
  <c r="AC14" i="23"/>
  <c r="AG14" i="23" s="1"/>
  <c r="Z14" i="23"/>
  <c r="Y14" i="23"/>
  <c r="X14" i="23"/>
  <c r="W14" i="23"/>
  <c r="AA14" i="23" s="1"/>
  <c r="Q14" i="23"/>
  <c r="R14" i="23" s="1"/>
  <c r="V14" i="23" s="1"/>
  <c r="AR13" i="23"/>
  <c r="AE13" i="23"/>
  <c r="AD13" i="23"/>
  <c r="AC13" i="23"/>
  <c r="Z13" i="23"/>
  <c r="Y13" i="23"/>
  <c r="X13" i="23"/>
  <c r="W13" i="23"/>
  <c r="Q13" i="23"/>
  <c r="R13" i="23" s="1"/>
  <c r="V13" i="23" s="1"/>
  <c r="AR12" i="23"/>
  <c r="AE12" i="23"/>
  <c r="AD12" i="23"/>
  <c r="AC12" i="23"/>
  <c r="AG12" i="23" s="1"/>
  <c r="Z12" i="23"/>
  <c r="Y12" i="23"/>
  <c r="X12" i="23"/>
  <c r="W12" i="23"/>
  <c r="Q12" i="23"/>
  <c r="R12" i="23" s="1"/>
  <c r="V12" i="23" s="1"/>
  <c r="AR11" i="23"/>
  <c r="AE11" i="23"/>
  <c r="AD11" i="23"/>
  <c r="AC11" i="23"/>
  <c r="Z11" i="23"/>
  <c r="Y11" i="23"/>
  <c r="X11" i="23"/>
  <c r="W11" i="23"/>
  <c r="Q11" i="23"/>
  <c r="R11" i="23" s="1"/>
  <c r="V11" i="23" s="1"/>
  <c r="AR10" i="23"/>
  <c r="AE10" i="23"/>
  <c r="AD10" i="23"/>
  <c r="AC10" i="23"/>
  <c r="AG10" i="23" s="1"/>
  <c r="Z10" i="23"/>
  <c r="Y10" i="23"/>
  <c r="X10" i="23"/>
  <c r="W10" i="23"/>
  <c r="AA10" i="23" s="1"/>
  <c r="Q10" i="23"/>
  <c r="R10" i="23" s="1"/>
  <c r="V10" i="23" s="1"/>
  <c r="AR9" i="23"/>
  <c r="AE9" i="23"/>
  <c r="AD9" i="23"/>
  <c r="AD20" i="23" s="1"/>
  <c r="AC9" i="23"/>
  <c r="Z9" i="23"/>
  <c r="Y9" i="23"/>
  <c r="X9" i="23"/>
  <c r="W9" i="23"/>
  <c r="Q9" i="23"/>
  <c r="R9" i="23" s="1"/>
  <c r="Q16" i="12"/>
  <c r="R16" i="12" s="1"/>
  <c r="V16" i="12" s="1"/>
  <c r="W16" i="12"/>
  <c r="X16" i="12"/>
  <c r="Y16" i="12"/>
  <c r="Z16" i="12"/>
  <c r="AA16" i="12"/>
  <c r="AC16" i="12"/>
  <c r="AD16" i="12"/>
  <c r="AG16" i="12" s="1"/>
  <c r="AE16" i="12"/>
  <c r="AN16" i="12"/>
  <c r="AO16" i="12" s="1"/>
  <c r="AR16" i="12"/>
  <c r="Q17" i="12"/>
  <c r="R17" i="12" s="1"/>
  <c r="V17" i="12" s="1"/>
  <c r="W17" i="12"/>
  <c r="X17" i="12"/>
  <c r="Y17" i="12"/>
  <c r="Z17" i="12"/>
  <c r="AC17" i="12"/>
  <c r="AD17" i="12"/>
  <c r="AE17" i="12"/>
  <c r="AG17" i="12"/>
  <c r="AR17" i="12"/>
  <c r="Q18" i="12"/>
  <c r="R18" i="12" s="1"/>
  <c r="V18" i="12"/>
  <c r="W18" i="12"/>
  <c r="X18" i="12"/>
  <c r="Y18" i="12"/>
  <c r="Z18" i="12"/>
  <c r="AA18" i="12" s="1"/>
  <c r="AC18" i="12"/>
  <c r="AD18" i="12"/>
  <c r="AE18" i="12"/>
  <c r="AR18" i="12"/>
  <c r="Q19" i="12"/>
  <c r="R19" i="12"/>
  <c r="V19" i="12" s="1"/>
  <c r="AN19" i="12" s="1"/>
  <c r="AO19" i="12" s="1"/>
  <c r="W19" i="12"/>
  <c r="X19" i="12"/>
  <c r="AA19" i="12" s="1"/>
  <c r="AB19" i="12" s="1"/>
  <c r="Y19" i="12"/>
  <c r="Z19" i="12"/>
  <c r="AC19" i="12"/>
  <c r="AG19" i="12" s="1"/>
  <c r="AI19" i="12" s="1"/>
  <c r="AD19" i="12"/>
  <c r="AE19" i="12"/>
  <c r="AR19" i="12"/>
  <c r="Q20" i="12"/>
  <c r="R20" i="12" s="1"/>
  <c r="V20" i="12"/>
  <c r="W20" i="12"/>
  <c r="X20" i="12"/>
  <c r="Y20" i="12"/>
  <c r="Z20" i="12"/>
  <c r="AA20" i="12"/>
  <c r="AC20" i="12"/>
  <c r="AD20" i="12"/>
  <c r="AE20" i="12"/>
  <c r="AN20" i="12"/>
  <c r="AR20" i="12"/>
  <c r="Q21" i="12"/>
  <c r="R21" i="12" s="1"/>
  <c r="V21" i="12" s="1"/>
  <c r="W21" i="12"/>
  <c r="X21" i="12"/>
  <c r="Y21" i="12"/>
  <c r="Z21" i="12"/>
  <c r="AC21" i="12"/>
  <c r="AD21" i="12"/>
  <c r="AE21" i="12"/>
  <c r="AG21" i="12"/>
  <c r="AR21" i="12"/>
  <c r="Q22" i="12"/>
  <c r="R22" i="12" s="1"/>
  <c r="V22" i="12"/>
  <c r="AN22" i="12" s="1"/>
  <c r="W22" i="12"/>
  <c r="X22" i="12"/>
  <c r="Y22" i="12"/>
  <c r="Z22" i="12"/>
  <c r="AA22" i="12" s="1"/>
  <c r="AC22" i="12"/>
  <c r="AD22" i="12"/>
  <c r="AE22" i="12"/>
  <c r="AR22" i="12"/>
  <c r="Q23" i="12"/>
  <c r="R23" i="12"/>
  <c r="V23" i="12" s="1"/>
  <c r="AN23" i="12" s="1"/>
  <c r="AO23" i="12" s="1"/>
  <c r="W23" i="12"/>
  <c r="X23" i="12"/>
  <c r="AA23" i="12" s="1"/>
  <c r="Y23" i="12"/>
  <c r="Z23" i="12"/>
  <c r="AC23" i="12"/>
  <c r="AG23" i="12" s="1"/>
  <c r="AD23" i="12"/>
  <c r="AE23" i="12"/>
  <c r="AR23" i="12"/>
  <c r="Q24" i="12"/>
  <c r="R24" i="12" s="1"/>
  <c r="V24" i="12" s="1"/>
  <c r="W24" i="12"/>
  <c r="X24" i="12"/>
  <c r="Y24" i="12"/>
  <c r="Z24" i="12"/>
  <c r="AA24" i="12"/>
  <c r="AC24" i="12"/>
  <c r="AD24" i="12"/>
  <c r="AG24" i="12" s="1"/>
  <c r="AE24" i="12"/>
  <c r="AR24" i="12"/>
  <c r="Q25" i="12"/>
  <c r="R25" i="12" s="1"/>
  <c r="V25" i="12" s="1"/>
  <c r="W25" i="12"/>
  <c r="X25" i="12"/>
  <c r="Y25" i="12"/>
  <c r="Z25" i="12"/>
  <c r="AC25" i="12"/>
  <c r="AD25" i="12"/>
  <c r="AE25" i="12"/>
  <c r="AG25" i="12"/>
  <c r="AR25" i="12"/>
  <c r="Q26" i="12"/>
  <c r="R26" i="12" s="1"/>
  <c r="V26" i="12"/>
  <c r="W26" i="12"/>
  <c r="X26" i="12"/>
  <c r="Y26" i="12"/>
  <c r="Z26" i="12"/>
  <c r="AA26" i="12" s="1"/>
  <c r="AC26" i="12"/>
  <c r="AD26" i="12"/>
  <c r="AE26" i="12"/>
  <c r="AR26" i="12"/>
  <c r="Q27" i="12"/>
  <c r="R27" i="12"/>
  <c r="V27" i="12" s="1"/>
  <c r="AN27" i="12" s="1"/>
  <c r="AO27" i="12" s="1"/>
  <c r="W27" i="12"/>
  <c r="X27" i="12"/>
  <c r="AA27" i="12" s="1"/>
  <c r="Y27" i="12"/>
  <c r="Z27" i="12"/>
  <c r="AC27" i="12"/>
  <c r="AG27" i="12" s="1"/>
  <c r="AI27" i="12" s="1"/>
  <c r="AD27" i="12"/>
  <c r="AE27" i="12"/>
  <c r="AR27" i="12"/>
  <c r="Q28" i="12"/>
  <c r="R28" i="12" s="1"/>
  <c r="V28" i="12" s="1"/>
  <c r="W28" i="12"/>
  <c r="X28" i="12"/>
  <c r="Y28" i="12"/>
  <c r="Z28" i="12"/>
  <c r="AA28" i="12"/>
  <c r="AC28" i="12"/>
  <c r="AD28" i="12"/>
  <c r="AG28" i="12" s="1"/>
  <c r="AE28" i="12"/>
  <c r="AR28" i="12"/>
  <c r="Q29" i="12"/>
  <c r="R29" i="12" s="1"/>
  <c r="V29" i="12" s="1"/>
  <c r="W29" i="12"/>
  <c r="X29" i="12"/>
  <c r="Y29" i="12"/>
  <c r="Z29" i="12"/>
  <c r="AC29" i="12"/>
  <c r="AG29" i="12" s="1"/>
  <c r="AD29" i="12"/>
  <c r="AE29" i="12"/>
  <c r="AR29" i="12"/>
  <c r="Q30" i="12"/>
  <c r="R30" i="12" s="1"/>
  <c r="V30" i="12"/>
  <c r="W30" i="12"/>
  <c r="X30" i="12"/>
  <c r="AA30" i="12" s="1"/>
  <c r="Y30" i="12"/>
  <c r="Z30" i="12"/>
  <c r="AB30" i="12"/>
  <c r="AC30" i="12"/>
  <c r="AD30" i="12"/>
  <c r="AE30" i="12"/>
  <c r="AG30" i="12"/>
  <c r="AR30" i="12"/>
  <c r="Q31" i="12"/>
  <c r="R31" i="12"/>
  <c r="V31" i="12" s="1"/>
  <c r="W31" i="12"/>
  <c r="X31" i="12"/>
  <c r="Y31" i="12"/>
  <c r="Z31" i="12"/>
  <c r="AC31" i="12"/>
  <c r="AD31" i="12"/>
  <c r="AG31" i="12" s="1"/>
  <c r="AE31" i="12"/>
  <c r="AN31" i="12"/>
  <c r="AR31" i="12"/>
  <c r="Q32" i="12"/>
  <c r="R32" i="12" s="1"/>
  <c r="V32" i="12" s="1"/>
  <c r="W32" i="12"/>
  <c r="X32" i="12"/>
  <c r="Y32" i="12"/>
  <c r="Z32" i="12"/>
  <c r="AA32" i="12"/>
  <c r="AC32" i="12"/>
  <c r="AD32" i="12"/>
  <c r="AE32" i="12"/>
  <c r="AR32" i="12"/>
  <c r="Q33" i="12"/>
  <c r="R33" i="12" s="1"/>
  <c r="V33" i="12" s="1"/>
  <c r="W33" i="12"/>
  <c r="X33" i="12"/>
  <c r="AA33" i="12" s="1"/>
  <c r="Y33" i="12"/>
  <c r="Z33" i="12"/>
  <c r="AC33" i="12"/>
  <c r="AG33" i="12" s="1"/>
  <c r="AI33" i="12" s="1"/>
  <c r="AD33" i="12"/>
  <c r="AE33" i="12"/>
  <c r="AR33" i="12"/>
  <c r="Q34" i="12"/>
  <c r="R34" i="12" s="1"/>
  <c r="V34" i="12"/>
  <c r="W34" i="12"/>
  <c r="X34" i="12"/>
  <c r="AA34" i="12" s="1"/>
  <c r="Y34" i="12"/>
  <c r="Z34" i="12"/>
  <c r="AC34" i="12"/>
  <c r="AD34" i="12"/>
  <c r="AG34" i="12" s="1"/>
  <c r="AE34" i="12"/>
  <c r="AR34" i="12"/>
  <c r="Q35" i="12"/>
  <c r="R35" i="12"/>
  <c r="V35" i="12" s="1"/>
  <c r="W35" i="12"/>
  <c r="X35" i="12"/>
  <c r="Y35" i="12"/>
  <c r="Z35" i="12"/>
  <c r="AC35" i="12"/>
  <c r="AD35" i="12"/>
  <c r="AE35" i="12"/>
  <c r="AG35" i="12"/>
  <c r="AR35" i="12"/>
  <c r="Q36" i="12"/>
  <c r="R36" i="12" s="1"/>
  <c r="V36" i="12" s="1"/>
  <c r="AN36" i="12" s="1"/>
  <c r="W36" i="12"/>
  <c r="X36" i="12"/>
  <c r="Y36" i="12"/>
  <c r="Z36" i="12"/>
  <c r="AA36" i="12"/>
  <c r="AC36" i="12"/>
  <c r="AD36" i="12"/>
  <c r="AG36" i="12" s="1"/>
  <c r="AE36" i="12"/>
  <c r="AR36" i="12"/>
  <c r="Q37" i="12"/>
  <c r="R37" i="12" s="1"/>
  <c r="V37" i="12" s="1"/>
  <c r="W37" i="12"/>
  <c r="X37" i="12"/>
  <c r="Y37" i="12"/>
  <c r="Z37" i="12"/>
  <c r="AC37" i="12"/>
  <c r="AG37" i="12" s="1"/>
  <c r="AD37" i="12"/>
  <c r="AE37" i="12"/>
  <c r="AR37" i="12"/>
  <c r="Q38" i="12"/>
  <c r="R38" i="12" s="1"/>
  <c r="V38" i="12"/>
  <c r="W38" i="12"/>
  <c r="X38" i="12"/>
  <c r="AA38" i="12" s="1"/>
  <c r="Y38" i="12"/>
  <c r="Z38" i="12"/>
  <c r="AB38" i="12"/>
  <c r="AC38" i="12"/>
  <c r="AD38" i="12"/>
  <c r="AE38" i="12"/>
  <c r="AF38" i="12"/>
  <c r="AN38" i="12"/>
  <c r="AO38" i="12" s="1"/>
  <c r="AR38" i="12"/>
  <c r="Q39" i="12"/>
  <c r="R39" i="12" s="1"/>
  <c r="V39" i="12" s="1"/>
  <c r="W39" i="12"/>
  <c r="X39" i="12"/>
  <c r="Y39" i="12"/>
  <c r="AA39" i="12" s="1"/>
  <c r="Z39" i="12"/>
  <c r="AC39" i="12"/>
  <c r="AG39" i="12" s="1"/>
  <c r="AD39" i="12"/>
  <c r="AE39" i="12"/>
  <c r="AR39" i="12"/>
  <c r="Q40" i="12"/>
  <c r="R40" i="12"/>
  <c r="V40" i="12"/>
  <c r="AI40" i="12" s="1"/>
  <c r="W40" i="12"/>
  <c r="X40" i="12"/>
  <c r="Y40" i="12"/>
  <c r="AA40" i="12" s="1"/>
  <c r="Z40" i="12"/>
  <c r="AC40" i="12"/>
  <c r="AG40" i="12" s="1"/>
  <c r="AD40" i="12"/>
  <c r="AE40" i="12"/>
  <c r="AN40" i="12"/>
  <c r="AR40" i="12"/>
  <c r="Q41" i="12"/>
  <c r="R41" i="12" s="1"/>
  <c r="V41" i="12" s="1"/>
  <c r="W41" i="12"/>
  <c r="X41" i="12"/>
  <c r="AA41" i="12" s="1"/>
  <c r="AB41" i="12" s="1"/>
  <c r="Y41" i="12"/>
  <c r="Z41" i="12"/>
  <c r="AC41" i="12"/>
  <c r="AD41" i="12"/>
  <c r="AE41" i="12"/>
  <c r="AF41" i="12"/>
  <c r="AR41" i="12"/>
  <c r="Q42" i="12"/>
  <c r="R42" i="12"/>
  <c r="V42" i="12" s="1"/>
  <c r="AI42" i="12" s="1"/>
  <c r="W42" i="12"/>
  <c r="X42" i="12"/>
  <c r="Y42" i="12"/>
  <c r="AA42" i="12" s="1"/>
  <c r="Z42" i="12"/>
  <c r="AC42" i="12"/>
  <c r="AG42" i="12" s="1"/>
  <c r="AD42" i="12"/>
  <c r="AE42" i="12"/>
  <c r="AR42" i="12"/>
  <c r="Q43" i="12"/>
  <c r="R43" i="12"/>
  <c r="V43" i="12"/>
  <c r="W43" i="12"/>
  <c r="AN43" i="12" s="1"/>
  <c r="X43" i="12"/>
  <c r="Y43" i="12"/>
  <c r="Z43" i="12"/>
  <c r="AA43" i="12"/>
  <c r="AC43" i="12"/>
  <c r="AG43" i="12" s="1"/>
  <c r="AD43" i="12"/>
  <c r="AE43" i="12"/>
  <c r="AO43" i="12"/>
  <c r="AR43" i="12"/>
  <c r="H10" i="13"/>
  <c r="O10" i="22"/>
  <c r="AD10" i="1"/>
  <c r="N10" i="1"/>
  <c r="Z23" i="22"/>
  <c r="Z24" i="22" s="1"/>
  <c r="M23" i="22"/>
  <c r="L23" i="22"/>
  <c r="K23" i="22"/>
  <c r="J23" i="22"/>
  <c r="I23" i="22"/>
  <c r="H23" i="22"/>
  <c r="G23" i="22"/>
  <c r="AJ21" i="22"/>
  <c r="AD21" i="22"/>
  <c r="V21" i="22" s="1"/>
  <c r="N21" i="22"/>
  <c r="AJ20" i="22"/>
  <c r="AD20" i="22"/>
  <c r="U20" i="22" s="1"/>
  <c r="N20" i="22"/>
  <c r="AE20" i="22" s="1"/>
  <c r="R20" i="22" s="1"/>
  <c r="AJ19" i="22"/>
  <c r="AD19" i="22"/>
  <c r="U19" i="22" s="1"/>
  <c r="N19" i="22"/>
  <c r="AJ18" i="22"/>
  <c r="AD18" i="22"/>
  <c r="U18" i="22" s="1"/>
  <c r="N18" i="22"/>
  <c r="AE18" i="22" s="1"/>
  <c r="AJ17" i="22"/>
  <c r="AD17" i="22"/>
  <c r="V17" i="22" s="1"/>
  <c r="N17" i="22"/>
  <c r="AE17" i="22" s="1"/>
  <c r="AJ16" i="22"/>
  <c r="AD16" i="22"/>
  <c r="U16" i="22" s="1"/>
  <c r="N16" i="22"/>
  <c r="AE16" i="22" s="1"/>
  <c r="AJ15" i="22"/>
  <c r="AD15" i="22"/>
  <c r="O15" i="22" s="1"/>
  <c r="N15" i="22"/>
  <c r="AE15" i="22" s="1"/>
  <c r="R15" i="22" s="1"/>
  <c r="AJ14" i="22"/>
  <c r="AD14" i="22"/>
  <c r="O14" i="22" s="1"/>
  <c r="N14" i="22"/>
  <c r="AE14" i="22" s="1"/>
  <c r="AJ13" i="22"/>
  <c r="AD13" i="22"/>
  <c r="P13" i="22" s="1"/>
  <c r="N13" i="22"/>
  <c r="AJ12" i="22"/>
  <c r="AD12" i="22"/>
  <c r="U12" i="22" s="1"/>
  <c r="N12" i="22"/>
  <c r="AE12" i="22" s="1"/>
  <c r="AJ11" i="22"/>
  <c r="AD11" i="22"/>
  <c r="N11" i="22"/>
  <c r="AE11" i="22" s="1"/>
  <c r="R11" i="22" s="1"/>
  <c r="AJ10" i="22"/>
  <c r="AD10" i="22"/>
  <c r="N10" i="22"/>
  <c r="AE10" i="22" s="1"/>
  <c r="W10" i="22" s="1"/>
  <c r="AJ9" i="22"/>
  <c r="N9" i="22"/>
  <c r="Z28" i="1"/>
  <c r="N12" i="25" l="1"/>
  <c r="K12" i="25"/>
  <c r="Y20" i="23"/>
  <c r="AA16" i="23"/>
  <c r="AB16" i="23" s="1"/>
  <c r="AA17" i="23"/>
  <c r="AG17" i="23"/>
  <c r="AI17" i="23" s="1"/>
  <c r="Z20" i="23"/>
  <c r="AA11" i="23"/>
  <c r="AB11" i="23" s="1"/>
  <c r="AA18" i="23"/>
  <c r="AC20" i="23"/>
  <c r="AG11" i="23"/>
  <c r="AI11" i="23" s="1"/>
  <c r="AA12" i="23"/>
  <c r="AB12" i="23" s="1"/>
  <c r="AA13" i="23"/>
  <c r="AG13" i="23"/>
  <c r="AI13" i="23" s="1"/>
  <c r="AN16" i="23"/>
  <c r="AI16" i="23"/>
  <c r="AN11" i="23"/>
  <c r="AN18" i="23"/>
  <c r="AB18" i="23"/>
  <c r="AI18" i="23"/>
  <c r="AN12" i="23"/>
  <c r="AI12" i="23"/>
  <c r="R20" i="23"/>
  <c r="V9" i="23"/>
  <c r="AN10" i="23"/>
  <c r="AI10" i="23"/>
  <c r="AB10" i="23"/>
  <c r="AN14" i="23"/>
  <c r="AI14" i="23"/>
  <c r="AB14" i="23"/>
  <c r="AI15" i="23"/>
  <c r="AN13" i="23"/>
  <c r="W20" i="23"/>
  <c r="AA9" i="23"/>
  <c r="AE20" i="23"/>
  <c r="Z21" i="23"/>
  <c r="X20" i="23"/>
  <c r="AG9" i="23"/>
  <c r="AB13" i="23"/>
  <c r="AB15" i="23"/>
  <c r="AB17" i="23"/>
  <c r="AN15" i="23"/>
  <c r="AN17" i="23"/>
  <c r="AO36" i="12"/>
  <c r="AP36" i="12" s="1"/>
  <c r="AQ36" i="12" s="1"/>
  <c r="AS36" i="12" s="1"/>
  <c r="AT36" i="12" s="1"/>
  <c r="AU36" i="12" s="1"/>
  <c r="AI29" i="12"/>
  <c r="AN29" i="12"/>
  <c r="AI37" i="12"/>
  <c r="AN37" i="12"/>
  <c r="AN39" i="12"/>
  <c r="AB39" i="12"/>
  <c r="AB28" i="12"/>
  <c r="AI28" i="12"/>
  <c r="AB24" i="12"/>
  <c r="AI24" i="12"/>
  <c r="AN24" i="12"/>
  <c r="AP43" i="12"/>
  <c r="AQ43" i="12" s="1"/>
  <c r="AS43" i="12" s="1"/>
  <c r="AT43" i="12" s="1"/>
  <c r="AU43" i="12" s="1"/>
  <c r="AN33" i="12"/>
  <c r="AB33" i="12"/>
  <c r="AG32" i="12"/>
  <c r="AI32" i="12" s="1"/>
  <c r="AB32" i="12"/>
  <c r="AN32" i="12"/>
  <c r="AN17" i="12"/>
  <c r="AI17" i="12"/>
  <c r="AB43" i="12"/>
  <c r="AN41" i="12"/>
  <c r="AI36" i="12"/>
  <c r="AB36" i="12"/>
  <c r="AI35" i="12"/>
  <c r="AN35" i="12"/>
  <c r="AI34" i="12"/>
  <c r="AB34" i="12"/>
  <c r="AN34" i="12"/>
  <c r="AN25" i="12"/>
  <c r="AI25" i="12"/>
  <c r="AN21" i="12"/>
  <c r="AI21" i="12"/>
  <c r="AN42" i="12"/>
  <c r="AB42" i="12"/>
  <c r="AO40" i="12"/>
  <c r="AP40" i="12"/>
  <c r="AQ40" i="12" s="1"/>
  <c r="AS40" i="12" s="1"/>
  <c r="AT40" i="12" s="1"/>
  <c r="AU40" i="12" s="1"/>
  <c r="AI39" i="12"/>
  <c r="AG41" i="12"/>
  <c r="AI41" i="12" s="1"/>
  <c r="AO31" i="12"/>
  <c r="AP31" i="12"/>
  <c r="AQ31" i="12" s="1"/>
  <c r="AS31" i="12" s="1"/>
  <c r="AT31" i="12" s="1"/>
  <c r="AU31" i="12" s="1"/>
  <c r="AI31" i="12"/>
  <c r="AN28" i="12"/>
  <c r="AP22" i="12"/>
  <c r="AQ22" i="12" s="1"/>
  <c r="AS22" i="12" s="1"/>
  <c r="AT22" i="12" s="1"/>
  <c r="AU22" i="12" s="1"/>
  <c r="AO22" i="12"/>
  <c r="AA31" i="12"/>
  <c r="AB31" i="12" s="1"/>
  <c r="AB27" i="12"/>
  <c r="AG26" i="12"/>
  <c r="AP23" i="12"/>
  <c r="AQ23" i="12" s="1"/>
  <c r="AS23" i="12" s="1"/>
  <c r="AT23" i="12" s="1"/>
  <c r="AU23" i="12" s="1"/>
  <c r="AA21" i="12"/>
  <c r="AB21" i="12" s="1"/>
  <c r="AB20" i="12"/>
  <c r="AG18" i="12"/>
  <c r="AI18" i="12" s="1"/>
  <c r="AB18" i="12"/>
  <c r="AB40" i="12"/>
  <c r="AP38" i="12"/>
  <c r="AQ38" i="12" s="1"/>
  <c r="AS38" i="12" s="1"/>
  <c r="AT38" i="12" s="1"/>
  <c r="AU38" i="12" s="1"/>
  <c r="AG38" i="12"/>
  <c r="AI38" i="12" s="1"/>
  <c r="AA37" i="12"/>
  <c r="AB37" i="12" s="1"/>
  <c r="AI30" i="12"/>
  <c r="AA29" i="12"/>
  <c r="AB29" i="12" s="1"/>
  <c r="AI23" i="12"/>
  <c r="AB22" i="12"/>
  <c r="AG20" i="12"/>
  <c r="AI20" i="12" s="1"/>
  <c r="AP16" i="12"/>
  <c r="AQ16" i="12" s="1"/>
  <c r="AS16" i="12" s="1"/>
  <c r="AT16" i="12" s="1"/>
  <c r="AU16" i="12" s="1"/>
  <c r="AB26" i="12"/>
  <c r="AI26" i="12"/>
  <c r="AI43" i="12"/>
  <c r="AA35" i="12"/>
  <c r="AB35" i="12" s="1"/>
  <c r="AN30" i="12"/>
  <c r="AP27" i="12"/>
  <c r="AQ27" i="12" s="1"/>
  <c r="AS27" i="12" s="1"/>
  <c r="AT27" i="12" s="1"/>
  <c r="AU27" i="12" s="1"/>
  <c r="AN26" i="12"/>
  <c r="AA25" i="12"/>
  <c r="AB25" i="12" s="1"/>
  <c r="AB23" i="12"/>
  <c r="AG22" i="12"/>
  <c r="AI22" i="12" s="1"/>
  <c r="AO20" i="12"/>
  <c r="AP20" i="12" s="1"/>
  <c r="AQ20" i="12" s="1"/>
  <c r="AS20" i="12" s="1"/>
  <c r="AT20" i="12" s="1"/>
  <c r="AU20" i="12" s="1"/>
  <c r="AP19" i="12"/>
  <c r="AQ19" i="12" s="1"/>
  <c r="AS19" i="12" s="1"/>
  <c r="AT19" i="12" s="1"/>
  <c r="AU19" i="12" s="1"/>
  <c r="AN18" i="12"/>
  <c r="AA17" i="12"/>
  <c r="AB17" i="12" s="1"/>
  <c r="AB16" i="12"/>
  <c r="AI16" i="12"/>
  <c r="R10" i="22"/>
  <c r="O18" i="22"/>
  <c r="Q21" i="22"/>
  <c r="V13" i="22"/>
  <c r="O16" i="22"/>
  <c r="P18" i="22"/>
  <c r="Q19" i="22"/>
  <c r="U21" i="22"/>
  <c r="Q10" i="22"/>
  <c r="P16" i="22"/>
  <c r="V16" i="22"/>
  <c r="O17" i="22"/>
  <c r="O12" i="22"/>
  <c r="P17" i="22"/>
  <c r="AF10" i="22"/>
  <c r="AG10" i="22" s="1"/>
  <c r="P12" i="22"/>
  <c r="Q16" i="22"/>
  <c r="Q17" i="22"/>
  <c r="V12" i="22"/>
  <c r="O13" i="22"/>
  <c r="U17" i="22"/>
  <c r="R16" i="22"/>
  <c r="W16" i="22"/>
  <c r="Y16" i="22" s="1"/>
  <c r="AA16" i="22" s="1"/>
  <c r="R18" i="22"/>
  <c r="AF18" i="22" s="1"/>
  <c r="AG18" i="22" s="1"/>
  <c r="W18" i="22"/>
  <c r="O20" i="22"/>
  <c r="U10" i="22"/>
  <c r="AH10" i="22" s="1"/>
  <c r="AI10" i="22" s="1"/>
  <c r="AK10" i="22" s="1"/>
  <c r="AL10" i="22" s="1"/>
  <c r="AM10" i="22" s="1"/>
  <c r="Q12" i="22"/>
  <c r="Q13" i="22"/>
  <c r="V18" i="22"/>
  <c r="P20" i="22"/>
  <c r="N23" i="22"/>
  <c r="AE9" i="22"/>
  <c r="P10" i="22"/>
  <c r="S10" i="22" s="1"/>
  <c r="T10" i="22" s="1"/>
  <c r="V10" i="22"/>
  <c r="U13" i="22"/>
  <c r="V15" i="22"/>
  <c r="V20" i="22"/>
  <c r="R14" i="22"/>
  <c r="AF14" i="22" s="1"/>
  <c r="W14" i="22"/>
  <c r="V11" i="22"/>
  <c r="U11" i="22"/>
  <c r="Q11" i="22"/>
  <c r="U14" i="22"/>
  <c r="Q14" i="22"/>
  <c r="P14" i="22"/>
  <c r="AF15" i="22"/>
  <c r="AF20" i="22"/>
  <c r="O11" i="22"/>
  <c r="W11" i="22"/>
  <c r="X11" i="22" s="1"/>
  <c r="AE13" i="22"/>
  <c r="W15" i="22"/>
  <c r="W17" i="22"/>
  <c r="X17" i="22" s="1"/>
  <c r="R17" i="22"/>
  <c r="W12" i="22"/>
  <c r="X12" i="22" s="1"/>
  <c r="R12" i="22"/>
  <c r="P19" i="22"/>
  <c r="O19" i="22"/>
  <c r="W20" i="22"/>
  <c r="AE21" i="22"/>
  <c r="P11" i="22"/>
  <c r="V14" i="22"/>
  <c r="U15" i="22"/>
  <c r="Q15" i="22"/>
  <c r="P15" i="22"/>
  <c r="AE19" i="22"/>
  <c r="V19" i="22"/>
  <c r="P21" i="22"/>
  <c r="O21" i="22"/>
  <c r="Q18" i="22"/>
  <c r="Q20" i="22"/>
  <c r="S49" i="12"/>
  <c r="AO15" i="23" l="1"/>
  <c r="AP15" i="23" s="1"/>
  <c r="AQ15" i="23" s="1"/>
  <c r="AS15" i="23" s="1"/>
  <c r="AT15" i="23" s="1"/>
  <c r="AU15" i="23" s="1"/>
  <c r="W21" i="23"/>
  <c r="AO13" i="23"/>
  <c r="AP13" i="23" s="1"/>
  <c r="AQ13" i="23" s="1"/>
  <c r="AS13" i="23" s="1"/>
  <c r="AT13" i="23" s="1"/>
  <c r="AU13" i="23" s="1"/>
  <c r="AO11" i="23"/>
  <c r="AP11" i="23" s="1"/>
  <c r="AQ11" i="23" s="1"/>
  <c r="AS11" i="23" s="1"/>
  <c r="AT11" i="23" s="1"/>
  <c r="AU11" i="23" s="1"/>
  <c r="AG20" i="23"/>
  <c r="V20" i="23"/>
  <c r="AI9" i="23"/>
  <c r="AI20" i="23" s="1"/>
  <c r="AB9" i="23"/>
  <c r="AB20" i="23" s="1"/>
  <c r="AN9" i="23"/>
  <c r="AO10" i="23"/>
  <c r="AP10" i="23" s="1"/>
  <c r="AQ10" i="23" s="1"/>
  <c r="AS10" i="23" s="1"/>
  <c r="AT10" i="23" s="1"/>
  <c r="AU10" i="23" s="1"/>
  <c r="AO12" i="23"/>
  <c r="AP12" i="23" s="1"/>
  <c r="AQ12" i="23" s="1"/>
  <c r="AS12" i="23" s="1"/>
  <c r="AT12" i="23" s="1"/>
  <c r="AU12" i="23" s="1"/>
  <c r="AP17" i="23"/>
  <c r="AQ17" i="23" s="1"/>
  <c r="AS17" i="23" s="1"/>
  <c r="AT17" i="23" s="1"/>
  <c r="AU17" i="23" s="1"/>
  <c r="AO17" i="23"/>
  <c r="AA20" i="23"/>
  <c r="AO14" i="23"/>
  <c r="AP14" i="23" s="1"/>
  <c r="AQ14" i="23" s="1"/>
  <c r="AS14" i="23" s="1"/>
  <c r="AT14" i="23" s="1"/>
  <c r="AU14" i="23" s="1"/>
  <c r="AO18" i="23"/>
  <c r="AP18" i="23"/>
  <c r="AQ18" i="23" s="1"/>
  <c r="AS18" i="23" s="1"/>
  <c r="AT18" i="23" s="1"/>
  <c r="AU18" i="23" s="1"/>
  <c r="AO16" i="23"/>
  <c r="AP16" i="23" s="1"/>
  <c r="AQ16" i="23" s="1"/>
  <c r="AS16" i="23" s="1"/>
  <c r="AT16" i="23" s="1"/>
  <c r="AU16" i="23" s="1"/>
  <c r="AO37" i="12"/>
  <c r="AP37" i="12"/>
  <c r="AQ37" i="12" s="1"/>
  <c r="AS37" i="12" s="1"/>
  <c r="AT37" i="12" s="1"/>
  <c r="AU37" i="12" s="1"/>
  <c r="AO42" i="12"/>
  <c r="AP42" i="12" s="1"/>
  <c r="AQ42" i="12" s="1"/>
  <c r="AS42" i="12" s="1"/>
  <c r="AT42" i="12" s="1"/>
  <c r="AU42" i="12" s="1"/>
  <c r="AO32" i="12"/>
  <c r="AP32" i="12"/>
  <c r="AQ32" i="12" s="1"/>
  <c r="AS32" i="12" s="1"/>
  <c r="AT32" i="12" s="1"/>
  <c r="AU32" i="12" s="1"/>
  <c r="AO24" i="12"/>
  <c r="AP24" i="12" s="1"/>
  <c r="AQ24" i="12" s="1"/>
  <c r="AS24" i="12" s="1"/>
  <c r="AT24" i="12" s="1"/>
  <c r="AU24" i="12" s="1"/>
  <c r="AO33" i="12"/>
  <c r="AP33" i="12"/>
  <c r="AQ33" i="12" s="1"/>
  <c r="AS33" i="12" s="1"/>
  <c r="AT33" i="12" s="1"/>
  <c r="AU33" i="12" s="1"/>
  <c r="AO26" i="12"/>
  <c r="AP26" i="12" s="1"/>
  <c r="AQ26" i="12" s="1"/>
  <c r="AS26" i="12" s="1"/>
  <c r="AT26" i="12" s="1"/>
  <c r="AU26" i="12" s="1"/>
  <c r="AO21" i="12"/>
  <c r="AP21" i="12"/>
  <c r="AQ21" i="12" s="1"/>
  <c r="AS21" i="12" s="1"/>
  <c r="AT21" i="12" s="1"/>
  <c r="AU21" i="12" s="1"/>
  <c r="AO34" i="12"/>
  <c r="AP34" i="12" s="1"/>
  <c r="AQ34" i="12" s="1"/>
  <c r="AS34" i="12" s="1"/>
  <c r="AT34" i="12" s="1"/>
  <c r="AU34" i="12" s="1"/>
  <c r="AO17" i="12"/>
  <c r="AP17" i="12"/>
  <c r="AQ17" i="12" s="1"/>
  <c r="AS17" i="12" s="1"/>
  <c r="AT17" i="12" s="1"/>
  <c r="AU17" i="12" s="1"/>
  <c r="AO18" i="12"/>
  <c r="AP18" i="12" s="1"/>
  <c r="AQ18" i="12" s="1"/>
  <c r="AS18" i="12" s="1"/>
  <c r="AT18" i="12" s="1"/>
  <c r="AU18" i="12" s="1"/>
  <c r="AO30" i="12"/>
  <c r="AP30" i="12"/>
  <c r="AQ30" i="12" s="1"/>
  <c r="AS30" i="12" s="1"/>
  <c r="AT30" i="12" s="1"/>
  <c r="AU30" i="12" s="1"/>
  <c r="AO28" i="12"/>
  <c r="AP28" i="12"/>
  <c r="AQ28" i="12" s="1"/>
  <c r="AS28" i="12" s="1"/>
  <c r="AT28" i="12" s="1"/>
  <c r="AU28" i="12" s="1"/>
  <c r="AO25" i="12"/>
  <c r="AP25" i="12"/>
  <c r="AQ25" i="12" s="1"/>
  <c r="AS25" i="12" s="1"/>
  <c r="AT25" i="12" s="1"/>
  <c r="AU25" i="12" s="1"/>
  <c r="AO35" i="12"/>
  <c r="AP35" i="12"/>
  <c r="AQ35" i="12" s="1"/>
  <c r="AS35" i="12" s="1"/>
  <c r="AT35" i="12" s="1"/>
  <c r="AU35" i="12" s="1"/>
  <c r="AO41" i="12"/>
  <c r="AP41" i="12" s="1"/>
  <c r="AQ41" i="12" s="1"/>
  <c r="AS41" i="12" s="1"/>
  <c r="AT41" i="12" s="1"/>
  <c r="AU41" i="12" s="1"/>
  <c r="AO39" i="12"/>
  <c r="AP39" i="12"/>
  <c r="AQ39" i="12" s="1"/>
  <c r="AS39" i="12" s="1"/>
  <c r="AT39" i="12" s="1"/>
  <c r="AU39" i="12" s="1"/>
  <c r="AO29" i="12"/>
  <c r="AP29" i="12"/>
  <c r="AQ29" i="12" s="1"/>
  <c r="AS29" i="12" s="1"/>
  <c r="AT29" i="12" s="1"/>
  <c r="AU29" i="12" s="1"/>
  <c r="S18" i="22"/>
  <c r="T18" i="22" s="1"/>
  <c r="Y15" i="22"/>
  <c r="AA15" i="22" s="1"/>
  <c r="S16" i="22"/>
  <c r="T16" i="22" s="1"/>
  <c r="Y10" i="22"/>
  <c r="AA10" i="22" s="1"/>
  <c r="AF12" i="22"/>
  <c r="AF17" i="22"/>
  <c r="Y18" i="22"/>
  <c r="AA18" i="22" s="1"/>
  <c r="AF16" i="22"/>
  <c r="AG16" i="22" s="1"/>
  <c r="AH16" i="22" s="1"/>
  <c r="AI16" i="22" s="1"/>
  <c r="AK16" i="22" s="1"/>
  <c r="AL16" i="22" s="1"/>
  <c r="AM16" i="22" s="1"/>
  <c r="Y20" i="22"/>
  <c r="AA20" i="22" s="1"/>
  <c r="Q23" i="22"/>
  <c r="S20" i="22"/>
  <c r="T20" i="22" s="1"/>
  <c r="V23" i="22"/>
  <c r="S14" i="22"/>
  <c r="T14" i="22" s="1"/>
  <c r="S12" i="22"/>
  <c r="T12" i="22" s="1"/>
  <c r="P23" i="22"/>
  <c r="AH18" i="22"/>
  <c r="AI18" i="22" s="1"/>
  <c r="AK18" i="22" s="1"/>
  <c r="AL18" i="22" s="1"/>
  <c r="AM18" i="22" s="1"/>
  <c r="Y14" i="22"/>
  <c r="AA14" i="22" s="1"/>
  <c r="Y17" i="22"/>
  <c r="AA17" i="22" s="1"/>
  <c r="R9" i="22"/>
  <c r="W9" i="22"/>
  <c r="Y9" i="22" s="1"/>
  <c r="AA9" i="22" s="1"/>
  <c r="AG17" i="22"/>
  <c r="AH17" i="22" s="1"/>
  <c r="AI17" i="22" s="1"/>
  <c r="AK17" i="22" s="1"/>
  <c r="AL17" i="22" s="1"/>
  <c r="AM17" i="22" s="1"/>
  <c r="S15" i="22"/>
  <c r="T15" i="22" s="1"/>
  <c r="AG12" i="22"/>
  <c r="AH12" i="22" s="1"/>
  <c r="AI12" i="22" s="1"/>
  <c r="AK12" i="22" s="1"/>
  <c r="AL12" i="22" s="1"/>
  <c r="AM12" i="22" s="1"/>
  <c r="AG20" i="22"/>
  <c r="AH20" i="22" s="1"/>
  <c r="AI20" i="22" s="1"/>
  <c r="AK20" i="22" s="1"/>
  <c r="AL20" i="22" s="1"/>
  <c r="AM20" i="22" s="1"/>
  <c r="W19" i="22"/>
  <c r="Y19" i="22" s="1"/>
  <c r="AA19" i="22" s="1"/>
  <c r="R19" i="22"/>
  <c r="AF19" i="22" s="1"/>
  <c r="AG15" i="22"/>
  <c r="AH15" i="22" s="1"/>
  <c r="AI15" i="22" s="1"/>
  <c r="AK15" i="22" s="1"/>
  <c r="AL15" i="22" s="1"/>
  <c r="AM15" i="22" s="1"/>
  <c r="S17" i="22"/>
  <c r="T17" i="22" s="1"/>
  <c r="AG14" i="22"/>
  <c r="AH14" i="22" s="1"/>
  <c r="AI14" i="22" s="1"/>
  <c r="AK14" i="22" s="1"/>
  <c r="AL14" i="22" s="1"/>
  <c r="AM14" i="22" s="1"/>
  <c r="W13" i="22"/>
  <c r="R13" i="22"/>
  <c r="O23" i="22"/>
  <c r="W21" i="22"/>
  <c r="Y21" i="22" s="1"/>
  <c r="AA21" i="22" s="1"/>
  <c r="R21" i="22"/>
  <c r="AF21" i="22" s="1"/>
  <c r="AF11" i="22"/>
  <c r="S11" i="22"/>
  <c r="T11" i="22" s="1"/>
  <c r="Y11" i="22"/>
  <c r="AA11" i="22" s="1"/>
  <c r="Y12" i="22"/>
  <c r="AA12" i="22" s="1"/>
  <c r="U23" i="22"/>
  <c r="AC10" i="12"/>
  <c r="AD10" i="12"/>
  <c r="AE10" i="12"/>
  <c r="AC11" i="12"/>
  <c r="AD11" i="12"/>
  <c r="AE11" i="12"/>
  <c r="AC12" i="12"/>
  <c r="AD12" i="12"/>
  <c r="AE12" i="12"/>
  <c r="AC13" i="12"/>
  <c r="AD13" i="12"/>
  <c r="AE13" i="12"/>
  <c r="AC14" i="12"/>
  <c r="AD14" i="12"/>
  <c r="AE14" i="12"/>
  <c r="AC15" i="12"/>
  <c r="AD15" i="12"/>
  <c r="AE15" i="12"/>
  <c r="AE9" i="12"/>
  <c r="AD9" i="12"/>
  <c r="AC9" i="12"/>
  <c r="W10" i="12"/>
  <c r="X10" i="12"/>
  <c r="Y10" i="12"/>
  <c r="Z10" i="12"/>
  <c r="W11" i="12"/>
  <c r="X11" i="12"/>
  <c r="Y11" i="12"/>
  <c r="Z11" i="12"/>
  <c r="W12" i="12"/>
  <c r="X12" i="12"/>
  <c r="Y12" i="12"/>
  <c r="Z12" i="12"/>
  <c r="W13" i="12"/>
  <c r="X13" i="12"/>
  <c r="Y13" i="12"/>
  <c r="Z13" i="12"/>
  <c r="W14" i="12"/>
  <c r="X14" i="12"/>
  <c r="Y14" i="12"/>
  <c r="Z14" i="12"/>
  <c r="W15" i="12"/>
  <c r="X15" i="12"/>
  <c r="Y15" i="12"/>
  <c r="Z15" i="12"/>
  <c r="Z9" i="12"/>
  <c r="Y9" i="12"/>
  <c r="X9" i="12"/>
  <c r="W9" i="12"/>
  <c r="AD10" i="11"/>
  <c r="AE10" i="11"/>
  <c r="AF10" i="11"/>
  <c r="AD11" i="11"/>
  <c r="AE11" i="11"/>
  <c r="AF11" i="11"/>
  <c r="AD12" i="11"/>
  <c r="AE12" i="11"/>
  <c r="AF12" i="11"/>
  <c r="AG12" i="11" s="1"/>
  <c r="AD13" i="11"/>
  <c r="AE13" i="11"/>
  <c r="AF13" i="11"/>
  <c r="AD14" i="11"/>
  <c r="AE14" i="11"/>
  <c r="AF14" i="11"/>
  <c r="AD15" i="11"/>
  <c r="AE15" i="11"/>
  <c r="AF15" i="11"/>
  <c r="AD16" i="11"/>
  <c r="AE16" i="11"/>
  <c r="AF16" i="11"/>
  <c r="AD17" i="11"/>
  <c r="AE17" i="11"/>
  <c r="AF17" i="11"/>
  <c r="AD18" i="11"/>
  <c r="AE18" i="11"/>
  <c r="AF18" i="11"/>
  <c r="AD19" i="11"/>
  <c r="AE19" i="11"/>
  <c r="AF19" i="11"/>
  <c r="AD20" i="11"/>
  <c r="AE20" i="11"/>
  <c r="AF20" i="11"/>
  <c r="AD21" i="11"/>
  <c r="AE21" i="11"/>
  <c r="AF21" i="11"/>
  <c r="AD22" i="11"/>
  <c r="AE22" i="11"/>
  <c r="AF22" i="11"/>
  <c r="AD23" i="11"/>
  <c r="AE23" i="11"/>
  <c r="AF23" i="11"/>
  <c r="AD24" i="11"/>
  <c r="AE24" i="11"/>
  <c r="AF24" i="11"/>
  <c r="AD25" i="11"/>
  <c r="AE25" i="11"/>
  <c r="AF25" i="11"/>
  <c r="AD26" i="11"/>
  <c r="AE26" i="11"/>
  <c r="AF26" i="11"/>
  <c r="AD27" i="11"/>
  <c r="AE27" i="11"/>
  <c r="AF27" i="11"/>
  <c r="AD28" i="11"/>
  <c r="AE28" i="11"/>
  <c r="AF28" i="11"/>
  <c r="AD29" i="11"/>
  <c r="AE29" i="11"/>
  <c r="AF29" i="11"/>
  <c r="AD30" i="11"/>
  <c r="AE30" i="11"/>
  <c r="AF30" i="11"/>
  <c r="AD31" i="11"/>
  <c r="AE31" i="11"/>
  <c r="AF31" i="11"/>
  <c r="AD32" i="11"/>
  <c r="AE32" i="11"/>
  <c r="AF32" i="11"/>
  <c r="AD33" i="11"/>
  <c r="AE33" i="11"/>
  <c r="AF33" i="11"/>
  <c r="AD34" i="11"/>
  <c r="AE34" i="11"/>
  <c r="AF34" i="11"/>
  <c r="AD35" i="11"/>
  <c r="AE35" i="11"/>
  <c r="AF35" i="11"/>
  <c r="AD36" i="11"/>
  <c r="AE36" i="11"/>
  <c r="AF36" i="11"/>
  <c r="AD37" i="11"/>
  <c r="AE37" i="11"/>
  <c r="AF37" i="11"/>
  <c r="AD38" i="11"/>
  <c r="AE38" i="11"/>
  <c r="AF38" i="11"/>
  <c r="AD39" i="11"/>
  <c r="AE39" i="11"/>
  <c r="AF39" i="11"/>
  <c r="AD40" i="11"/>
  <c r="AE40" i="11"/>
  <c r="AF40" i="11"/>
  <c r="AD41" i="11"/>
  <c r="AE41" i="11"/>
  <c r="AF41" i="11"/>
  <c r="AD42" i="11"/>
  <c r="AE42" i="11"/>
  <c r="AF42" i="11"/>
  <c r="AF9" i="11"/>
  <c r="AE9" i="11"/>
  <c r="AD9" i="11"/>
  <c r="X10" i="11"/>
  <c r="Y10" i="11"/>
  <c r="Z10" i="11"/>
  <c r="AA10" i="11"/>
  <c r="X11" i="11"/>
  <c r="Y11" i="11"/>
  <c r="Z11" i="11"/>
  <c r="AA11" i="11"/>
  <c r="X12" i="11"/>
  <c r="Y12" i="11"/>
  <c r="Z12" i="11"/>
  <c r="AA12" i="11"/>
  <c r="X13" i="11"/>
  <c r="Y13" i="11"/>
  <c r="Z13" i="11"/>
  <c r="AA13" i="11"/>
  <c r="X14" i="11"/>
  <c r="Y14" i="11"/>
  <c r="Z14" i="11"/>
  <c r="AA14" i="11"/>
  <c r="X15" i="11"/>
  <c r="Y15" i="11"/>
  <c r="Z15" i="11"/>
  <c r="AA15" i="11"/>
  <c r="X16" i="11"/>
  <c r="Y16" i="11"/>
  <c r="Z16" i="11"/>
  <c r="AA16" i="11"/>
  <c r="X17" i="11"/>
  <c r="Y17" i="11"/>
  <c r="Z17" i="11"/>
  <c r="AA17" i="11"/>
  <c r="X18" i="11"/>
  <c r="Y18" i="11"/>
  <c r="Z18" i="11"/>
  <c r="AA18" i="11"/>
  <c r="X19" i="11"/>
  <c r="Y19" i="11"/>
  <c r="Z19" i="11"/>
  <c r="AA19" i="11"/>
  <c r="X20" i="11"/>
  <c r="Y20" i="11"/>
  <c r="Z20" i="11"/>
  <c r="AA20" i="11"/>
  <c r="X21" i="11"/>
  <c r="Y21" i="11"/>
  <c r="Z21" i="11"/>
  <c r="AA21" i="11"/>
  <c r="X22" i="11"/>
  <c r="Y22" i="11"/>
  <c r="Z22" i="11"/>
  <c r="AA22" i="11"/>
  <c r="X23" i="11"/>
  <c r="Y23" i="11"/>
  <c r="Z23" i="11"/>
  <c r="AA23" i="11"/>
  <c r="X24" i="11"/>
  <c r="Y24" i="11"/>
  <c r="Z24" i="11"/>
  <c r="AA24" i="11"/>
  <c r="X25" i="11"/>
  <c r="Y25" i="11"/>
  <c r="Z25" i="11"/>
  <c r="AA25" i="11"/>
  <c r="X26" i="11"/>
  <c r="Y26" i="11"/>
  <c r="Z26" i="11"/>
  <c r="AA26" i="11"/>
  <c r="X27" i="11"/>
  <c r="Y27" i="11"/>
  <c r="Z27" i="11"/>
  <c r="AA27" i="11"/>
  <c r="X28" i="11"/>
  <c r="Y28" i="11"/>
  <c r="Z28" i="11"/>
  <c r="AA28" i="11"/>
  <c r="X29" i="11"/>
  <c r="Y29" i="11"/>
  <c r="Z29" i="11"/>
  <c r="AA29" i="11"/>
  <c r="X30" i="11"/>
  <c r="Y30" i="11"/>
  <c r="Z30" i="11"/>
  <c r="AA30" i="11"/>
  <c r="X31" i="11"/>
  <c r="Y31" i="11"/>
  <c r="Z31" i="11"/>
  <c r="AA31" i="11"/>
  <c r="X32" i="11"/>
  <c r="Y32" i="11"/>
  <c r="Z32" i="11"/>
  <c r="AA32" i="11"/>
  <c r="X33" i="11"/>
  <c r="Y33" i="11"/>
  <c r="Z33" i="11"/>
  <c r="AA33" i="11"/>
  <c r="X34" i="11"/>
  <c r="Y34" i="11"/>
  <c r="Z34" i="11"/>
  <c r="AA34" i="11"/>
  <c r="X35" i="11"/>
  <c r="Y35" i="11"/>
  <c r="Z35" i="11"/>
  <c r="AA35" i="11"/>
  <c r="X36" i="11"/>
  <c r="Y36" i="11"/>
  <c r="Z36" i="11"/>
  <c r="AA36" i="11"/>
  <c r="X37" i="11"/>
  <c r="Y37" i="11"/>
  <c r="Z37" i="11"/>
  <c r="AA37" i="11"/>
  <c r="X38" i="11"/>
  <c r="Y38" i="11"/>
  <c r="Z38" i="11"/>
  <c r="AA38" i="11"/>
  <c r="X39" i="11"/>
  <c r="Y39" i="11"/>
  <c r="Z39" i="11"/>
  <c r="AA39" i="11"/>
  <c r="X40" i="11"/>
  <c r="Y40" i="11"/>
  <c r="Z40" i="11"/>
  <c r="AA40" i="11"/>
  <c r="X41" i="11"/>
  <c r="Y41" i="11"/>
  <c r="Z41" i="11"/>
  <c r="AA41" i="11"/>
  <c r="X42" i="11"/>
  <c r="Y42" i="11"/>
  <c r="Z42" i="11"/>
  <c r="AA42" i="11"/>
  <c r="AA9" i="11"/>
  <c r="Z9" i="11"/>
  <c r="Y9" i="11"/>
  <c r="X9" i="11"/>
  <c r="AG25" i="11"/>
  <c r="AG17" i="11"/>
  <c r="AE14" i="13"/>
  <c r="V14" i="13" s="1"/>
  <c r="V22" i="13"/>
  <c r="P21" i="13"/>
  <c r="W19" i="13"/>
  <c r="V18" i="13"/>
  <c r="P17" i="13"/>
  <c r="W15" i="13"/>
  <c r="P13" i="13"/>
  <c r="W11" i="13"/>
  <c r="AE10" i="13"/>
  <c r="W10" i="13" s="1"/>
  <c r="V11" i="13"/>
  <c r="X11" i="13"/>
  <c r="V12" i="13"/>
  <c r="W12" i="13"/>
  <c r="X12" i="13"/>
  <c r="X13" i="13"/>
  <c r="V15" i="13"/>
  <c r="X15" i="13"/>
  <c r="V16" i="13"/>
  <c r="W16" i="13"/>
  <c r="X16" i="13"/>
  <c r="X17" i="13"/>
  <c r="X18" i="13"/>
  <c r="V19" i="13"/>
  <c r="X19" i="13"/>
  <c r="V20" i="13"/>
  <c r="W20" i="13"/>
  <c r="X20" i="13"/>
  <c r="X21" i="13"/>
  <c r="X22" i="13"/>
  <c r="X10" i="13"/>
  <c r="Q11" i="13"/>
  <c r="R11" i="13"/>
  <c r="S11" i="13"/>
  <c r="P12" i="13"/>
  <c r="Q12" i="13"/>
  <c r="R12" i="13"/>
  <c r="S12" i="13"/>
  <c r="S13" i="13"/>
  <c r="Q15" i="13"/>
  <c r="R15" i="13"/>
  <c r="S15" i="13"/>
  <c r="P16" i="13"/>
  <c r="Q16" i="13"/>
  <c r="R16" i="13"/>
  <c r="S16" i="13"/>
  <c r="S17" i="13"/>
  <c r="R18" i="13"/>
  <c r="S18" i="13"/>
  <c r="Q19" i="13"/>
  <c r="R19" i="13"/>
  <c r="S19" i="13"/>
  <c r="P20" i="13"/>
  <c r="Q20" i="13"/>
  <c r="R20" i="13"/>
  <c r="S20" i="13"/>
  <c r="S21" i="13"/>
  <c r="R22" i="13"/>
  <c r="S22" i="13"/>
  <c r="S10" i="13"/>
  <c r="R10" i="13"/>
  <c r="AN20" i="23" l="1"/>
  <c r="AO9" i="23"/>
  <c r="AP9" i="23" s="1"/>
  <c r="S21" i="22"/>
  <c r="T21" i="22" s="1"/>
  <c r="AF9" i="22"/>
  <c r="S9" i="22"/>
  <c r="T9" i="22" s="1"/>
  <c r="AG11" i="22"/>
  <c r="AH11" i="22" s="1"/>
  <c r="AI11" i="22" s="1"/>
  <c r="AK11" i="22" s="1"/>
  <c r="AL11" i="22" s="1"/>
  <c r="AM11" i="22" s="1"/>
  <c r="X13" i="22"/>
  <c r="X23" i="22" s="1"/>
  <c r="Y13" i="22"/>
  <c r="AA13" i="22" s="1"/>
  <c r="AA23" i="22" s="1"/>
  <c r="AA24" i="22" s="1"/>
  <c r="W23" i="22"/>
  <c r="S24" i="22"/>
  <c r="AG19" i="22"/>
  <c r="AH19" i="22" s="1"/>
  <c r="AI19" i="22" s="1"/>
  <c r="AK19" i="22" s="1"/>
  <c r="AL19" i="22" s="1"/>
  <c r="AM19" i="22" s="1"/>
  <c r="AG21" i="22"/>
  <c r="AH21" i="22" s="1"/>
  <c r="AI21" i="22" s="1"/>
  <c r="AK21" i="22" s="1"/>
  <c r="AL21" i="22" s="1"/>
  <c r="AM21" i="22" s="1"/>
  <c r="S19" i="22"/>
  <c r="T19" i="22" s="1"/>
  <c r="AF13" i="22"/>
  <c r="S13" i="22"/>
  <c r="T13" i="22" s="1"/>
  <c r="R23" i="22"/>
  <c r="R14" i="13"/>
  <c r="R21" i="13"/>
  <c r="R17" i="13"/>
  <c r="R13" i="13"/>
  <c r="W21" i="13"/>
  <c r="W17" i="13"/>
  <c r="W13" i="13"/>
  <c r="Q22" i="13"/>
  <c r="Q21" i="13"/>
  <c r="Q18" i="13"/>
  <c r="Q17" i="13"/>
  <c r="Q14" i="13"/>
  <c r="Q13" i="13"/>
  <c r="W22" i="13"/>
  <c r="V21" i="13"/>
  <c r="W18" i="13"/>
  <c r="V17" i="13"/>
  <c r="W14" i="13"/>
  <c r="V13" i="13"/>
  <c r="P22" i="13"/>
  <c r="P19" i="13"/>
  <c r="P18" i="13"/>
  <c r="P15" i="13"/>
  <c r="P14" i="13"/>
  <c r="P11" i="13"/>
  <c r="P10" i="13"/>
  <c r="V10" i="13"/>
  <c r="Q10" i="13"/>
  <c r="AQ9" i="23" l="1"/>
  <c r="AS9" i="23" s="1"/>
  <c r="AT9" i="23" s="1"/>
  <c r="AU9" i="23" s="1"/>
  <c r="AP20" i="23"/>
  <c r="T24" i="22"/>
  <c r="AG9" i="22"/>
  <c r="AH9" i="22" s="1"/>
  <c r="AI9" i="22" s="1"/>
  <c r="AK9" i="22" s="1"/>
  <c r="AL9" i="22" s="1"/>
  <c r="AM9" i="22" s="1"/>
  <c r="T23" i="22"/>
  <c r="N24" i="22" s="1"/>
  <c r="S23" i="22"/>
  <c r="AG13" i="22"/>
  <c r="AH13" i="22" s="1"/>
  <c r="AI13" i="22" s="1"/>
  <c r="AK13" i="22" s="1"/>
  <c r="AL13" i="22" s="1"/>
  <c r="AM13" i="22" s="1"/>
  <c r="Y23" i="22"/>
  <c r="D111" i="21"/>
  <c r="D110" i="21"/>
  <c r="N110" i="21"/>
  <c r="D215" i="21"/>
  <c r="N215" i="21"/>
  <c r="AA24" i="13" l="1"/>
  <c r="O45" i="12" l="1"/>
  <c r="AG44" i="11" l="1"/>
  <c r="F10" i="17"/>
  <c r="N10" i="17" s="1"/>
  <c r="H22" i="13" l="1"/>
  <c r="I22" i="13" s="1"/>
  <c r="O22" i="13" s="1"/>
  <c r="AG22" i="13" s="1"/>
  <c r="T22" i="13"/>
  <c r="Z22" i="13"/>
  <c r="U22" i="13" l="1"/>
  <c r="AB22" i="13"/>
  <c r="AD11" i="1" l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P25" i="1" l="1"/>
  <c r="U25" i="1"/>
  <c r="V25" i="1"/>
  <c r="O25" i="1"/>
  <c r="Q25" i="1"/>
  <c r="P17" i="1"/>
  <c r="U17" i="1"/>
  <c r="V17" i="1"/>
  <c r="Q17" i="1"/>
  <c r="O17" i="1"/>
  <c r="V20" i="1"/>
  <c r="P20" i="1"/>
  <c r="U20" i="1"/>
  <c r="Q20" i="1"/>
  <c r="O20" i="1"/>
  <c r="V12" i="1"/>
  <c r="P12" i="1"/>
  <c r="U12" i="1"/>
  <c r="Q12" i="1"/>
  <c r="O12" i="1"/>
  <c r="U23" i="1"/>
  <c r="P23" i="1"/>
  <c r="V23" i="1"/>
  <c r="O23" i="1"/>
  <c r="Q23" i="1"/>
  <c r="U19" i="1"/>
  <c r="P19" i="1"/>
  <c r="V19" i="1"/>
  <c r="O19" i="1"/>
  <c r="Q19" i="1"/>
  <c r="U15" i="1"/>
  <c r="P15" i="1"/>
  <c r="V15" i="1"/>
  <c r="O15" i="1"/>
  <c r="Q15" i="1"/>
  <c r="V11" i="1"/>
  <c r="P11" i="1"/>
  <c r="U11" i="1"/>
  <c r="O11" i="1"/>
  <c r="Q11" i="1"/>
  <c r="U21" i="1"/>
  <c r="V21" i="1"/>
  <c r="P21" i="1"/>
  <c r="O21" i="1"/>
  <c r="Q21" i="1"/>
  <c r="U13" i="1"/>
  <c r="P13" i="1"/>
  <c r="V13" i="1"/>
  <c r="O13" i="1"/>
  <c r="Q13" i="1"/>
  <c r="V24" i="1"/>
  <c r="U24" i="1"/>
  <c r="P24" i="1"/>
  <c r="Q24" i="1"/>
  <c r="O24" i="1"/>
  <c r="V16" i="1"/>
  <c r="U16" i="1"/>
  <c r="P16" i="1"/>
  <c r="Q16" i="1"/>
  <c r="O16" i="1"/>
  <c r="U10" i="1"/>
  <c r="O10" i="1"/>
  <c r="P10" i="1"/>
  <c r="V10" i="1"/>
  <c r="P26" i="1"/>
  <c r="V26" i="1"/>
  <c r="U26" i="1"/>
  <c r="O26" i="1"/>
  <c r="Q26" i="1"/>
  <c r="P22" i="1"/>
  <c r="U22" i="1"/>
  <c r="V22" i="1"/>
  <c r="O22" i="1"/>
  <c r="Q22" i="1"/>
  <c r="P18" i="1"/>
  <c r="V18" i="1"/>
  <c r="U18" i="1"/>
  <c r="O18" i="1"/>
  <c r="Q18" i="1"/>
  <c r="P14" i="1"/>
  <c r="V14" i="1"/>
  <c r="U14" i="1"/>
  <c r="Q14" i="1"/>
  <c r="O14" i="1"/>
  <c r="Q10" i="1"/>
  <c r="Q30" i="13"/>
  <c r="AB34" i="11" l="1"/>
  <c r="AB35" i="11"/>
  <c r="AH34" i="11"/>
  <c r="AH35" i="11"/>
  <c r="W45" i="12" l="1"/>
  <c r="Z45" i="12"/>
  <c r="X45" i="12"/>
  <c r="Y45" i="12"/>
  <c r="AC45" i="12"/>
  <c r="AD45" i="12"/>
  <c r="AE45" i="12"/>
  <c r="AH45" i="12"/>
  <c r="W46" i="12" l="1"/>
  <c r="AA44" i="11"/>
  <c r="AF14" i="13" l="1"/>
  <c r="X14" i="13" l="1"/>
  <c r="S14" i="13"/>
  <c r="AF45" i="12"/>
  <c r="Z46" i="12" s="1"/>
  <c r="P34" i="11" l="1"/>
  <c r="Q34" i="11" s="1"/>
  <c r="R34" i="11" s="1"/>
  <c r="W34" i="11" s="1"/>
  <c r="AS34" i="11"/>
  <c r="P35" i="11"/>
  <c r="Q35" i="11" s="1"/>
  <c r="R35" i="11" s="1"/>
  <c r="W35" i="11" s="1"/>
  <c r="AS35" i="11"/>
  <c r="U44" i="11"/>
  <c r="AC35" i="11" l="1"/>
  <c r="AJ35" i="11"/>
  <c r="AO35" i="11"/>
  <c r="AC34" i="11"/>
  <c r="AJ34" i="11"/>
  <c r="AO34" i="11"/>
  <c r="AP34" i="11" l="1"/>
  <c r="AQ34" i="11" s="1"/>
  <c r="AR34" i="11" s="1"/>
  <c r="AT34" i="11" s="1"/>
  <c r="AU34" i="11" s="1"/>
  <c r="AP35" i="11"/>
  <c r="AQ35" i="11" s="1"/>
  <c r="AR35" i="11" s="1"/>
  <c r="AT35" i="11" s="1"/>
  <c r="AU35" i="11" s="1"/>
  <c r="P10" i="11" l="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6" i="11"/>
  <c r="P37" i="11"/>
  <c r="P38" i="11"/>
  <c r="P39" i="11"/>
  <c r="P40" i="11"/>
  <c r="P41" i="11"/>
  <c r="P42" i="11"/>
  <c r="P9" i="11"/>
  <c r="H11" i="13"/>
  <c r="I11" i="13" s="1"/>
  <c r="H12" i="13"/>
  <c r="I12" i="13" s="1"/>
  <c r="H13" i="13"/>
  <c r="I13" i="13" s="1"/>
  <c r="H14" i="13"/>
  <c r="H15" i="13"/>
  <c r="H16" i="13"/>
  <c r="H17" i="13"/>
  <c r="H18" i="13"/>
  <c r="H19" i="13"/>
  <c r="H20" i="13"/>
  <c r="H21" i="13"/>
  <c r="I10" i="13"/>
  <c r="R308" i="20" l="1"/>
  <c r="H308" i="20"/>
  <c r="R527" i="18"/>
  <c r="D349" i="18" l="1"/>
  <c r="N349" i="18"/>
  <c r="H642" i="20" l="1"/>
  <c r="G642" i="20"/>
  <c r="H636" i="20"/>
  <c r="H634" i="20"/>
  <c r="H633" i="20"/>
  <c r="H632" i="20"/>
  <c r="H631" i="20"/>
  <c r="D628" i="20"/>
  <c r="D627" i="20"/>
  <c r="D640" i="20"/>
  <c r="G639" i="20"/>
  <c r="H639" i="20" s="1"/>
  <c r="H638" i="20"/>
  <c r="R606" i="20"/>
  <c r="Q606" i="20"/>
  <c r="R600" i="20"/>
  <c r="R598" i="20"/>
  <c r="R597" i="20"/>
  <c r="R596" i="20"/>
  <c r="R595" i="20"/>
  <c r="N592" i="20"/>
  <c r="N591" i="20"/>
  <c r="H606" i="20"/>
  <c r="G606" i="20"/>
  <c r="H600" i="20"/>
  <c r="H598" i="20"/>
  <c r="H597" i="20"/>
  <c r="H596" i="20"/>
  <c r="H595" i="20"/>
  <c r="D592" i="20"/>
  <c r="D591" i="20"/>
  <c r="R570" i="20"/>
  <c r="Q570" i="20"/>
  <c r="R564" i="20"/>
  <c r="R562" i="20"/>
  <c r="R561" i="20"/>
  <c r="R560" i="20"/>
  <c r="R559" i="20"/>
  <c r="N556" i="20"/>
  <c r="N555" i="20"/>
  <c r="H570" i="20"/>
  <c r="G570" i="20"/>
  <c r="H564" i="20"/>
  <c r="H562" i="20"/>
  <c r="H561" i="20"/>
  <c r="H560" i="20"/>
  <c r="H559" i="20"/>
  <c r="D556" i="20"/>
  <c r="D555" i="20"/>
  <c r="R534" i="20"/>
  <c r="Q534" i="20"/>
  <c r="R528" i="20"/>
  <c r="R526" i="20"/>
  <c r="R525" i="20"/>
  <c r="R524" i="20"/>
  <c r="R523" i="20"/>
  <c r="N520" i="20"/>
  <c r="N519" i="20"/>
  <c r="H534" i="20"/>
  <c r="G534" i="20"/>
  <c r="H528" i="20"/>
  <c r="H526" i="20"/>
  <c r="H525" i="20"/>
  <c r="H524" i="20"/>
  <c r="H523" i="20"/>
  <c r="D520" i="20"/>
  <c r="D519" i="20"/>
  <c r="R497" i="20"/>
  <c r="Q497" i="20"/>
  <c r="R491" i="20"/>
  <c r="R489" i="20"/>
  <c r="R488" i="20"/>
  <c r="R487" i="20"/>
  <c r="R486" i="20"/>
  <c r="N483" i="20"/>
  <c r="N482" i="20"/>
  <c r="H497" i="20"/>
  <c r="G497" i="20"/>
  <c r="H491" i="20"/>
  <c r="H489" i="20"/>
  <c r="H488" i="20"/>
  <c r="H487" i="20"/>
  <c r="H486" i="20"/>
  <c r="D483" i="20"/>
  <c r="D482" i="20"/>
  <c r="N604" i="20"/>
  <c r="D604" i="20"/>
  <c r="Q603" i="20"/>
  <c r="R603" i="20" s="1"/>
  <c r="G603" i="20"/>
  <c r="H603" i="20" s="1"/>
  <c r="R602" i="20"/>
  <c r="H602" i="20"/>
  <c r="N568" i="20"/>
  <c r="D568" i="20"/>
  <c r="Q567" i="20"/>
  <c r="R567" i="20" s="1"/>
  <c r="G567" i="20"/>
  <c r="H567" i="20" s="1"/>
  <c r="R566" i="20"/>
  <c r="H566" i="20"/>
  <c r="N532" i="20"/>
  <c r="D532" i="20"/>
  <c r="Q531" i="20"/>
  <c r="R531" i="20" s="1"/>
  <c r="G531" i="20"/>
  <c r="H531" i="20" s="1"/>
  <c r="R530" i="20"/>
  <c r="H530" i="20"/>
  <c r="N495" i="20"/>
  <c r="D495" i="20"/>
  <c r="Q494" i="20"/>
  <c r="R494" i="20" s="1"/>
  <c r="G494" i="20"/>
  <c r="H494" i="20" s="1"/>
  <c r="R493" i="20"/>
  <c r="H493" i="20"/>
  <c r="R461" i="20"/>
  <c r="Q461" i="20"/>
  <c r="R455" i="20"/>
  <c r="R453" i="20"/>
  <c r="R452" i="20"/>
  <c r="R451" i="20"/>
  <c r="R450" i="20"/>
  <c r="N447" i="20"/>
  <c r="N446" i="20"/>
  <c r="H461" i="20"/>
  <c r="H455" i="20"/>
  <c r="H453" i="20"/>
  <c r="H452" i="20"/>
  <c r="H451" i="20"/>
  <c r="H450" i="20"/>
  <c r="D447" i="20"/>
  <c r="D446" i="20"/>
  <c r="G461" i="20"/>
  <c r="R424" i="20"/>
  <c r="Q424" i="20"/>
  <c r="R418" i="20"/>
  <c r="R416" i="20"/>
  <c r="R415" i="20"/>
  <c r="R414" i="20"/>
  <c r="R413" i="20"/>
  <c r="N410" i="20"/>
  <c r="N409" i="20"/>
  <c r="H424" i="20"/>
  <c r="G424" i="20"/>
  <c r="H418" i="20"/>
  <c r="H416" i="20"/>
  <c r="H415" i="20"/>
  <c r="H414" i="20"/>
  <c r="H413" i="20"/>
  <c r="D410" i="20"/>
  <c r="D409" i="20"/>
  <c r="R388" i="20"/>
  <c r="Q388" i="20"/>
  <c r="R382" i="20"/>
  <c r="R380" i="20"/>
  <c r="R379" i="20"/>
  <c r="R378" i="20"/>
  <c r="R377" i="20"/>
  <c r="N374" i="20"/>
  <c r="N373" i="20"/>
  <c r="H388" i="20"/>
  <c r="G388" i="20"/>
  <c r="H382" i="20"/>
  <c r="H380" i="20"/>
  <c r="H379" i="20"/>
  <c r="H378" i="20"/>
  <c r="H377" i="20"/>
  <c r="D374" i="20"/>
  <c r="D373" i="20"/>
  <c r="R351" i="20"/>
  <c r="Q351" i="20"/>
  <c r="R345" i="20"/>
  <c r="R343" i="20"/>
  <c r="R342" i="20"/>
  <c r="R341" i="20"/>
  <c r="R340" i="20"/>
  <c r="N337" i="20"/>
  <c r="N336" i="20"/>
  <c r="H351" i="20"/>
  <c r="G351" i="20"/>
  <c r="H345" i="20"/>
  <c r="H343" i="20"/>
  <c r="H342" i="20"/>
  <c r="H341" i="20"/>
  <c r="H340" i="20"/>
  <c r="D337" i="20"/>
  <c r="D336" i="20"/>
  <c r="N459" i="20"/>
  <c r="D459" i="20"/>
  <c r="Q458" i="20"/>
  <c r="R458" i="20" s="1"/>
  <c r="G458" i="20"/>
  <c r="H458" i="20" s="1"/>
  <c r="R457" i="20"/>
  <c r="H457" i="20"/>
  <c r="N422" i="20"/>
  <c r="D422" i="20"/>
  <c r="Q421" i="20"/>
  <c r="R421" i="20" s="1"/>
  <c r="G421" i="20"/>
  <c r="H421" i="20" s="1"/>
  <c r="R420" i="20"/>
  <c r="H420" i="20"/>
  <c r="N386" i="20"/>
  <c r="D386" i="20"/>
  <c r="Q385" i="20"/>
  <c r="R385" i="20" s="1"/>
  <c r="G385" i="20"/>
  <c r="H385" i="20" s="1"/>
  <c r="R384" i="20"/>
  <c r="H384" i="20"/>
  <c r="N349" i="20"/>
  <c r="D349" i="20"/>
  <c r="Q348" i="20"/>
  <c r="R348" i="20" s="1"/>
  <c r="G348" i="20"/>
  <c r="H348" i="20" s="1"/>
  <c r="R347" i="20"/>
  <c r="H347" i="20"/>
  <c r="R315" i="20"/>
  <c r="Q315" i="20"/>
  <c r="N313" i="20"/>
  <c r="R306" i="20"/>
  <c r="R305" i="20"/>
  <c r="R304" i="20"/>
  <c r="R303" i="20"/>
  <c r="N300" i="20"/>
  <c r="N299" i="20"/>
  <c r="H315" i="20"/>
  <c r="G315" i="20"/>
  <c r="D313" i="20"/>
  <c r="H306" i="20"/>
  <c r="H305" i="20"/>
  <c r="H304" i="20"/>
  <c r="H303" i="20"/>
  <c r="D300" i="20"/>
  <c r="D299" i="20"/>
  <c r="R277" i="20"/>
  <c r="Q277" i="20"/>
  <c r="N275" i="20"/>
  <c r="R271" i="20"/>
  <c r="R269" i="20"/>
  <c r="R268" i="20"/>
  <c r="R267" i="20"/>
  <c r="R266" i="20"/>
  <c r="N263" i="20"/>
  <c r="N262" i="20"/>
  <c r="H277" i="20"/>
  <c r="G277" i="20"/>
  <c r="D275" i="20"/>
  <c r="H271" i="20"/>
  <c r="H269" i="20"/>
  <c r="H268" i="20"/>
  <c r="H267" i="20"/>
  <c r="H266" i="20"/>
  <c r="D263" i="20"/>
  <c r="D262" i="20"/>
  <c r="R241" i="20"/>
  <c r="Q241" i="20"/>
  <c r="N239" i="20"/>
  <c r="R235" i="20"/>
  <c r="R233" i="20"/>
  <c r="R232" i="20"/>
  <c r="R231" i="20"/>
  <c r="R230" i="20"/>
  <c r="N227" i="20"/>
  <c r="N226" i="20"/>
  <c r="H241" i="20"/>
  <c r="G241" i="20"/>
  <c r="D239" i="20"/>
  <c r="H235" i="20"/>
  <c r="H233" i="20"/>
  <c r="H232" i="20"/>
  <c r="H231" i="20"/>
  <c r="H230" i="20"/>
  <c r="D227" i="20"/>
  <c r="D226" i="20"/>
  <c r="R204" i="20"/>
  <c r="Q204" i="20"/>
  <c r="N202" i="20"/>
  <c r="R198" i="20"/>
  <c r="R196" i="20"/>
  <c r="R195" i="20"/>
  <c r="R194" i="20"/>
  <c r="R193" i="20"/>
  <c r="N190" i="20"/>
  <c r="N189" i="20"/>
  <c r="H204" i="20"/>
  <c r="G204" i="20"/>
  <c r="D202" i="20"/>
  <c r="H198" i="20"/>
  <c r="H196" i="20"/>
  <c r="H195" i="20"/>
  <c r="H194" i="20"/>
  <c r="D190" i="20"/>
  <c r="D189" i="20"/>
  <c r="H193" i="20"/>
  <c r="R168" i="20"/>
  <c r="Q168" i="20"/>
  <c r="N166" i="20"/>
  <c r="R162" i="20"/>
  <c r="R160" i="20"/>
  <c r="R159" i="20"/>
  <c r="R158" i="20"/>
  <c r="R157" i="20"/>
  <c r="N154" i="20"/>
  <c r="N153" i="20"/>
  <c r="H168" i="20"/>
  <c r="G168" i="20"/>
  <c r="D166" i="20"/>
  <c r="H162" i="20"/>
  <c r="H160" i="20"/>
  <c r="H159" i="20"/>
  <c r="H158" i="20"/>
  <c r="H157" i="20"/>
  <c r="D154" i="20"/>
  <c r="D153" i="20"/>
  <c r="R131" i="20"/>
  <c r="Q131" i="20"/>
  <c r="N129" i="20"/>
  <c r="R125" i="20"/>
  <c r="R123" i="20"/>
  <c r="R122" i="20"/>
  <c r="R121" i="20"/>
  <c r="R120" i="20"/>
  <c r="N117" i="20"/>
  <c r="N116" i="20"/>
  <c r="H131" i="20"/>
  <c r="G131" i="20"/>
  <c r="D129" i="20"/>
  <c r="H125" i="20"/>
  <c r="H123" i="20"/>
  <c r="H122" i="20"/>
  <c r="H121" i="20"/>
  <c r="H120" i="20"/>
  <c r="D117" i="20"/>
  <c r="D116" i="20"/>
  <c r="R95" i="20"/>
  <c r="Q95" i="20"/>
  <c r="N93" i="20"/>
  <c r="R89" i="20"/>
  <c r="R87" i="20"/>
  <c r="R86" i="20"/>
  <c r="R85" i="20"/>
  <c r="R84" i="20"/>
  <c r="N81" i="20"/>
  <c r="N80" i="20"/>
  <c r="H95" i="20"/>
  <c r="G95" i="20"/>
  <c r="H89" i="20"/>
  <c r="H87" i="20"/>
  <c r="D93" i="20"/>
  <c r="H86" i="20"/>
  <c r="H85" i="20"/>
  <c r="H84" i="20"/>
  <c r="D81" i="20"/>
  <c r="D80" i="20"/>
  <c r="R58" i="20"/>
  <c r="Q58" i="20"/>
  <c r="N56" i="20"/>
  <c r="R52" i="20"/>
  <c r="R50" i="20"/>
  <c r="R49" i="20"/>
  <c r="R48" i="20"/>
  <c r="R47" i="20"/>
  <c r="N44" i="20"/>
  <c r="N43" i="20"/>
  <c r="H58" i="20"/>
  <c r="G58" i="20"/>
  <c r="H52" i="20"/>
  <c r="H50" i="20"/>
  <c r="H49" i="20"/>
  <c r="H48" i="20"/>
  <c r="H47" i="20"/>
  <c r="D56" i="20"/>
  <c r="D44" i="20"/>
  <c r="D43" i="20"/>
  <c r="R22" i="20"/>
  <c r="Q22" i="20"/>
  <c r="R16" i="20"/>
  <c r="R14" i="20"/>
  <c r="R13" i="20"/>
  <c r="R12" i="20"/>
  <c r="R11" i="20"/>
  <c r="N8" i="20"/>
  <c r="N7" i="20"/>
  <c r="H22" i="20"/>
  <c r="G22" i="20"/>
  <c r="Q9" i="11"/>
  <c r="D20" i="20"/>
  <c r="H16" i="20"/>
  <c r="H14" i="20"/>
  <c r="H13" i="20"/>
  <c r="H12" i="20"/>
  <c r="H11" i="20"/>
  <c r="D8" i="20"/>
  <c r="D7" i="20"/>
  <c r="Q312" i="20"/>
  <c r="R312" i="20" s="1"/>
  <c r="G312" i="20"/>
  <c r="R311" i="20"/>
  <c r="H311" i="20"/>
  <c r="R310" i="20"/>
  <c r="H310" i="20"/>
  <c r="Q274" i="20"/>
  <c r="R274" i="20" s="1"/>
  <c r="G274" i="20"/>
  <c r="H274" i="20" s="1"/>
  <c r="R273" i="20"/>
  <c r="H273" i="20"/>
  <c r="Q238" i="20"/>
  <c r="R238" i="20" s="1"/>
  <c r="G238" i="20"/>
  <c r="H238" i="20" s="1"/>
  <c r="R237" i="20"/>
  <c r="H237" i="20"/>
  <c r="Q201" i="20"/>
  <c r="R201" i="20" s="1"/>
  <c r="G201" i="20"/>
  <c r="H201" i="20" s="1"/>
  <c r="R200" i="20"/>
  <c r="H200" i="20"/>
  <c r="Q165" i="20"/>
  <c r="R165" i="20" s="1"/>
  <c r="G165" i="20"/>
  <c r="H165" i="20" s="1"/>
  <c r="R164" i="20"/>
  <c r="H164" i="20"/>
  <c r="Q128" i="20"/>
  <c r="R128" i="20" s="1"/>
  <c r="G128" i="20"/>
  <c r="H128" i="20" s="1"/>
  <c r="R127" i="20"/>
  <c r="H127" i="20"/>
  <c r="Q92" i="20"/>
  <c r="R92" i="20" s="1"/>
  <c r="G92" i="20"/>
  <c r="R91" i="20"/>
  <c r="H91" i="20"/>
  <c r="Q55" i="20"/>
  <c r="R55" i="20" s="1"/>
  <c r="G55" i="20"/>
  <c r="H55" i="20" s="1"/>
  <c r="R54" i="20"/>
  <c r="H54" i="20"/>
  <c r="R28" i="20"/>
  <c r="Q19" i="20"/>
  <c r="G19" i="20"/>
  <c r="H19" i="20" s="1"/>
  <c r="R18" i="20"/>
  <c r="H18" i="20"/>
  <c r="H636" i="19"/>
  <c r="G636" i="19"/>
  <c r="H630" i="19"/>
  <c r="H628" i="19"/>
  <c r="H627" i="19"/>
  <c r="H626" i="19"/>
  <c r="H625" i="19"/>
  <c r="D622" i="19"/>
  <c r="D621" i="19"/>
  <c r="R600" i="19"/>
  <c r="Q600" i="19"/>
  <c r="R594" i="19"/>
  <c r="R592" i="19"/>
  <c r="R591" i="19"/>
  <c r="R590" i="19"/>
  <c r="R589" i="19"/>
  <c r="N586" i="19"/>
  <c r="N585" i="19"/>
  <c r="H600" i="19"/>
  <c r="G600" i="19"/>
  <c r="H594" i="19"/>
  <c r="H592" i="19"/>
  <c r="H591" i="19"/>
  <c r="H590" i="19"/>
  <c r="H589" i="19"/>
  <c r="D586" i="19"/>
  <c r="D585" i="19"/>
  <c r="D634" i="19"/>
  <c r="G633" i="19"/>
  <c r="H633" i="19" s="1"/>
  <c r="N598" i="19"/>
  <c r="D598" i="19"/>
  <c r="Q597" i="19"/>
  <c r="R597" i="19" s="1"/>
  <c r="G597" i="19"/>
  <c r="H597" i="19" s="1"/>
  <c r="R564" i="19"/>
  <c r="Q564" i="19"/>
  <c r="N562" i="19"/>
  <c r="R558" i="19"/>
  <c r="R556" i="19"/>
  <c r="R555" i="19"/>
  <c r="R554" i="19"/>
  <c r="R553" i="19"/>
  <c r="N550" i="19"/>
  <c r="N549" i="19"/>
  <c r="H564" i="19"/>
  <c r="G564" i="19"/>
  <c r="D562" i="19"/>
  <c r="H558" i="19"/>
  <c r="H556" i="19"/>
  <c r="H555" i="19"/>
  <c r="H554" i="19"/>
  <c r="H553" i="19"/>
  <c r="D550" i="19"/>
  <c r="D549" i="19"/>
  <c r="R528" i="19"/>
  <c r="Q528" i="19"/>
  <c r="N526" i="19"/>
  <c r="R522" i="19"/>
  <c r="R520" i="19"/>
  <c r="R519" i="19"/>
  <c r="R518" i="19"/>
  <c r="R517" i="19"/>
  <c r="N514" i="19"/>
  <c r="N513" i="19"/>
  <c r="H528" i="19"/>
  <c r="G528" i="19"/>
  <c r="D526" i="19"/>
  <c r="H522" i="19"/>
  <c r="H520" i="19"/>
  <c r="H519" i="19"/>
  <c r="H518" i="19"/>
  <c r="H517" i="19"/>
  <c r="D514" i="19"/>
  <c r="D513" i="19"/>
  <c r="R492" i="19"/>
  <c r="Q492" i="19"/>
  <c r="N490" i="19"/>
  <c r="R486" i="19"/>
  <c r="R484" i="19"/>
  <c r="R483" i="19"/>
  <c r="R482" i="19"/>
  <c r="R481" i="19"/>
  <c r="N478" i="19"/>
  <c r="N477" i="19"/>
  <c r="H492" i="19"/>
  <c r="G492" i="19"/>
  <c r="D490" i="19"/>
  <c r="H486" i="19"/>
  <c r="H484" i="19"/>
  <c r="H483" i="19"/>
  <c r="H482" i="19"/>
  <c r="H481" i="19"/>
  <c r="D478" i="19"/>
  <c r="D477" i="19"/>
  <c r="R456" i="19"/>
  <c r="Q456" i="19"/>
  <c r="N454" i="19"/>
  <c r="R450" i="19"/>
  <c r="R448" i="19"/>
  <c r="R447" i="19"/>
  <c r="R446" i="19"/>
  <c r="R445" i="19"/>
  <c r="N442" i="19"/>
  <c r="N441" i="19"/>
  <c r="H456" i="19"/>
  <c r="G456" i="19"/>
  <c r="D454" i="19"/>
  <c r="H450" i="19"/>
  <c r="H448" i="19"/>
  <c r="H447" i="19"/>
  <c r="H446" i="19"/>
  <c r="H445" i="19"/>
  <c r="D442" i="19"/>
  <c r="D441" i="19"/>
  <c r="R420" i="19"/>
  <c r="Q420" i="19"/>
  <c r="N418" i="19"/>
  <c r="R414" i="19"/>
  <c r="R412" i="19"/>
  <c r="R411" i="19"/>
  <c r="R410" i="19"/>
  <c r="R409" i="19"/>
  <c r="N406" i="19"/>
  <c r="N405" i="19"/>
  <c r="H420" i="19"/>
  <c r="G420" i="19"/>
  <c r="D418" i="19"/>
  <c r="H414" i="19"/>
  <c r="H412" i="19"/>
  <c r="H411" i="19"/>
  <c r="H410" i="19"/>
  <c r="H409" i="19"/>
  <c r="D406" i="19"/>
  <c r="D405" i="19"/>
  <c r="R384" i="19"/>
  <c r="Q384" i="19"/>
  <c r="N382" i="19"/>
  <c r="R378" i="19"/>
  <c r="R376" i="19"/>
  <c r="R375" i="19"/>
  <c r="R374" i="19"/>
  <c r="R373" i="19"/>
  <c r="N370" i="19"/>
  <c r="N369" i="19"/>
  <c r="H384" i="19"/>
  <c r="G384" i="19"/>
  <c r="H378" i="19"/>
  <c r="D382" i="19"/>
  <c r="H376" i="19"/>
  <c r="H375" i="19"/>
  <c r="H374" i="19"/>
  <c r="H373" i="19"/>
  <c r="D370" i="19"/>
  <c r="D369" i="19"/>
  <c r="R348" i="19"/>
  <c r="Q348" i="19"/>
  <c r="N346" i="19"/>
  <c r="R342" i="19"/>
  <c r="R340" i="19"/>
  <c r="R339" i="19"/>
  <c r="R338" i="19"/>
  <c r="R337" i="19"/>
  <c r="N334" i="19"/>
  <c r="N333" i="19"/>
  <c r="H348" i="19"/>
  <c r="G348" i="19"/>
  <c r="D346" i="19"/>
  <c r="H342" i="19"/>
  <c r="H340" i="19"/>
  <c r="H339" i="19"/>
  <c r="H338" i="19"/>
  <c r="H337" i="19"/>
  <c r="D334" i="19"/>
  <c r="D333" i="19"/>
  <c r="R312" i="19"/>
  <c r="Q312" i="19"/>
  <c r="N310" i="19"/>
  <c r="R306" i="19"/>
  <c r="R304" i="19"/>
  <c r="R303" i="19"/>
  <c r="R302" i="19"/>
  <c r="R301" i="19"/>
  <c r="N298" i="19"/>
  <c r="G312" i="19"/>
  <c r="N297" i="19"/>
  <c r="H312" i="19"/>
  <c r="D310" i="19"/>
  <c r="H306" i="19"/>
  <c r="H304" i="19"/>
  <c r="H303" i="19"/>
  <c r="H302" i="19"/>
  <c r="H301" i="19"/>
  <c r="D298" i="19"/>
  <c r="D297" i="19"/>
  <c r="R276" i="19"/>
  <c r="Q276" i="19"/>
  <c r="N274" i="19"/>
  <c r="R270" i="19"/>
  <c r="R268" i="19"/>
  <c r="R267" i="19"/>
  <c r="R266" i="19"/>
  <c r="R265" i="19"/>
  <c r="N262" i="19"/>
  <c r="N261" i="19"/>
  <c r="H276" i="19"/>
  <c r="D274" i="19"/>
  <c r="H270" i="19"/>
  <c r="H268" i="19"/>
  <c r="H267" i="19"/>
  <c r="H266" i="19"/>
  <c r="H265" i="19"/>
  <c r="G276" i="19"/>
  <c r="D262" i="19"/>
  <c r="D261" i="19"/>
  <c r="Q561" i="19"/>
  <c r="R561" i="19" s="1"/>
  <c r="G561" i="19"/>
  <c r="H561" i="19" s="1"/>
  <c r="Q525" i="19"/>
  <c r="R525" i="19" s="1"/>
  <c r="G525" i="19"/>
  <c r="H525" i="19" s="1"/>
  <c r="Q489" i="19"/>
  <c r="R489" i="19" s="1"/>
  <c r="G489" i="19"/>
  <c r="H489" i="19" s="1"/>
  <c r="Q453" i="19"/>
  <c r="R453" i="19" s="1"/>
  <c r="G453" i="19"/>
  <c r="H453" i="19" s="1"/>
  <c r="Q417" i="19"/>
  <c r="R417" i="19" s="1"/>
  <c r="G417" i="19"/>
  <c r="H417" i="19" s="1"/>
  <c r="Q381" i="19"/>
  <c r="R381" i="19" s="1"/>
  <c r="G381" i="19"/>
  <c r="H381" i="19" s="1"/>
  <c r="Q345" i="19"/>
  <c r="R345" i="19" s="1"/>
  <c r="H345" i="19"/>
  <c r="Q309" i="19"/>
  <c r="R309" i="19" s="1"/>
  <c r="G309" i="19"/>
  <c r="H309" i="19" s="1"/>
  <c r="Q273" i="19"/>
  <c r="R273" i="19" s="1"/>
  <c r="G273" i="19"/>
  <c r="H273" i="19" s="1"/>
  <c r="R240" i="19"/>
  <c r="R234" i="19"/>
  <c r="R232" i="19"/>
  <c r="R231" i="19"/>
  <c r="R230" i="19"/>
  <c r="R229" i="19"/>
  <c r="Q240" i="19"/>
  <c r="N226" i="19"/>
  <c r="N225" i="19"/>
  <c r="H240" i="19"/>
  <c r="H234" i="19"/>
  <c r="H232" i="19"/>
  <c r="H231" i="19"/>
  <c r="H230" i="19"/>
  <c r="H229" i="19"/>
  <c r="G240" i="19"/>
  <c r="D226" i="19"/>
  <c r="D225" i="19"/>
  <c r="R204" i="19"/>
  <c r="D166" i="19"/>
  <c r="N166" i="19"/>
  <c r="N202" i="19"/>
  <c r="D202" i="19"/>
  <c r="R198" i="19"/>
  <c r="R196" i="19"/>
  <c r="R195" i="19"/>
  <c r="R194" i="19"/>
  <c r="R193" i="19"/>
  <c r="Q204" i="19"/>
  <c r="N190" i="19"/>
  <c r="N189" i="19"/>
  <c r="H204" i="19"/>
  <c r="H198" i="19"/>
  <c r="H196" i="19"/>
  <c r="H195" i="19"/>
  <c r="H194" i="19"/>
  <c r="H193" i="19"/>
  <c r="G204" i="19"/>
  <c r="D190" i="19"/>
  <c r="D189" i="19"/>
  <c r="R168" i="19"/>
  <c r="R162" i="19"/>
  <c r="R160" i="19"/>
  <c r="R159" i="19"/>
  <c r="R158" i="19"/>
  <c r="R157" i="19"/>
  <c r="Q168" i="19"/>
  <c r="N154" i="19"/>
  <c r="N153" i="19"/>
  <c r="H168" i="19"/>
  <c r="H165" i="19"/>
  <c r="H162" i="19"/>
  <c r="H160" i="19"/>
  <c r="H159" i="19"/>
  <c r="H158" i="19"/>
  <c r="H157" i="19"/>
  <c r="G168" i="19"/>
  <c r="D154" i="19"/>
  <c r="D153" i="19"/>
  <c r="R131" i="19"/>
  <c r="N129" i="19"/>
  <c r="R125" i="19"/>
  <c r="R123" i="19"/>
  <c r="R122" i="19"/>
  <c r="R121" i="19"/>
  <c r="R120" i="19"/>
  <c r="Q131" i="19"/>
  <c r="G131" i="19"/>
  <c r="N117" i="19"/>
  <c r="N116" i="19"/>
  <c r="D129" i="19"/>
  <c r="H125" i="19"/>
  <c r="H123" i="19"/>
  <c r="H122" i="19"/>
  <c r="H89" i="19"/>
  <c r="H121" i="19"/>
  <c r="H120" i="19"/>
  <c r="D117" i="19"/>
  <c r="D116" i="19"/>
  <c r="Q95" i="19"/>
  <c r="N93" i="19"/>
  <c r="R89" i="19"/>
  <c r="R87" i="19"/>
  <c r="R85" i="19"/>
  <c r="R86" i="19"/>
  <c r="R84" i="19"/>
  <c r="N81" i="19"/>
  <c r="N80" i="19"/>
  <c r="H95" i="19"/>
  <c r="H87" i="19"/>
  <c r="H86" i="19"/>
  <c r="H85" i="19"/>
  <c r="R50" i="19"/>
  <c r="H50" i="19"/>
  <c r="R14" i="19"/>
  <c r="H14" i="19"/>
  <c r="H84" i="19"/>
  <c r="D81" i="19"/>
  <c r="D80" i="19"/>
  <c r="R52" i="19"/>
  <c r="R49" i="19"/>
  <c r="R48" i="19"/>
  <c r="R47" i="19"/>
  <c r="Q58" i="19"/>
  <c r="N44" i="19"/>
  <c r="N43" i="19"/>
  <c r="H52" i="19"/>
  <c r="H49" i="19"/>
  <c r="H48" i="19"/>
  <c r="H47" i="19"/>
  <c r="G58" i="19"/>
  <c r="D44" i="19"/>
  <c r="D43" i="19"/>
  <c r="R22" i="19"/>
  <c r="R16" i="19"/>
  <c r="R13" i="19"/>
  <c r="R12" i="19"/>
  <c r="R11" i="19"/>
  <c r="Q22" i="19"/>
  <c r="G22" i="19"/>
  <c r="N8" i="19"/>
  <c r="N7" i="19"/>
  <c r="H16" i="19"/>
  <c r="H13" i="19"/>
  <c r="H12" i="19"/>
  <c r="H11" i="19"/>
  <c r="D8" i="19"/>
  <c r="D7" i="19"/>
  <c r="R246" i="19"/>
  <c r="H246" i="19"/>
  <c r="N238" i="19"/>
  <c r="D238" i="19"/>
  <c r="Q237" i="19"/>
  <c r="R237" i="19" s="1"/>
  <c r="G236" i="19"/>
  <c r="N224" i="19"/>
  <c r="D224" i="19"/>
  <c r="R210" i="19"/>
  <c r="H210" i="19"/>
  <c r="Q200" i="19"/>
  <c r="Q201" i="19" s="1"/>
  <c r="R201" i="19" s="1"/>
  <c r="N188" i="19"/>
  <c r="D188" i="19"/>
  <c r="R174" i="19"/>
  <c r="H174" i="19"/>
  <c r="Q165" i="19"/>
  <c r="R165" i="19" s="1"/>
  <c r="R164" i="19"/>
  <c r="N152" i="19"/>
  <c r="D152" i="19"/>
  <c r="R137" i="19"/>
  <c r="H137" i="19"/>
  <c r="Q127" i="19"/>
  <c r="Q128" i="19" s="1"/>
  <c r="R128" i="19" s="1"/>
  <c r="G127" i="19"/>
  <c r="N115" i="19"/>
  <c r="D115" i="19"/>
  <c r="H101" i="19"/>
  <c r="G95" i="19"/>
  <c r="D93" i="19"/>
  <c r="R91" i="19"/>
  <c r="G92" i="19"/>
  <c r="D91" i="19"/>
  <c r="D79" i="19"/>
  <c r="D78" i="19"/>
  <c r="R64" i="19"/>
  <c r="H64" i="19"/>
  <c r="N56" i="19"/>
  <c r="D56" i="19"/>
  <c r="D55" i="19"/>
  <c r="N54" i="19"/>
  <c r="G55" i="19"/>
  <c r="D54" i="19"/>
  <c r="N42" i="19"/>
  <c r="D42" i="19"/>
  <c r="N41" i="19"/>
  <c r="D41" i="19"/>
  <c r="R28" i="19"/>
  <c r="H28" i="19"/>
  <c r="N20" i="19"/>
  <c r="D20" i="19"/>
  <c r="N19" i="19"/>
  <c r="D19" i="19"/>
  <c r="G19" i="19"/>
  <c r="D18" i="19"/>
  <c r="H18" i="19" s="1"/>
  <c r="N6" i="19"/>
  <c r="D6" i="19"/>
  <c r="N5" i="19"/>
  <c r="D5" i="19"/>
  <c r="R231" i="21"/>
  <c r="R222" i="21"/>
  <c r="R221" i="21"/>
  <c r="H231" i="21"/>
  <c r="H222" i="21"/>
  <c r="H221" i="21"/>
  <c r="R196" i="21"/>
  <c r="R187" i="21"/>
  <c r="R186" i="21"/>
  <c r="H196" i="21"/>
  <c r="H187" i="21"/>
  <c r="H186" i="21"/>
  <c r="R161" i="21"/>
  <c r="R154" i="21"/>
  <c r="R152" i="21"/>
  <c r="R151" i="21"/>
  <c r="H161" i="21"/>
  <c r="H152" i="21"/>
  <c r="H151" i="21"/>
  <c r="R126" i="21"/>
  <c r="R119" i="21"/>
  <c r="R117" i="21"/>
  <c r="R116" i="21"/>
  <c r="H116" i="21"/>
  <c r="H126" i="21"/>
  <c r="H119" i="21"/>
  <c r="H117" i="21"/>
  <c r="D49" i="21"/>
  <c r="N49" i="21"/>
  <c r="D84" i="21"/>
  <c r="D121" i="21"/>
  <c r="D122" i="21"/>
  <c r="D123" i="21"/>
  <c r="G121" i="21"/>
  <c r="N119" i="21"/>
  <c r="N121" i="21"/>
  <c r="N122" i="21"/>
  <c r="N123" i="21"/>
  <c r="Q121" i="21"/>
  <c r="Q122" i="21" s="1"/>
  <c r="G86" i="21"/>
  <c r="G87" i="21" s="1"/>
  <c r="G50" i="21"/>
  <c r="G51" i="21"/>
  <c r="G52" i="21" s="1"/>
  <c r="Q50" i="21"/>
  <c r="Q51" i="21"/>
  <c r="Q52" i="21" s="1"/>
  <c r="Q15" i="21"/>
  <c r="Q16" i="21"/>
  <c r="Q17" i="21" s="1"/>
  <c r="G15" i="21"/>
  <c r="G16" i="21"/>
  <c r="N75" i="21"/>
  <c r="H91" i="21"/>
  <c r="H84" i="21"/>
  <c r="H82" i="21"/>
  <c r="H81" i="21"/>
  <c r="R49" i="21"/>
  <c r="R47" i="21"/>
  <c r="R46" i="21"/>
  <c r="H49" i="21"/>
  <c r="H47" i="21"/>
  <c r="H46" i="21"/>
  <c r="R14" i="21"/>
  <c r="R12" i="21"/>
  <c r="R11" i="21"/>
  <c r="H14" i="21"/>
  <c r="H12" i="21"/>
  <c r="H11" i="21"/>
  <c r="R296" i="18"/>
  <c r="R288" i="18"/>
  <c r="R287" i="18"/>
  <c r="H296" i="18"/>
  <c r="N293" i="18"/>
  <c r="D293" i="18"/>
  <c r="H288" i="18"/>
  <c r="H287" i="18"/>
  <c r="R260" i="18"/>
  <c r="R252" i="18"/>
  <c r="R251" i="18"/>
  <c r="H260" i="18"/>
  <c r="H252" i="18"/>
  <c r="H251" i="18"/>
  <c r="R228" i="18"/>
  <c r="R220" i="18"/>
  <c r="R219" i="18"/>
  <c r="H228" i="18"/>
  <c r="H220" i="18"/>
  <c r="H219" i="18"/>
  <c r="R192" i="18"/>
  <c r="R184" i="18"/>
  <c r="R183" i="18"/>
  <c r="H192" i="18"/>
  <c r="H184" i="18"/>
  <c r="H183" i="18"/>
  <c r="R160" i="18"/>
  <c r="R152" i="18"/>
  <c r="R151" i="18"/>
  <c r="H160" i="18"/>
  <c r="H152" i="18"/>
  <c r="H151" i="18"/>
  <c r="N157" i="18"/>
  <c r="R123" i="18"/>
  <c r="R115" i="18"/>
  <c r="R114" i="18"/>
  <c r="H123" i="18"/>
  <c r="H115" i="18"/>
  <c r="H114" i="18"/>
  <c r="R117" i="18"/>
  <c r="Q118" i="18"/>
  <c r="R118" i="18" s="1"/>
  <c r="N120" i="18"/>
  <c r="Q123" i="18"/>
  <c r="R91" i="18"/>
  <c r="R83" i="18"/>
  <c r="R82" i="18"/>
  <c r="H91" i="18"/>
  <c r="H83" i="18"/>
  <c r="H82" i="18"/>
  <c r="D88" i="18"/>
  <c r="H85" i="18"/>
  <c r="G86" i="18"/>
  <c r="H86" i="18" s="1"/>
  <c r="G91" i="18"/>
  <c r="R85" i="18"/>
  <c r="Q86" i="18"/>
  <c r="R86" i="18" s="1"/>
  <c r="N88" i="18"/>
  <c r="Q91" i="18"/>
  <c r="R53" i="18"/>
  <c r="R45" i="18"/>
  <c r="R44" i="18"/>
  <c r="H53" i="18"/>
  <c r="H45" i="18"/>
  <c r="H44" i="18"/>
  <c r="R12" i="18"/>
  <c r="AE10" i="1"/>
  <c r="R13" i="18"/>
  <c r="W10" i="1" l="1"/>
  <c r="Y10" i="1" s="1"/>
  <c r="R10" i="1"/>
  <c r="N20" i="20"/>
  <c r="H312" i="20"/>
  <c r="H92" i="20"/>
  <c r="R19" i="20"/>
  <c r="R200" i="19"/>
  <c r="H92" i="19"/>
  <c r="H54" i="19"/>
  <c r="H91" i="19"/>
  <c r="G128" i="19"/>
  <c r="H128" i="19" s="1"/>
  <c r="H19" i="19"/>
  <c r="R18" i="19"/>
  <c r="H55" i="19"/>
  <c r="R54" i="19"/>
  <c r="R127" i="19"/>
  <c r="H200" i="19"/>
  <c r="Q92" i="19"/>
  <c r="Q19" i="19"/>
  <c r="R19" i="19" s="1"/>
  <c r="Q55" i="19"/>
  <c r="R55" i="19" s="1"/>
  <c r="G201" i="19"/>
  <c r="G237" i="19"/>
  <c r="H237" i="19" s="1"/>
  <c r="H121" i="21"/>
  <c r="R121" i="21"/>
  <c r="Q119" i="18"/>
  <c r="R119" i="18" s="1"/>
  <c r="Q87" i="18"/>
  <c r="R87" i="18" s="1"/>
  <c r="G87" i="18"/>
  <c r="H87" i="18" s="1"/>
  <c r="R237" i="21"/>
  <c r="H237" i="21"/>
  <c r="Q231" i="21"/>
  <c r="G231" i="21"/>
  <c r="N228" i="21"/>
  <c r="D228" i="21"/>
  <c r="N227" i="21"/>
  <c r="D227" i="21"/>
  <c r="Q226" i="21"/>
  <c r="N226" i="21"/>
  <c r="G226" i="21"/>
  <c r="D226" i="21"/>
  <c r="N224" i="21"/>
  <c r="R224" i="21" s="1"/>
  <c r="D224" i="21"/>
  <c r="H224" i="21" s="1"/>
  <c r="N218" i="21"/>
  <c r="D218" i="21"/>
  <c r="N217" i="21"/>
  <c r="D217" i="21"/>
  <c r="N216" i="21"/>
  <c r="D216" i="21"/>
  <c r="R202" i="21"/>
  <c r="H202" i="21"/>
  <c r="Q196" i="21"/>
  <c r="G196" i="21"/>
  <c r="N193" i="21"/>
  <c r="D193" i="21"/>
  <c r="N192" i="21"/>
  <c r="D192" i="21"/>
  <c r="Q191" i="21"/>
  <c r="N191" i="21"/>
  <c r="G191" i="21"/>
  <c r="G192" i="21" s="1"/>
  <c r="D191" i="21"/>
  <c r="N189" i="21"/>
  <c r="R189" i="21" s="1"/>
  <c r="D189" i="21"/>
  <c r="H189" i="21" s="1"/>
  <c r="N183" i="21"/>
  <c r="D183" i="21"/>
  <c r="N182" i="21"/>
  <c r="D182" i="21"/>
  <c r="N181" i="21"/>
  <c r="D181" i="21"/>
  <c r="N180" i="21"/>
  <c r="D180" i="21"/>
  <c r="R167" i="21"/>
  <c r="H167" i="21"/>
  <c r="Q161" i="21"/>
  <c r="G161" i="21"/>
  <c r="N158" i="21"/>
  <c r="D158" i="21"/>
  <c r="N157" i="21"/>
  <c r="D157" i="21"/>
  <c r="Q156" i="21"/>
  <c r="Q157" i="21" s="1"/>
  <c r="N156" i="21"/>
  <c r="G156" i="21"/>
  <c r="D156" i="21"/>
  <c r="N154" i="21"/>
  <c r="D154" i="21"/>
  <c r="H154" i="21" s="1"/>
  <c r="N148" i="21"/>
  <c r="D148" i="21"/>
  <c r="N147" i="21"/>
  <c r="D147" i="21"/>
  <c r="N146" i="21"/>
  <c r="D146" i="21"/>
  <c r="N145" i="21"/>
  <c r="D145" i="21"/>
  <c r="R132" i="21"/>
  <c r="H132" i="21"/>
  <c r="Q126" i="21"/>
  <c r="G126" i="21"/>
  <c r="N113" i="21"/>
  <c r="D113" i="21"/>
  <c r="N112" i="21"/>
  <c r="D112" i="21"/>
  <c r="N111" i="21"/>
  <c r="H97" i="21"/>
  <c r="R95" i="21"/>
  <c r="Q94" i="21"/>
  <c r="Q91" i="21"/>
  <c r="N91" i="21"/>
  <c r="G91" i="21"/>
  <c r="N88" i="21"/>
  <c r="D88" i="21"/>
  <c r="N87" i="21"/>
  <c r="D87" i="21"/>
  <c r="Q86" i="21"/>
  <c r="N86" i="21"/>
  <c r="D86" i="21"/>
  <c r="N84" i="21"/>
  <c r="N78" i="21"/>
  <c r="D78" i="21"/>
  <c r="N77" i="21"/>
  <c r="D77" i="21"/>
  <c r="N76" i="21"/>
  <c r="D76" i="21"/>
  <c r="D75" i="21"/>
  <c r="R62" i="21"/>
  <c r="H62" i="21"/>
  <c r="Q56" i="21"/>
  <c r="G56" i="21"/>
  <c r="N53" i="21"/>
  <c r="D53" i="21"/>
  <c r="N52" i="21"/>
  <c r="D52" i="21"/>
  <c r="N51" i="21"/>
  <c r="D51" i="21"/>
  <c r="N50" i="21"/>
  <c r="D50" i="21"/>
  <c r="N43" i="21"/>
  <c r="D43" i="21"/>
  <c r="N42" i="21"/>
  <c r="D42" i="21"/>
  <c r="N41" i="21"/>
  <c r="D41" i="21"/>
  <c r="N40" i="21"/>
  <c r="D40" i="21"/>
  <c r="R27" i="21"/>
  <c r="H27" i="21"/>
  <c r="Q21" i="21"/>
  <c r="G21" i="21"/>
  <c r="N18" i="21"/>
  <c r="D18" i="21"/>
  <c r="N17" i="21"/>
  <c r="D17" i="21"/>
  <c r="N16" i="21"/>
  <c r="G17" i="21"/>
  <c r="D16" i="21"/>
  <c r="N15" i="21"/>
  <c r="D15" i="21"/>
  <c r="N8" i="21"/>
  <c r="D8" i="21"/>
  <c r="N7" i="21"/>
  <c r="D7" i="21"/>
  <c r="N6" i="21"/>
  <c r="D6" i="21"/>
  <c r="N5" i="21"/>
  <c r="D5" i="21"/>
  <c r="H21" i="18"/>
  <c r="R21" i="18"/>
  <c r="H13" i="18"/>
  <c r="R157" i="21" l="1"/>
  <c r="H192" i="21"/>
  <c r="R226" i="21"/>
  <c r="G227" i="21"/>
  <c r="H226" i="21"/>
  <c r="R191" i="21"/>
  <c r="G157" i="21"/>
  <c r="H157" i="21" s="1"/>
  <c r="H156" i="21"/>
  <c r="H15" i="21"/>
  <c r="H17" i="21"/>
  <c r="H52" i="21"/>
  <c r="H227" i="21"/>
  <c r="H191" i="21"/>
  <c r="H16" i="21"/>
  <c r="R51" i="21"/>
  <c r="R86" i="21"/>
  <c r="R88" i="21" s="1"/>
  <c r="R96" i="21" s="1"/>
  <c r="R156" i="21"/>
  <c r="R16" i="21"/>
  <c r="R17" i="21"/>
  <c r="H51" i="21"/>
  <c r="H86" i="21"/>
  <c r="H87" i="21"/>
  <c r="G122" i="21"/>
  <c r="H122" i="21" s="1"/>
  <c r="R50" i="21"/>
  <c r="R52" i="21"/>
  <c r="R15" i="21"/>
  <c r="H50" i="21"/>
  <c r="Q87" i="21"/>
  <c r="R122" i="21"/>
  <c r="Q192" i="21"/>
  <c r="R192" i="21" s="1"/>
  <c r="Q227" i="21"/>
  <c r="R227" i="21" s="1"/>
  <c r="R537" i="18"/>
  <c r="H537" i="18"/>
  <c r="R534" i="18"/>
  <c r="H534" i="18"/>
  <c r="R533" i="18"/>
  <c r="Q533" i="18"/>
  <c r="H533" i="18"/>
  <c r="G533" i="18"/>
  <c r="N530" i="18"/>
  <c r="D530" i="18"/>
  <c r="N529" i="18"/>
  <c r="D529" i="18"/>
  <c r="Q528" i="18"/>
  <c r="Q529" i="18" s="1"/>
  <c r="N528" i="18"/>
  <c r="G528" i="18"/>
  <c r="D528" i="18"/>
  <c r="H527" i="18"/>
  <c r="N526" i="18"/>
  <c r="R526" i="18" s="1"/>
  <c r="D526" i="18"/>
  <c r="H526" i="18" s="1"/>
  <c r="R525" i="18"/>
  <c r="H525" i="18"/>
  <c r="R524" i="18"/>
  <c r="Q524" i="18"/>
  <c r="N524" i="18"/>
  <c r="H524" i="18"/>
  <c r="G524" i="18"/>
  <c r="D524" i="18"/>
  <c r="N521" i="18"/>
  <c r="D521" i="18"/>
  <c r="N520" i="18"/>
  <c r="D520" i="18"/>
  <c r="N519" i="18"/>
  <c r="D519" i="18"/>
  <c r="N518" i="18"/>
  <c r="D518" i="18"/>
  <c r="R504" i="18"/>
  <c r="H504" i="18"/>
  <c r="R501" i="18"/>
  <c r="H501" i="18"/>
  <c r="R500" i="18"/>
  <c r="Q500" i="18"/>
  <c r="H500" i="18"/>
  <c r="G500" i="18"/>
  <c r="N497" i="18"/>
  <c r="D497" i="18"/>
  <c r="N496" i="18"/>
  <c r="D496" i="18"/>
  <c r="Q495" i="18"/>
  <c r="Q496" i="18" s="1"/>
  <c r="N495" i="18"/>
  <c r="G495" i="18"/>
  <c r="D495" i="18"/>
  <c r="N493" i="18"/>
  <c r="R493" i="18" s="1"/>
  <c r="D493" i="18"/>
  <c r="H493" i="18" s="1"/>
  <c r="R492" i="18"/>
  <c r="H492" i="18"/>
  <c r="R491" i="18"/>
  <c r="Q491" i="18"/>
  <c r="N491" i="18"/>
  <c r="H491" i="18"/>
  <c r="G491" i="18"/>
  <c r="D491" i="18"/>
  <c r="N488" i="18"/>
  <c r="D488" i="18"/>
  <c r="N487" i="18"/>
  <c r="D487" i="18"/>
  <c r="N486" i="18"/>
  <c r="D486" i="18"/>
  <c r="N485" i="18"/>
  <c r="D485" i="18"/>
  <c r="R469" i="18"/>
  <c r="H469" i="18"/>
  <c r="R466" i="18"/>
  <c r="H466" i="18"/>
  <c r="R465" i="18"/>
  <c r="Q465" i="18"/>
  <c r="H465" i="18"/>
  <c r="G465" i="18"/>
  <c r="N462" i="18"/>
  <c r="D462" i="18"/>
  <c r="N461" i="18"/>
  <c r="D461" i="18"/>
  <c r="Q460" i="18"/>
  <c r="N460" i="18"/>
  <c r="G460" i="18"/>
  <c r="G461" i="18" s="1"/>
  <c r="D460" i="18"/>
  <c r="N458" i="18"/>
  <c r="R458" i="18" s="1"/>
  <c r="D458" i="18"/>
  <c r="H458" i="18" s="1"/>
  <c r="R457" i="18"/>
  <c r="H457" i="18"/>
  <c r="R456" i="18"/>
  <c r="Q456" i="18"/>
  <c r="N456" i="18"/>
  <c r="H456" i="18"/>
  <c r="G456" i="18"/>
  <c r="D456" i="18"/>
  <c r="N453" i="18"/>
  <c r="D453" i="18"/>
  <c r="N452" i="18"/>
  <c r="D452" i="18"/>
  <c r="N451" i="18"/>
  <c r="D451" i="18"/>
  <c r="N450" i="18"/>
  <c r="D450" i="18"/>
  <c r="R436" i="18"/>
  <c r="H436" i="18"/>
  <c r="R433" i="18"/>
  <c r="H433" i="18"/>
  <c r="R432" i="18"/>
  <c r="Q432" i="18"/>
  <c r="H432" i="18"/>
  <c r="G432" i="18"/>
  <c r="N429" i="18"/>
  <c r="D429" i="18"/>
  <c r="N428" i="18"/>
  <c r="D428" i="18"/>
  <c r="Q427" i="18"/>
  <c r="Q428" i="18" s="1"/>
  <c r="N427" i="18"/>
  <c r="G427" i="18"/>
  <c r="D427" i="18"/>
  <c r="N425" i="18"/>
  <c r="R425" i="18" s="1"/>
  <c r="D425" i="18"/>
  <c r="H425" i="18" s="1"/>
  <c r="R424" i="18"/>
  <c r="H424" i="18"/>
  <c r="R423" i="18"/>
  <c r="Q423" i="18"/>
  <c r="N423" i="18"/>
  <c r="H423" i="18"/>
  <c r="G423" i="18"/>
  <c r="D423" i="18"/>
  <c r="N420" i="18"/>
  <c r="D420" i="18"/>
  <c r="N419" i="18"/>
  <c r="D419" i="18"/>
  <c r="N418" i="18"/>
  <c r="D418" i="18"/>
  <c r="N417" i="18"/>
  <c r="D417" i="18"/>
  <c r="H401" i="18"/>
  <c r="R399" i="18"/>
  <c r="Q398" i="18"/>
  <c r="H398" i="18"/>
  <c r="Q397" i="18"/>
  <c r="N397" i="18"/>
  <c r="H397" i="18"/>
  <c r="G397" i="18"/>
  <c r="N394" i="18"/>
  <c r="D394" i="18"/>
  <c r="N393" i="18"/>
  <c r="D393" i="18"/>
  <c r="Q392" i="18"/>
  <c r="Q393" i="18" s="1"/>
  <c r="N392" i="18"/>
  <c r="G392" i="18"/>
  <c r="D392" i="18"/>
  <c r="N390" i="18"/>
  <c r="D390" i="18"/>
  <c r="H390" i="18" s="1"/>
  <c r="H389" i="18"/>
  <c r="H388" i="18"/>
  <c r="N385" i="18"/>
  <c r="D385" i="18"/>
  <c r="N384" i="18"/>
  <c r="D384" i="18"/>
  <c r="N383" i="18"/>
  <c r="D383" i="18"/>
  <c r="N382" i="18"/>
  <c r="D382" i="18"/>
  <c r="R368" i="18"/>
  <c r="H368" i="18"/>
  <c r="R365" i="18"/>
  <c r="H365" i="18"/>
  <c r="R364" i="18"/>
  <c r="Q364" i="18"/>
  <c r="H364" i="18"/>
  <c r="G364" i="18"/>
  <c r="N361" i="18"/>
  <c r="D361" i="18"/>
  <c r="N360" i="18"/>
  <c r="D360" i="18"/>
  <c r="Q359" i="18"/>
  <c r="N359" i="18"/>
  <c r="G359" i="18"/>
  <c r="G360" i="18" s="1"/>
  <c r="D359" i="18"/>
  <c r="Q358" i="18"/>
  <c r="N358" i="18"/>
  <c r="G358" i="18"/>
  <c r="D358" i="18"/>
  <c r="N357" i="18"/>
  <c r="R357" i="18" s="1"/>
  <c r="D357" i="18"/>
  <c r="H357" i="18" s="1"/>
  <c r="R356" i="18"/>
  <c r="H356" i="18"/>
  <c r="R355" i="18"/>
  <c r="H355" i="18"/>
  <c r="N352" i="18"/>
  <c r="D352" i="18"/>
  <c r="N351" i="18"/>
  <c r="D351" i="18"/>
  <c r="N350" i="18"/>
  <c r="D350" i="18"/>
  <c r="R332" i="18"/>
  <c r="H332" i="18"/>
  <c r="R329" i="18"/>
  <c r="H329" i="18"/>
  <c r="R328" i="18"/>
  <c r="Q328" i="18"/>
  <c r="H328" i="18"/>
  <c r="G328" i="18"/>
  <c r="N325" i="18"/>
  <c r="D325" i="18"/>
  <c r="N324" i="18"/>
  <c r="D324" i="18"/>
  <c r="Q323" i="18"/>
  <c r="N323" i="18"/>
  <c r="G323" i="18"/>
  <c r="G324" i="18" s="1"/>
  <c r="D323" i="18"/>
  <c r="Q322" i="18"/>
  <c r="N322" i="18"/>
  <c r="G322" i="18"/>
  <c r="D322" i="18"/>
  <c r="N321" i="18"/>
  <c r="R321" i="18" s="1"/>
  <c r="D321" i="18"/>
  <c r="H321" i="18" s="1"/>
  <c r="R320" i="18"/>
  <c r="H320" i="18"/>
  <c r="R319" i="18"/>
  <c r="H319" i="18"/>
  <c r="N316" i="18"/>
  <c r="D316" i="18"/>
  <c r="N315" i="18"/>
  <c r="D315" i="18"/>
  <c r="N314" i="18"/>
  <c r="D314" i="18"/>
  <c r="N313" i="18"/>
  <c r="D313" i="18"/>
  <c r="Q296" i="18"/>
  <c r="G296" i="18"/>
  <c r="Q292" i="18"/>
  <c r="R292" i="18" s="1"/>
  <c r="G292" i="18"/>
  <c r="R291" i="18"/>
  <c r="R290" i="18"/>
  <c r="H290" i="18"/>
  <c r="N284" i="18"/>
  <c r="D284" i="18"/>
  <c r="N283" i="18"/>
  <c r="D283" i="18"/>
  <c r="N282" i="18"/>
  <c r="D282" i="18"/>
  <c r="N281" i="18"/>
  <c r="D281" i="18"/>
  <c r="Q260" i="18"/>
  <c r="G260" i="18"/>
  <c r="N257" i="18"/>
  <c r="Q256" i="18"/>
  <c r="R256" i="18" s="1"/>
  <c r="G256" i="18"/>
  <c r="D256" i="18"/>
  <c r="R255" i="18"/>
  <c r="D255" i="18"/>
  <c r="H255" i="18" s="1"/>
  <c r="R254" i="18"/>
  <c r="H254" i="18"/>
  <c r="N248" i="18"/>
  <c r="D248" i="18"/>
  <c r="N247" i="18"/>
  <c r="D247" i="18"/>
  <c r="N246" i="18"/>
  <c r="D246" i="18"/>
  <c r="N245" i="18"/>
  <c r="D245" i="18"/>
  <c r="Q228" i="18"/>
  <c r="G228" i="18"/>
  <c r="N225" i="18"/>
  <c r="Q224" i="18"/>
  <c r="R224" i="18" s="1"/>
  <c r="G224" i="18"/>
  <c r="D224" i="18"/>
  <c r="R223" i="18"/>
  <c r="D223" i="18"/>
  <c r="H223" i="18" s="1"/>
  <c r="R222" i="18"/>
  <c r="H222" i="18"/>
  <c r="N216" i="18"/>
  <c r="D216" i="18"/>
  <c r="N215" i="18"/>
  <c r="D215" i="18"/>
  <c r="N214" i="18"/>
  <c r="D214" i="18"/>
  <c r="N213" i="18"/>
  <c r="D213" i="18"/>
  <c r="Q192" i="18"/>
  <c r="G192" i="18"/>
  <c r="D189" i="18"/>
  <c r="Q188" i="18"/>
  <c r="R188" i="18" s="1"/>
  <c r="D188" i="18"/>
  <c r="N189" i="18"/>
  <c r="G187" i="18"/>
  <c r="G188" i="18" s="1"/>
  <c r="D187" i="18"/>
  <c r="R186" i="18"/>
  <c r="H186" i="18"/>
  <c r="N180" i="18"/>
  <c r="D180" i="18"/>
  <c r="N179" i="18"/>
  <c r="D179" i="18"/>
  <c r="N178" i="18"/>
  <c r="D178" i="18"/>
  <c r="N177" i="18"/>
  <c r="D177" i="18"/>
  <c r="Q160" i="18"/>
  <c r="G160" i="18"/>
  <c r="D157" i="18"/>
  <c r="D156" i="18"/>
  <c r="Q155" i="18"/>
  <c r="G155" i="18"/>
  <c r="D155" i="18"/>
  <c r="R154" i="18"/>
  <c r="H154" i="18"/>
  <c r="N148" i="18"/>
  <c r="D148" i="18"/>
  <c r="N147" i="18"/>
  <c r="D147" i="18"/>
  <c r="N146" i="18"/>
  <c r="D146" i="18"/>
  <c r="N145" i="18"/>
  <c r="D145" i="18"/>
  <c r="G123" i="18"/>
  <c r="D120" i="18"/>
  <c r="D119" i="18"/>
  <c r="G118" i="18"/>
  <c r="D118" i="18"/>
  <c r="H117" i="18"/>
  <c r="N111" i="18"/>
  <c r="D111" i="18"/>
  <c r="N110" i="18"/>
  <c r="D110" i="18"/>
  <c r="N109" i="18"/>
  <c r="D109" i="18"/>
  <c r="N108" i="18"/>
  <c r="D108" i="18"/>
  <c r="N79" i="18"/>
  <c r="D79" i="18"/>
  <c r="N78" i="18"/>
  <c r="D78" i="18"/>
  <c r="N77" i="18"/>
  <c r="D77" i="18"/>
  <c r="N76" i="18"/>
  <c r="D76" i="18"/>
  <c r="Q53" i="18"/>
  <c r="G53" i="18"/>
  <c r="N49" i="18"/>
  <c r="D49" i="18"/>
  <c r="Q48" i="18"/>
  <c r="N48" i="18"/>
  <c r="G48" i="18"/>
  <c r="G49" i="18" s="1"/>
  <c r="D48" i="18"/>
  <c r="D50" i="18" s="1"/>
  <c r="R47" i="18"/>
  <c r="N41" i="18"/>
  <c r="D41" i="18"/>
  <c r="N40" i="18"/>
  <c r="D40" i="18"/>
  <c r="N39" i="18"/>
  <c r="D39" i="18"/>
  <c r="N38" i="18"/>
  <c r="D38" i="18"/>
  <c r="Q21" i="18"/>
  <c r="G21" i="18"/>
  <c r="N18" i="18"/>
  <c r="D18" i="18"/>
  <c r="N17" i="18"/>
  <c r="D17" i="18"/>
  <c r="Q16" i="18"/>
  <c r="Q17" i="18" s="1"/>
  <c r="N16" i="18"/>
  <c r="G16" i="18"/>
  <c r="D16" i="18"/>
  <c r="R15" i="18"/>
  <c r="H15" i="18"/>
  <c r="H12" i="18"/>
  <c r="N9" i="18"/>
  <c r="D9" i="18"/>
  <c r="N8" i="18"/>
  <c r="D8" i="18"/>
  <c r="N7" i="18"/>
  <c r="D7" i="18"/>
  <c r="N6" i="18"/>
  <c r="D6" i="18"/>
  <c r="R427" i="18" l="1"/>
  <c r="H399" i="18"/>
  <c r="R99" i="21"/>
  <c r="R392" i="18"/>
  <c r="R394" i="18" s="1"/>
  <c r="R400" i="18" s="1"/>
  <c r="H224" i="18"/>
  <c r="R366" i="18"/>
  <c r="H502" i="18"/>
  <c r="H535" i="18"/>
  <c r="H495" i="18"/>
  <c r="H330" i="18"/>
  <c r="H49" i="18"/>
  <c r="N50" i="18"/>
  <c r="R322" i="18"/>
  <c r="H366" i="18"/>
  <c r="R434" i="18"/>
  <c r="H461" i="18"/>
  <c r="H467" i="18"/>
  <c r="R495" i="18"/>
  <c r="H188" i="18"/>
  <c r="R496" i="18"/>
  <c r="R502" i="18"/>
  <c r="H322" i="18"/>
  <c r="H392" i="18"/>
  <c r="R460" i="18"/>
  <c r="R529" i="18"/>
  <c r="H360" i="18"/>
  <c r="H292" i="18"/>
  <c r="R323" i="18"/>
  <c r="H528" i="18"/>
  <c r="G529" i="18"/>
  <c r="H529" i="18" s="1"/>
  <c r="G393" i="18"/>
  <c r="H393" i="18" s="1"/>
  <c r="Q461" i="18"/>
  <c r="R461" i="18" s="1"/>
  <c r="G496" i="18"/>
  <c r="H496" i="18" s="1"/>
  <c r="R17" i="18"/>
  <c r="H155" i="18"/>
  <c r="G156" i="18"/>
  <c r="H156" i="18" s="1"/>
  <c r="Q324" i="18"/>
  <c r="R324" i="18" s="1"/>
  <c r="H359" i="18"/>
  <c r="H427" i="18"/>
  <c r="G428" i="18"/>
  <c r="H428" i="18" s="1"/>
  <c r="R187" i="18"/>
  <c r="H256" i="18"/>
  <c r="H324" i="18"/>
  <c r="R358" i="18"/>
  <c r="H434" i="18"/>
  <c r="R467" i="18"/>
  <c r="R528" i="18"/>
  <c r="R535" i="18"/>
  <c r="H323" i="18"/>
  <c r="R330" i="18"/>
  <c r="H358" i="18"/>
  <c r="R359" i="18"/>
  <c r="Q360" i="18"/>
  <c r="R360" i="18" s="1"/>
  <c r="R428" i="18"/>
  <c r="G17" i="18"/>
  <c r="H17" i="18" s="1"/>
  <c r="H16" i="18"/>
  <c r="R155" i="18"/>
  <c r="Q49" i="18"/>
  <c r="R49" i="18" s="1"/>
  <c r="R48" i="18"/>
  <c r="R16" i="18"/>
  <c r="G119" i="18"/>
  <c r="H119" i="18" s="1"/>
  <c r="H118" i="18"/>
  <c r="H48" i="18"/>
  <c r="Q156" i="18"/>
  <c r="R156" i="18" s="1"/>
  <c r="H187" i="18"/>
  <c r="D225" i="18"/>
  <c r="D257" i="18"/>
  <c r="H291" i="18"/>
  <c r="H460" i="18"/>
  <c r="R403" i="18" l="1"/>
  <c r="R530" i="18"/>
  <c r="R429" i="18"/>
  <c r="R435" i="18" s="1"/>
  <c r="R438" i="18" s="1"/>
  <c r="H462" i="18"/>
  <c r="H468" i="18" s="1"/>
  <c r="H471" i="18" s="1"/>
  <c r="H497" i="18"/>
  <c r="H503" i="18" s="1"/>
  <c r="H506" i="18" s="1"/>
  <c r="R497" i="18"/>
  <c r="R503" i="18" s="1"/>
  <c r="H530" i="18"/>
  <c r="H536" i="18" s="1"/>
  <c r="H394" i="18"/>
  <c r="H400" i="18" s="1"/>
  <c r="H403" i="18" s="1"/>
  <c r="R361" i="18"/>
  <c r="R367" i="18" s="1"/>
  <c r="R370" i="18" s="1"/>
  <c r="H325" i="18"/>
  <c r="H331" i="18" s="1"/>
  <c r="H334" i="18" s="1"/>
  <c r="H429" i="18"/>
  <c r="H435" i="18" s="1"/>
  <c r="H438" i="18" s="1"/>
  <c r="R536" i="18"/>
  <c r="R539" i="18" s="1"/>
  <c r="R462" i="18"/>
  <c r="R468" i="18" s="1"/>
  <c r="R471" i="18" s="1"/>
  <c r="R325" i="18"/>
  <c r="R331" i="18" s="1"/>
  <c r="R334" i="18" s="1"/>
  <c r="H361" i="18"/>
  <c r="H367" i="18" s="1"/>
  <c r="H370" i="18" s="1"/>
  <c r="H539" i="18"/>
  <c r="R506" i="18" l="1"/>
  <c r="R23" i="21" l="1"/>
  <c r="H23" i="21"/>
  <c r="H233" i="21"/>
  <c r="H198" i="21"/>
  <c r="H163" i="21"/>
  <c r="R128" i="21"/>
  <c r="H128" i="21"/>
  <c r="R58" i="21"/>
  <c r="R233" i="21"/>
  <c r="R198" i="21"/>
  <c r="R163" i="21"/>
  <c r="H93" i="21"/>
  <c r="H58" i="21"/>
  <c r="H57" i="21" l="1"/>
  <c r="R57" i="21"/>
  <c r="H92" i="21"/>
  <c r="H127" i="21"/>
  <c r="R127" i="21"/>
  <c r="H162" i="21"/>
  <c r="R162" i="21"/>
  <c r="H197" i="21"/>
  <c r="R197" i="21"/>
  <c r="H232" i="21"/>
  <c r="R232" i="21"/>
  <c r="H55" i="18" l="1"/>
  <c r="H22" i="21"/>
  <c r="R22" i="21"/>
  <c r="S45" i="12"/>
  <c r="F45" i="12"/>
  <c r="R23" i="18" l="1"/>
  <c r="R162" i="18"/>
  <c r="R298" i="18"/>
  <c r="H93" i="18"/>
  <c r="H230" i="18"/>
  <c r="R93" i="18"/>
  <c r="R230" i="18"/>
  <c r="H162" i="18"/>
  <c r="H298" i="18"/>
  <c r="R55" i="18"/>
  <c r="R125" i="18"/>
  <c r="R194" i="18"/>
  <c r="R262" i="18"/>
  <c r="H125" i="18"/>
  <c r="H194" i="18"/>
  <c r="H262" i="18"/>
  <c r="R22" i="18"/>
  <c r="N23" i="1" l="1"/>
  <c r="AE23" i="1" s="1"/>
  <c r="N24" i="1"/>
  <c r="N25" i="1"/>
  <c r="N26" i="1"/>
  <c r="AE24" i="1" l="1"/>
  <c r="AE26" i="1"/>
  <c r="AE25" i="1"/>
  <c r="W23" i="1"/>
  <c r="Y23" i="1" s="1"/>
  <c r="R23" i="1"/>
  <c r="W26" i="1" l="1"/>
  <c r="R26" i="1"/>
  <c r="W25" i="1"/>
  <c r="R25" i="1"/>
  <c r="W24" i="1"/>
  <c r="R24" i="1"/>
  <c r="H261" i="18"/>
  <c r="S40" i="11"/>
  <c r="S41" i="11"/>
  <c r="S42" i="11"/>
  <c r="AS40" i="11"/>
  <c r="AS41" i="11"/>
  <c r="AS42" i="11"/>
  <c r="Q40" i="11"/>
  <c r="R40" i="11" s="1"/>
  <c r="R571" i="20"/>
  <c r="Q41" i="11"/>
  <c r="R41" i="11" s="1"/>
  <c r="W41" i="11" s="1"/>
  <c r="H607" i="20"/>
  <c r="Q42" i="11"/>
  <c r="R42" i="11" s="1"/>
  <c r="R607" i="20"/>
  <c r="H643" i="20"/>
  <c r="Y25" i="1" l="1"/>
  <c r="H297" i="18"/>
  <c r="Y24" i="1"/>
  <c r="R261" i="18"/>
  <c r="Y26" i="1"/>
  <c r="R297" i="18"/>
  <c r="H644" i="20"/>
  <c r="R608" i="20"/>
  <c r="AH42" i="11"/>
  <c r="R572" i="20"/>
  <c r="AH40" i="11"/>
  <c r="H608" i="20"/>
  <c r="AH41" i="11"/>
  <c r="W40" i="11"/>
  <c r="W42" i="11"/>
  <c r="AB42" i="11"/>
  <c r="R599" i="20" s="1"/>
  <c r="AB40" i="11"/>
  <c r="R563" i="20" s="1"/>
  <c r="AB41" i="11"/>
  <c r="H599" i="20" s="1"/>
  <c r="H609" i="20" l="1"/>
  <c r="H610" i="20" s="1"/>
  <c r="H604" i="20"/>
  <c r="AM44" i="11"/>
  <c r="H635" i="20"/>
  <c r="R609" i="20"/>
  <c r="R610" i="20" s="1"/>
  <c r="R604" i="20"/>
  <c r="R573" i="20"/>
  <c r="R574" i="20" s="1"/>
  <c r="R568" i="20"/>
  <c r="AC41" i="11"/>
  <c r="AO41" i="11"/>
  <c r="AP41" i="11" s="1"/>
  <c r="AQ41" i="11" s="1"/>
  <c r="AR41" i="11" s="1"/>
  <c r="AT41" i="11" s="1"/>
  <c r="AU41" i="11" s="1"/>
  <c r="AV41" i="11" s="1"/>
  <c r="AJ41" i="11"/>
  <c r="AO42" i="11"/>
  <c r="AP42" i="11" s="1"/>
  <c r="AQ42" i="11" s="1"/>
  <c r="AR42" i="11" s="1"/>
  <c r="AT42" i="11" s="1"/>
  <c r="AU42" i="11" s="1"/>
  <c r="AV42" i="11" s="1"/>
  <c r="AJ42" i="11"/>
  <c r="AO40" i="11"/>
  <c r="AP40" i="11" s="1"/>
  <c r="AQ40" i="11" s="1"/>
  <c r="AR40" i="11" s="1"/>
  <c r="AT40" i="11" s="1"/>
  <c r="AU40" i="11" s="1"/>
  <c r="AV40" i="11" s="1"/>
  <c r="AJ40" i="11"/>
  <c r="AC40" i="11"/>
  <c r="AC42" i="11"/>
  <c r="H645" i="20" l="1"/>
  <c r="H646" i="20" s="1"/>
  <c r="H640" i="20"/>
  <c r="H611" i="20"/>
  <c r="H614" i="20" s="1"/>
  <c r="R575" i="20"/>
  <c r="R578" i="20" s="1"/>
  <c r="R611" i="20"/>
  <c r="R614" i="20" s="1"/>
  <c r="H647" i="20" l="1"/>
  <c r="H650" i="20" s="1"/>
  <c r="M12" i="17"/>
  <c r="F12" i="17"/>
  <c r="J12" i="17"/>
  <c r="I12" i="17"/>
  <c r="H12" i="17" l="1"/>
  <c r="G12" i="17" l="1"/>
  <c r="K10" i="17"/>
  <c r="K12" i="17" l="1"/>
  <c r="L10" i="17"/>
  <c r="N12" i="17" l="1"/>
  <c r="L12" i="17"/>
  <c r="Z29" i="1" l="1"/>
  <c r="Q25" i="11" l="1"/>
  <c r="R25" i="11" s="1"/>
  <c r="Q26" i="11"/>
  <c r="R26" i="11" s="1"/>
  <c r="Q27" i="11"/>
  <c r="R27" i="11" s="1"/>
  <c r="Q28" i="11"/>
  <c r="R28" i="11" s="1"/>
  <c r="W28" i="11" s="1"/>
  <c r="Q29" i="11"/>
  <c r="R29" i="11" s="1"/>
  <c r="Q30" i="11"/>
  <c r="R30" i="11" s="1"/>
  <c r="Q31" i="11"/>
  <c r="R31" i="11" s="1"/>
  <c r="Q32" i="11"/>
  <c r="R32" i="11" s="1"/>
  <c r="Q33" i="11"/>
  <c r="R33" i="11" s="1"/>
  <c r="Q36" i="11"/>
  <c r="R36" i="11" s="1"/>
  <c r="AS29" i="11"/>
  <c r="AS30" i="11"/>
  <c r="AS31" i="11"/>
  <c r="AS32" i="11"/>
  <c r="AS33" i="11"/>
  <c r="H353" i="20"/>
  <c r="H352" i="20"/>
  <c r="R353" i="20"/>
  <c r="R352" i="20"/>
  <c r="H390" i="20"/>
  <c r="H389" i="20"/>
  <c r="R390" i="20"/>
  <c r="R389" i="20"/>
  <c r="H426" i="20"/>
  <c r="H425" i="20"/>
  <c r="R426" i="20"/>
  <c r="R425" i="20"/>
  <c r="H463" i="20"/>
  <c r="H462" i="20"/>
  <c r="R463" i="20"/>
  <c r="R462" i="20"/>
  <c r="AS28" i="11"/>
  <c r="J45" i="12"/>
  <c r="I45" i="12"/>
  <c r="AB32" i="11" l="1"/>
  <c r="H454" i="20" s="1"/>
  <c r="AB30" i="11"/>
  <c r="H417" i="20" s="1"/>
  <c r="AH26" i="11"/>
  <c r="AB27" i="11"/>
  <c r="R344" i="20" s="1"/>
  <c r="AB29" i="11"/>
  <c r="R381" i="20" s="1"/>
  <c r="AB36" i="11"/>
  <c r="H490" i="20" s="1"/>
  <c r="AH30" i="11"/>
  <c r="AH27" i="11"/>
  <c r="AH33" i="11"/>
  <c r="AB31" i="11"/>
  <c r="R417" i="20" s="1"/>
  <c r="AH29" i="11"/>
  <c r="AH28" i="11"/>
  <c r="AB28" i="11"/>
  <c r="H381" i="20" s="1"/>
  <c r="AH31" i="11"/>
  <c r="AH32" i="11"/>
  <c r="AB33" i="11"/>
  <c r="R454" i="20" s="1"/>
  <c r="R464" i="20" l="1"/>
  <c r="R465" i="20" s="1"/>
  <c r="R459" i="20"/>
  <c r="R427" i="20"/>
  <c r="R428" i="20" s="1"/>
  <c r="R422" i="20"/>
  <c r="H500" i="20"/>
  <c r="H495" i="20"/>
  <c r="R354" i="20"/>
  <c r="R355" i="20" s="1"/>
  <c r="R349" i="20"/>
  <c r="H427" i="20"/>
  <c r="H428" i="20" s="1"/>
  <c r="H422" i="20"/>
  <c r="H391" i="20"/>
  <c r="H392" i="20" s="1"/>
  <c r="H386" i="20"/>
  <c r="R391" i="20"/>
  <c r="R392" i="20" s="1"/>
  <c r="R386" i="20"/>
  <c r="H464" i="20"/>
  <c r="H465" i="20" s="1"/>
  <c r="H459" i="20"/>
  <c r="Q12" i="11"/>
  <c r="Q13" i="11"/>
  <c r="Q14" i="11"/>
  <c r="Q15" i="11"/>
  <c r="Q16" i="11"/>
  <c r="Q17" i="11"/>
  <c r="Q18" i="11"/>
  <c r="Q19" i="11"/>
  <c r="Q20" i="11"/>
  <c r="I44" i="11"/>
  <c r="H466" i="20" l="1"/>
  <c r="H469" i="20" s="1"/>
  <c r="R393" i="20"/>
  <c r="R396" i="20" s="1"/>
  <c r="H393" i="20"/>
  <c r="H396" i="20" s="1"/>
  <c r="H429" i="20"/>
  <c r="H432" i="20" s="1"/>
  <c r="R356" i="20"/>
  <c r="R359" i="20" s="1"/>
  <c r="R429" i="20"/>
  <c r="R432" i="20" s="1"/>
  <c r="R466" i="20"/>
  <c r="R469" i="20" s="1"/>
  <c r="I21" i="13"/>
  <c r="I15" i="13"/>
  <c r="I16" i="13"/>
  <c r="I17" i="13"/>
  <c r="I18" i="13"/>
  <c r="I19" i="13"/>
  <c r="I20" i="13"/>
  <c r="I47" i="11" l="1"/>
  <c r="J47" i="11"/>
  <c r="K47" i="11"/>
  <c r="L47" i="11"/>
  <c r="M47" i="11"/>
  <c r="O47" i="11"/>
  <c r="P47" i="11"/>
  <c r="P50" i="11" s="1"/>
  <c r="T47" i="11"/>
  <c r="T50" i="11" s="1"/>
  <c r="U47" i="11"/>
  <c r="V47" i="11"/>
  <c r="AG47" i="11"/>
  <c r="AG50" i="11" s="1"/>
  <c r="W33" i="11"/>
  <c r="AC33" i="11" s="1"/>
  <c r="W30" i="11"/>
  <c r="AC30" i="11" s="1"/>
  <c r="W29" i="11"/>
  <c r="AC29" i="11" s="1"/>
  <c r="AS36" i="11"/>
  <c r="AC28" i="11"/>
  <c r="W31" i="11"/>
  <c r="AC31" i="11" s="1"/>
  <c r="W32" i="11"/>
  <c r="AC32" i="11" s="1"/>
  <c r="AO28" i="11" l="1"/>
  <c r="AO30" i="11"/>
  <c r="AO32" i="11"/>
  <c r="AO33" i="11"/>
  <c r="AO31" i="11"/>
  <c r="AO29" i="11"/>
  <c r="AP28" i="11" l="1"/>
  <c r="AQ28" i="11" s="1"/>
  <c r="AR28" i="11" s="1"/>
  <c r="AT28" i="11" s="1"/>
  <c r="AU28" i="11" s="1"/>
  <c r="AJ28" i="11" s="1"/>
  <c r="AP30" i="11"/>
  <c r="AQ30" i="11" s="1"/>
  <c r="AR30" i="11" s="1"/>
  <c r="AT30" i="11" s="1"/>
  <c r="AU30" i="11" s="1"/>
  <c r="AP32" i="11"/>
  <c r="AQ32" i="11" s="1"/>
  <c r="AR32" i="11" s="1"/>
  <c r="AT32" i="11" s="1"/>
  <c r="AU32" i="11" s="1"/>
  <c r="AP31" i="11"/>
  <c r="AQ31" i="11" s="1"/>
  <c r="AR31" i="11" s="1"/>
  <c r="AT31" i="11" s="1"/>
  <c r="AU31" i="11" s="1"/>
  <c r="AP29" i="11"/>
  <c r="AQ29" i="11" s="1"/>
  <c r="AR29" i="11" s="1"/>
  <c r="AT29" i="11" s="1"/>
  <c r="AU29" i="11" s="1"/>
  <c r="AP33" i="11"/>
  <c r="AQ33" i="11" s="1"/>
  <c r="AR33" i="11" s="1"/>
  <c r="AT33" i="11" s="1"/>
  <c r="AU33" i="11" s="1"/>
  <c r="AJ30" i="11" l="1"/>
  <c r="AJ33" i="11" l="1"/>
  <c r="AJ29" i="11"/>
  <c r="AJ31" i="11"/>
  <c r="AJ32" i="11"/>
  <c r="H498" i="20"/>
  <c r="R498" i="20"/>
  <c r="H535" i="20"/>
  <c r="H571" i="20" l="1"/>
  <c r="R535" i="20"/>
  <c r="AH39" i="11"/>
  <c r="R536" i="20"/>
  <c r="H572" i="20"/>
  <c r="AH38" i="11"/>
  <c r="H536" i="20"/>
  <c r="AH37" i="11"/>
  <c r="R499" i="20"/>
  <c r="H499" i="20"/>
  <c r="H501" i="20" s="1"/>
  <c r="H502" i="20" s="1"/>
  <c r="H505" i="20" s="1"/>
  <c r="AH36" i="11"/>
  <c r="AQ54" i="11"/>
  <c r="AQ51" i="11"/>
  <c r="AQ52" i="11" s="1"/>
  <c r="I14" i="13" l="1"/>
  <c r="I24" i="13" s="1"/>
  <c r="O21" i="13"/>
  <c r="AK20" i="13"/>
  <c r="AK21" i="13"/>
  <c r="Z21" i="13" l="1"/>
  <c r="T21" i="13"/>
  <c r="AG21" i="13"/>
  <c r="AH21" i="13" s="1"/>
  <c r="AI21" i="13" s="1"/>
  <c r="AJ21" i="13" s="1"/>
  <c r="AL21" i="13" s="1"/>
  <c r="AM21" i="13" s="1"/>
  <c r="AN21" i="13" s="1"/>
  <c r="U21" i="13" l="1"/>
  <c r="R223" i="21"/>
  <c r="AB21" i="13"/>
  <c r="R234" i="21" l="1"/>
  <c r="R235" i="21" s="1"/>
  <c r="R228" i="21"/>
  <c r="R236" i="21" l="1"/>
  <c r="R239" i="21" s="1"/>
  <c r="H23" i="18" l="1"/>
  <c r="AJ21" i="1"/>
  <c r="R278" i="19" l="1"/>
  <c r="R277" i="19"/>
  <c r="H314" i="19"/>
  <c r="H313" i="19"/>
  <c r="R314" i="19"/>
  <c r="R313" i="19"/>
  <c r="R305" i="19" l="1"/>
  <c r="H305" i="19"/>
  <c r="R269" i="19"/>
  <c r="R279" i="19" l="1"/>
  <c r="R280" i="19" s="1"/>
  <c r="R274" i="19"/>
  <c r="H315" i="19"/>
  <c r="H316" i="19" s="1"/>
  <c r="H310" i="19"/>
  <c r="R315" i="19"/>
  <c r="R316" i="19" s="1"/>
  <c r="R310" i="19"/>
  <c r="H317" i="19" l="1"/>
  <c r="H320" i="19" s="1"/>
  <c r="R317" i="19"/>
  <c r="R320" i="19" s="1"/>
  <c r="R281" i="19"/>
  <c r="R284" i="19" s="1"/>
  <c r="AO52" i="11" l="1"/>
  <c r="AO53" i="11"/>
  <c r="AO49" i="11"/>
  <c r="AO51" i="11" s="1"/>
  <c r="AO54" i="11" l="1"/>
  <c r="AO56" i="11" s="1"/>
  <c r="AS23" i="11" l="1"/>
  <c r="AS24" i="11"/>
  <c r="AS25" i="11"/>
  <c r="AS26" i="11"/>
  <c r="AS27" i="11"/>
  <c r="AA9" i="12" l="1"/>
  <c r="H15" i="19" l="1"/>
  <c r="H25" i="19" s="1"/>
  <c r="Y47" i="11"/>
  <c r="S27" i="11"/>
  <c r="S26" i="11"/>
  <c r="S25" i="11"/>
  <c r="S24" i="11"/>
  <c r="S23" i="11"/>
  <c r="H20" i="19" l="1"/>
  <c r="H47" i="11"/>
  <c r="O48" i="11"/>
  <c r="O50" i="11" s="1"/>
  <c r="M48" i="11"/>
  <c r="M50" i="11" s="1"/>
  <c r="N48" i="11"/>
  <c r="AA47" i="11" l="1"/>
  <c r="S39" i="11"/>
  <c r="S38" i="11"/>
  <c r="S37" i="11"/>
  <c r="S36" i="11"/>
  <c r="U48" i="11" l="1"/>
  <c r="U50" i="11" s="1"/>
  <c r="F24" i="13" l="1"/>
  <c r="G24" i="13"/>
  <c r="O20" i="13"/>
  <c r="T20" i="13" l="1"/>
  <c r="H223" i="21" s="1"/>
  <c r="Z20" i="13"/>
  <c r="H234" i="21" l="1"/>
  <c r="H235" i="21" s="1"/>
  <c r="H228" i="21"/>
  <c r="AG20" i="13"/>
  <c r="AH20" i="13" s="1"/>
  <c r="AI20" i="13" s="1"/>
  <c r="AJ20" i="13" s="1"/>
  <c r="AL20" i="13" s="1"/>
  <c r="AM20" i="13" s="1"/>
  <c r="AN20" i="13" s="1"/>
  <c r="U20" i="13"/>
  <c r="H236" i="21" l="1"/>
  <c r="H239" i="21" s="1"/>
  <c r="AB20" i="13"/>
  <c r="Q23" i="11"/>
  <c r="Q24" i="11"/>
  <c r="N23" i="11"/>
  <c r="R279" i="20"/>
  <c r="R278" i="20"/>
  <c r="H317" i="20"/>
  <c r="H316" i="20"/>
  <c r="R317" i="20"/>
  <c r="R316" i="20"/>
  <c r="AH25" i="11" l="1"/>
  <c r="AH24" i="11"/>
  <c r="AH23" i="11"/>
  <c r="AB23" i="11"/>
  <c r="R270" i="20" s="1"/>
  <c r="W27" i="11"/>
  <c r="AC27" i="11" s="1"/>
  <c r="W26" i="11"/>
  <c r="AB26" i="11"/>
  <c r="H344" i="20" s="1"/>
  <c r="AB25" i="11"/>
  <c r="R307" i="20" s="1"/>
  <c r="R23" i="11"/>
  <c r="W23" i="11" s="1"/>
  <c r="R24" i="11"/>
  <c r="W24" i="11" s="1"/>
  <c r="AB24" i="11"/>
  <c r="H307" i="20" s="1"/>
  <c r="W25" i="11"/>
  <c r="H318" i="20" l="1"/>
  <c r="H319" i="20" s="1"/>
  <c r="H313" i="20"/>
  <c r="H354" i="20"/>
  <c r="H355" i="20" s="1"/>
  <c r="H349" i="20"/>
  <c r="R318" i="20"/>
  <c r="R319" i="20" s="1"/>
  <c r="R313" i="20"/>
  <c r="R280" i="20"/>
  <c r="R281" i="20" s="1"/>
  <c r="R275" i="20"/>
  <c r="AO27" i="11"/>
  <c r="AO26" i="11"/>
  <c r="AO23" i="11"/>
  <c r="AO25" i="11"/>
  <c r="AO24" i="11"/>
  <c r="AC26" i="11"/>
  <c r="AC25" i="11"/>
  <c r="AC23" i="11"/>
  <c r="AC24" i="11"/>
  <c r="R282" i="20" l="1"/>
  <c r="R285" i="20" s="1"/>
  <c r="R320" i="20"/>
  <c r="R323" i="20" s="1"/>
  <c r="H356" i="20"/>
  <c r="H359" i="20" s="1"/>
  <c r="H320" i="20"/>
  <c r="H323" i="20" s="1"/>
  <c r="AP27" i="11"/>
  <c r="AQ27" i="11" s="1"/>
  <c r="AR27" i="11" s="1"/>
  <c r="AT27" i="11" s="1"/>
  <c r="AP26" i="11"/>
  <c r="AQ26" i="11" s="1"/>
  <c r="AR26" i="11" s="1"/>
  <c r="AT26" i="11" s="1"/>
  <c r="AU26" i="11" s="1"/>
  <c r="AV26" i="11" s="1"/>
  <c r="AP25" i="11"/>
  <c r="AQ25" i="11" s="1"/>
  <c r="AR25" i="11" s="1"/>
  <c r="AT25" i="11" s="1"/>
  <c r="AU25" i="11" s="1"/>
  <c r="AV25" i="11" s="1"/>
  <c r="AP24" i="11"/>
  <c r="AQ24" i="11" s="1"/>
  <c r="AR24" i="11" s="1"/>
  <c r="AT24" i="11" s="1"/>
  <c r="AU24" i="11" s="1"/>
  <c r="AV24" i="11" s="1"/>
  <c r="AP23" i="11"/>
  <c r="AQ23" i="11" s="1"/>
  <c r="AR23" i="11" s="1"/>
  <c r="AT23" i="11" s="1"/>
  <c r="AU23" i="11" s="1"/>
  <c r="T45" i="12"/>
  <c r="V48" i="11" s="1"/>
  <c r="V50" i="11" s="1"/>
  <c r="L24" i="13"/>
  <c r="K28" i="1"/>
  <c r="AU27" i="11" l="1"/>
  <c r="AV23" i="11"/>
  <c r="AJ23" i="11" s="1"/>
  <c r="AJ24" i="11"/>
  <c r="AJ26" i="11"/>
  <c r="AJ25" i="11"/>
  <c r="H60" i="19"/>
  <c r="H59" i="19"/>
  <c r="R60" i="19"/>
  <c r="R59" i="19"/>
  <c r="H97" i="19"/>
  <c r="H96" i="19"/>
  <c r="R97" i="19"/>
  <c r="R96" i="19"/>
  <c r="H133" i="19"/>
  <c r="R133" i="19"/>
  <c r="R132" i="19"/>
  <c r="H170" i="19"/>
  <c r="H169" i="19"/>
  <c r="R170" i="19"/>
  <c r="R169" i="19"/>
  <c r="H206" i="19"/>
  <c r="H205" i="19"/>
  <c r="R206" i="19"/>
  <c r="R205" i="19"/>
  <c r="H242" i="19"/>
  <c r="H241" i="19"/>
  <c r="R242" i="19"/>
  <c r="R241" i="19"/>
  <c r="H278" i="19"/>
  <c r="H277" i="19"/>
  <c r="H350" i="19"/>
  <c r="H349" i="19"/>
  <c r="R350" i="19"/>
  <c r="R349" i="19"/>
  <c r="H386" i="19"/>
  <c r="H385" i="19"/>
  <c r="R386" i="19"/>
  <c r="R385" i="19"/>
  <c r="H422" i="19"/>
  <c r="H421" i="19"/>
  <c r="R422" i="19"/>
  <c r="R421" i="19"/>
  <c r="H458" i="19"/>
  <c r="H457" i="19"/>
  <c r="R458" i="19"/>
  <c r="R457" i="19"/>
  <c r="H494" i="19"/>
  <c r="H493" i="19"/>
  <c r="R494" i="19"/>
  <c r="R493" i="19"/>
  <c r="H530" i="19"/>
  <c r="R530" i="19"/>
  <c r="H566" i="19"/>
  <c r="H565" i="19"/>
  <c r="R566" i="19"/>
  <c r="R565" i="19"/>
  <c r="H602" i="19"/>
  <c r="R602" i="19"/>
  <c r="R601" i="19"/>
  <c r="H638" i="19"/>
  <c r="H637" i="19"/>
  <c r="AV27" i="11" l="1"/>
  <c r="AJ27" i="11" s="1"/>
  <c r="AD47" i="11"/>
  <c r="Z47" i="11"/>
  <c r="X47" i="11" l="1"/>
  <c r="H24" i="20"/>
  <c r="R24" i="20"/>
  <c r="H60" i="20"/>
  <c r="R60" i="20"/>
  <c r="H97" i="20"/>
  <c r="R97" i="20"/>
  <c r="H133" i="20"/>
  <c r="R133" i="20"/>
  <c r="H170" i="20"/>
  <c r="R170" i="20"/>
  <c r="H206" i="20"/>
  <c r="R206" i="20"/>
  <c r="H243" i="20"/>
  <c r="R243" i="20"/>
  <c r="H279" i="20"/>
  <c r="AE47" i="11" l="1"/>
  <c r="Q22" i="11"/>
  <c r="N13" i="11" l="1"/>
  <c r="R13" i="11" s="1"/>
  <c r="N15" i="11"/>
  <c r="R15" i="11" s="1"/>
  <c r="T44" i="11" l="1"/>
  <c r="V44" i="11"/>
  <c r="J44" i="11"/>
  <c r="K44" i="11"/>
  <c r="L44" i="11"/>
  <c r="AK10" i="13" l="1"/>
  <c r="O44" i="11" l="1"/>
  <c r="H23" i="20"/>
  <c r="R23" i="20"/>
  <c r="H59" i="20"/>
  <c r="R59" i="20"/>
  <c r="H96" i="20"/>
  <c r="R96" i="20"/>
  <c r="H132" i="20"/>
  <c r="S17" i="11"/>
  <c r="S18" i="11"/>
  <c r="S19" i="11"/>
  <c r="S20" i="11"/>
  <c r="S21" i="11"/>
  <c r="S22" i="11"/>
  <c r="S9" i="11"/>
  <c r="S10" i="11"/>
  <c r="S11" i="11"/>
  <c r="S12" i="11"/>
  <c r="S13" i="11"/>
  <c r="S14" i="11"/>
  <c r="S15" i="11"/>
  <c r="S16" i="11"/>
  <c r="I48" i="11"/>
  <c r="I50" i="11" s="1"/>
  <c r="J48" i="11"/>
  <c r="J50" i="11" s="1"/>
  <c r="K45" i="12"/>
  <c r="K48" i="11" s="1"/>
  <c r="K50" i="11" s="1"/>
  <c r="L45" i="12"/>
  <c r="L48" i="11" s="1"/>
  <c r="L50" i="11" s="1"/>
  <c r="AJ10" i="1"/>
  <c r="AJ11" i="1"/>
  <c r="AJ12" i="1"/>
  <c r="AJ13" i="1"/>
  <c r="AJ14" i="1"/>
  <c r="AJ15" i="1"/>
  <c r="AJ16" i="1"/>
  <c r="AJ17" i="1"/>
  <c r="AJ18" i="1"/>
  <c r="AJ19" i="1"/>
  <c r="AJ20" i="1"/>
  <c r="AJ22" i="1"/>
  <c r="AJ23" i="1"/>
  <c r="AJ24" i="1"/>
  <c r="AJ25" i="1"/>
  <c r="AJ26" i="1"/>
  <c r="AJ9" i="1"/>
  <c r="AH21" i="11" l="1"/>
  <c r="R242" i="20"/>
  <c r="AH19" i="11"/>
  <c r="R205" i="20"/>
  <c r="AH17" i="11"/>
  <c r="R169" i="20"/>
  <c r="AH15" i="11"/>
  <c r="R132" i="20"/>
  <c r="AH22" i="11"/>
  <c r="H278" i="20"/>
  <c r="AH20" i="11"/>
  <c r="H242" i="20"/>
  <c r="AH18" i="11"/>
  <c r="H205" i="20"/>
  <c r="AH16" i="11"/>
  <c r="H169" i="20"/>
  <c r="AF47" i="11"/>
  <c r="S47" i="11"/>
  <c r="S48" i="11" l="1"/>
  <c r="S50" i="11" s="1"/>
  <c r="W36" i="11"/>
  <c r="AJ36" i="11" s="1"/>
  <c r="Q37" i="11"/>
  <c r="R37" i="11" s="1"/>
  <c r="Q38" i="11"/>
  <c r="R38" i="11" s="1"/>
  <c r="Q39" i="11"/>
  <c r="R39" i="11" s="1"/>
  <c r="Q10" i="11"/>
  <c r="Q11" i="11"/>
  <c r="Q21" i="11"/>
  <c r="N10" i="11"/>
  <c r="N11" i="11"/>
  <c r="N12" i="11"/>
  <c r="R12" i="11" s="1"/>
  <c r="N14" i="11"/>
  <c r="R14" i="11" s="1"/>
  <c r="W14" i="11" s="1"/>
  <c r="N16" i="11"/>
  <c r="R16" i="11" s="1"/>
  <c r="N17" i="11"/>
  <c r="R17" i="11" s="1"/>
  <c r="N18" i="11"/>
  <c r="R18" i="11" s="1"/>
  <c r="N19" i="11"/>
  <c r="R19" i="11" s="1"/>
  <c r="N20" i="11"/>
  <c r="R20" i="11" s="1"/>
  <c r="N21" i="11"/>
  <c r="N22" i="11"/>
  <c r="N9" i="11"/>
  <c r="V45" i="11"/>
  <c r="AO36" i="11" l="1"/>
  <c r="AP36" i="11" s="1"/>
  <c r="AQ36" i="11" s="1"/>
  <c r="AR36" i="11" s="1"/>
  <c r="AT36" i="11" s="1"/>
  <c r="AU36" i="11" s="1"/>
  <c r="AV36" i="11" s="1"/>
  <c r="AC36" i="11"/>
  <c r="N47" i="11"/>
  <c r="N50" i="11" s="1"/>
  <c r="Q47" i="11"/>
  <c r="Q44" i="11"/>
  <c r="N44" i="11"/>
  <c r="R11" i="11"/>
  <c r="W19" i="11"/>
  <c r="AO19" i="11" s="1"/>
  <c r="R10" i="11"/>
  <c r="W13" i="11"/>
  <c r="R9" i="11"/>
  <c r="R21" i="11"/>
  <c r="R22" i="11"/>
  <c r="W22" i="11" s="1"/>
  <c r="AO22" i="11" s="1"/>
  <c r="R47" i="11" l="1"/>
  <c r="R50" i="11" s="1"/>
  <c r="R44" i="11"/>
  <c r="AK11" i="13" l="1"/>
  <c r="AK12" i="13"/>
  <c r="AK13" i="13"/>
  <c r="AK14" i="13"/>
  <c r="AK15" i="13"/>
  <c r="AK16" i="13"/>
  <c r="AK17" i="13"/>
  <c r="AK18" i="13"/>
  <c r="AK19" i="13"/>
  <c r="Z10" i="13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37" i="11"/>
  <c r="AS38" i="11"/>
  <c r="AS39" i="11"/>
  <c r="AR10" i="12"/>
  <c r="AR11" i="12"/>
  <c r="AR12" i="12"/>
  <c r="AR13" i="12"/>
  <c r="AR14" i="12"/>
  <c r="AR15" i="12"/>
  <c r="AR9" i="12"/>
  <c r="T19" i="13" l="1"/>
  <c r="H188" i="21"/>
  <c r="H199" i="21" l="1"/>
  <c r="H200" i="21" s="1"/>
  <c r="H193" i="21"/>
  <c r="R197" i="19"/>
  <c r="R188" i="21"/>
  <c r="H24" i="19"/>
  <c r="H23" i="19"/>
  <c r="H601" i="19"/>
  <c r="R24" i="19"/>
  <c r="R23" i="19"/>
  <c r="H132" i="19"/>
  <c r="H529" i="19"/>
  <c r="R529" i="19"/>
  <c r="H377" i="19"/>
  <c r="R377" i="19"/>
  <c r="H413" i="19"/>
  <c r="R413" i="19"/>
  <c r="H449" i="19"/>
  <c r="R449" i="19"/>
  <c r="H485" i="19"/>
  <c r="R459" i="19" l="1"/>
  <c r="R460" i="19" s="1"/>
  <c r="R454" i="19"/>
  <c r="R423" i="19"/>
  <c r="R424" i="19" s="1"/>
  <c r="R418" i="19"/>
  <c r="R387" i="19"/>
  <c r="R388" i="19" s="1"/>
  <c r="R382" i="19"/>
  <c r="R199" i="21"/>
  <c r="R200" i="21" s="1"/>
  <c r="R193" i="21"/>
  <c r="H201" i="21"/>
  <c r="H204" i="21" s="1"/>
  <c r="H495" i="19"/>
  <c r="H496" i="19" s="1"/>
  <c r="H490" i="19"/>
  <c r="H459" i="19"/>
  <c r="H460" i="19" s="1"/>
  <c r="H454" i="19"/>
  <c r="H423" i="19"/>
  <c r="H424" i="19" s="1"/>
  <c r="H418" i="19"/>
  <c r="H387" i="19"/>
  <c r="H388" i="19" s="1"/>
  <c r="H382" i="19"/>
  <c r="R207" i="19"/>
  <c r="R208" i="19" s="1"/>
  <c r="R202" i="19"/>
  <c r="Q10" i="12"/>
  <c r="Q11" i="12"/>
  <c r="Q12" i="12"/>
  <c r="R12" i="12" s="1"/>
  <c r="Q13" i="12"/>
  <c r="R13" i="12" s="1"/>
  <c r="Q14" i="12"/>
  <c r="R14" i="12" s="1"/>
  <c r="Q15" i="12"/>
  <c r="R15" i="12" s="1"/>
  <c r="Q9" i="12"/>
  <c r="R9" i="12" s="1"/>
  <c r="H461" i="19" l="1"/>
  <c r="H464" i="19" s="1"/>
  <c r="H497" i="19"/>
  <c r="H500" i="19" s="1"/>
  <c r="R389" i="19"/>
  <c r="R392" i="19" s="1"/>
  <c r="R212" i="19"/>
  <c r="R209" i="19"/>
  <c r="H389" i="19"/>
  <c r="H392" i="19" s="1"/>
  <c r="H425" i="19"/>
  <c r="H428" i="19" s="1"/>
  <c r="R201" i="21"/>
  <c r="R204" i="21"/>
  <c r="R425" i="19"/>
  <c r="R428" i="19" s="1"/>
  <c r="R461" i="19"/>
  <c r="R464" i="19" s="1"/>
  <c r="R11" i="12"/>
  <c r="R10" i="12"/>
  <c r="R45" i="12" l="1"/>
  <c r="N9" i="1" l="1"/>
  <c r="O11" i="13"/>
  <c r="O12" i="13"/>
  <c r="O13" i="13"/>
  <c r="O14" i="13"/>
  <c r="O15" i="13"/>
  <c r="O16" i="13"/>
  <c r="O17" i="13"/>
  <c r="O18" i="13"/>
  <c r="O19" i="13"/>
  <c r="O10" i="13"/>
  <c r="J24" i="13"/>
  <c r="K24" i="13"/>
  <c r="M24" i="13"/>
  <c r="N24" i="13"/>
  <c r="AE9" i="1" l="1"/>
  <c r="AG10" i="13"/>
  <c r="AH10" i="13" s="1"/>
  <c r="AI10" i="13" s="1"/>
  <c r="X44" i="11"/>
  <c r="Y44" i="11"/>
  <c r="Z44" i="11"/>
  <c r="AD44" i="11"/>
  <c r="AE44" i="11"/>
  <c r="AF44" i="11"/>
  <c r="W9" i="11"/>
  <c r="AO9" i="11" s="1"/>
  <c r="W10" i="11"/>
  <c r="W11" i="11"/>
  <c r="W12" i="11"/>
  <c r="W16" i="11"/>
  <c r="W17" i="11"/>
  <c r="W18" i="11"/>
  <c r="AO18" i="11" s="1"/>
  <c r="W20" i="11"/>
  <c r="AO20" i="11" s="1"/>
  <c r="W21" i="11"/>
  <c r="AO21" i="11" s="1"/>
  <c r="S24" i="13"/>
  <c r="Z19" i="13"/>
  <c r="T18" i="13"/>
  <c r="R153" i="21" s="1"/>
  <c r="T17" i="13"/>
  <c r="H153" i="21" s="1"/>
  <c r="T16" i="13"/>
  <c r="T15" i="13"/>
  <c r="H118" i="21" s="1"/>
  <c r="T14" i="13"/>
  <c r="H83" i="21" s="1"/>
  <c r="Z13" i="13"/>
  <c r="T13" i="13"/>
  <c r="AG13" i="13"/>
  <c r="AH13" i="13" s="1"/>
  <c r="Z12" i="13"/>
  <c r="T12" i="13"/>
  <c r="H48" i="21" s="1"/>
  <c r="AG12" i="13"/>
  <c r="AH12" i="13" s="1"/>
  <c r="Z11" i="13"/>
  <c r="T11" i="13"/>
  <c r="R13" i="21" s="1"/>
  <c r="AG11" i="13"/>
  <c r="AH11" i="13" s="1"/>
  <c r="T10" i="13"/>
  <c r="X24" i="13"/>
  <c r="Y48" i="11"/>
  <c r="Y50" i="11" s="1"/>
  <c r="V10" i="12"/>
  <c r="V11" i="12"/>
  <c r="V12" i="12"/>
  <c r="V13" i="12"/>
  <c r="V14" i="12"/>
  <c r="V15" i="12"/>
  <c r="R9" i="1" l="1"/>
  <c r="W9" i="1"/>
  <c r="AA45" i="11"/>
  <c r="S25" i="13"/>
  <c r="X45" i="11"/>
  <c r="H59" i="21"/>
  <c r="H53" i="21"/>
  <c r="H129" i="21"/>
  <c r="H130" i="21" s="1"/>
  <c r="H123" i="21"/>
  <c r="H164" i="21"/>
  <c r="H165" i="21" s="1"/>
  <c r="H158" i="21"/>
  <c r="U10" i="13"/>
  <c r="H13" i="21"/>
  <c r="R24" i="21"/>
  <c r="R18" i="21"/>
  <c r="AE27" i="13"/>
  <c r="R48" i="21"/>
  <c r="H94" i="21"/>
  <c r="H95" i="21" s="1"/>
  <c r="H88" i="21"/>
  <c r="R124" i="19"/>
  <c r="R118" i="21"/>
  <c r="R164" i="21"/>
  <c r="R165" i="21" s="1"/>
  <c r="R158" i="21"/>
  <c r="X48" i="11"/>
  <c r="X50" i="11" s="1"/>
  <c r="AA48" i="11"/>
  <c r="AA50" i="11" s="1"/>
  <c r="Z48" i="11"/>
  <c r="Z50" i="11" s="1"/>
  <c r="AC45" i="11"/>
  <c r="Z14" i="13"/>
  <c r="AG14" i="13"/>
  <c r="AH14" i="13" s="1"/>
  <c r="U14" i="13"/>
  <c r="Z16" i="13"/>
  <c r="Z15" i="13"/>
  <c r="Z18" i="13"/>
  <c r="W15" i="11"/>
  <c r="W47" i="11" s="1"/>
  <c r="AG19" i="13"/>
  <c r="AH19" i="13" s="1"/>
  <c r="U19" i="13"/>
  <c r="AG18" i="13"/>
  <c r="AH18" i="13" s="1"/>
  <c r="U18" i="13"/>
  <c r="AG17" i="13"/>
  <c r="AH17" i="13" s="1"/>
  <c r="U17" i="13"/>
  <c r="Z17" i="13"/>
  <c r="AG16" i="13"/>
  <c r="AH16" i="13" s="1"/>
  <c r="U16" i="13"/>
  <c r="AG15" i="13"/>
  <c r="AH15" i="13" s="1"/>
  <c r="U15" i="13"/>
  <c r="AO14" i="11"/>
  <c r="AP14" i="11" s="1"/>
  <c r="AO10" i="11"/>
  <c r="AP10" i="11" s="1"/>
  <c r="AP18" i="11"/>
  <c r="AO16" i="11"/>
  <c r="AP16" i="11" s="1"/>
  <c r="AP9" i="11"/>
  <c r="AQ9" i="11" s="1"/>
  <c r="AO13" i="11"/>
  <c r="AO12" i="11"/>
  <c r="AO17" i="11"/>
  <c r="AP17" i="11" s="1"/>
  <c r="H44" i="11"/>
  <c r="Q24" i="13"/>
  <c r="AI11" i="13"/>
  <c r="AI13" i="13"/>
  <c r="AI12" i="13"/>
  <c r="AH45" i="11"/>
  <c r="R24" i="13"/>
  <c r="P24" i="13"/>
  <c r="AN11" i="12"/>
  <c r="AO11" i="12" s="1"/>
  <c r="AN13" i="12"/>
  <c r="AO13" i="12" s="1"/>
  <c r="AN15" i="12"/>
  <c r="AO15" i="12" s="1"/>
  <c r="AN12" i="12"/>
  <c r="AO12" i="12" s="1"/>
  <c r="AN14" i="12"/>
  <c r="AO14" i="12" s="1"/>
  <c r="AN10" i="12"/>
  <c r="AO10" i="12" s="1"/>
  <c r="V9" i="12"/>
  <c r="V45" i="12" s="1"/>
  <c r="V24" i="13"/>
  <c r="W24" i="13"/>
  <c r="U11" i="13"/>
  <c r="U12" i="13"/>
  <c r="U13" i="13"/>
  <c r="O24" i="13"/>
  <c r="Y24" i="13"/>
  <c r="Q48" i="11"/>
  <c r="Q50" i="11" s="1"/>
  <c r="H45" i="12"/>
  <c r="AG9" i="12"/>
  <c r="AA10" i="12"/>
  <c r="AG10" i="12"/>
  <c r="AI10" i="12" s="1"/>
  <c r="AA11" i="12"/>
  <c r="H51" i="19" s="1"/>
  <c r="AG11" i="12"/>
  <c r="AA12" i="12"/>
  <c r="R51" i="19" s="1"/>
  <c r="AG12" i="12"/>
  <c r="AA13" i="12"/>
  <c r="H88" i="19" s="1"/>
  <c r="AG13" i="12"/>
  <c r="AI13" i="12" s="1"/>
  <c r="AA14" i="12"/>
  <c r="R88" i="19" s="1"/>
  <c r="AG14" i="12"/>
  <c r="AA15" i="12"/>
  <c r="H124" i="19" s="1"/>
  <c r="AG15" i="12"/>
  <c r="H161" i="19"/>
  <c r="R161" i="19"/>
  <c r="H233" i="19"/>
  <c r="R233" i="19"/>
  <c r="H269" i="19"/>
  <c r="U45" i="12"/>
  <c r="AD48" i="11"/>
  <c r="AD50" i="11" s="1"/>
  <c r="AE48" i="11"/>
  <c r="AE50" i="11" s="1"/>
  <c r="AF48" i="11"/>
  <c r="AF50" i="11" s="1"/>
  <c r="H629" i="19"/>
  <c r="R593" i="19"/>
  <c r="H593" i="19"/>
  <c r="R557" i="19"/>
  <c r="H557" i="19"/>
  <c r="R521" i="19"/>
  <c r="H521" i="19"/>
  <c r="H341" i="19"/>
  <c r="H22" i="18" l="1"/>
  <c r="S9" i="1"/>
  <c r="H14" i="18" s="1"/>
  <c r="AF9" i="1"/>
  <c r="AG9" i="1" s="1"/>
  <c r="AH9" i="1" s="1"/>
  <c r="AG45" i="12"/>
  <c r="AH48" i="11" s="1"/>
  <c r="AA45" i="12"/>
  <c r="AB48" i="11" s="1"/>
  <c r="P25" i="13"/>
  <c r="R166" i="21"/>
  <c r="R169" i="21" s="1"/>
  <c r="H96" i="21"/>
  <c r="H99" i="21" s="1"/>
  <c r="H166" i="21"/>
  <c r="H169" i="21" s="1"/>
  <c r="H131" i="21"/>
  <c r="H134" i="21" s="1"/>
  <c r="R485" i="19"/>
  <c r="H346" i="19"/>
  <c r="H351" i="19"/>
  <c r="H352" i="19" s="1"/>
  <c r="R341" i="19"/>
  <c r="H279" i="19"/>
  <c r="H280" i="19" s="1"/>
  <c r="H274" i="19"/>
  <c r="R243" i="19"/>
  <c r="R244" i="19" s="1"/>
  <c r="R238" i="19"/>
  <c r="H243" i="19"/>
  <c r="H244" i="19" s="1"/>
  <c r="H238" i="19"/>
  <c r="H197" i="19"/>
  <c r="R171" i="19"/>
  <c r="R172" i="19" s="1"/>
  <c r="R166" i="19"/>
  <c r="H171" i="19"/>
  <c r="H172" i="19" s="1"/>
  <c r="H166" i="19"/>
  <c r="H134" i="19"/>
  <c r="H129" i="19"/>
  <c r="R98" i="19"/>
  <c r="R93" i="19"/>
  <c r="H98" i="19"/>
  <c r="H99" i="19" s="1"/>
  <c r="H93" i="19"/>
  <c r="R61" i="19"/>
  <c r="R56" i="19"/>
  <c r="H61" i="19"/>
  <c r="H56" i="19"/>
  <c r="AB10" i="12"/>
  <c r="R15" i="19"/>
  <c r="R134" i="19"/>
  <c r="R135" i="19" s="1"/>
  <c r="R129" i="19"/>
  <c r="H531" i="19"/>
  <c r="H532" i="19" s="1"/>
  <c r="H526" i="19"/>
  <c r="R531" i="19"/>
  <c r="R532" i="19" s="1"/>
  <c r="R526" i="19"/>
  <c r="H567" i="19"/>
  <c r="H568" i="19" s="1"/>
  <c r="H562" i="19"/>
  <c r="R567" i="19"/>
  <c r="R568" i="19" s="1"/>
  <c r="R562" i="19"/>
  <c r="H603" i="19"/>
  <c r="H604" i="19" s="1"/>
  <c r="H598" i="19"/>
  <c r="R603" i="19"/>
  <c r="R604" i="19" s="1"/>
  <c r="R598" i="19"/>
  <c r="H634" i="19"/>
  <c r="H639" i="19"/>
  <c r="H640" i="19" s="1"/>
  <c r="R129" i="21"/>
  <c r="R130" i="21" s="1"/>
  <c r="R123" i="21"/>
  <c r="R59" i="21"/>
  <c r="R53" i="21"/>
  <c r="H24" i="21"/>
  <c r="H18" i="21"/>
  <c r="AP19" i="11"/>
  <c r="AQ19" i="11" s="1"/>
  <c r="AR19" i="11" s="1"/>
  <c r="AP22" i="11"/>
  <c r="AQ22" i="11" s="1"/>
  <c r="AR22" i="11" s="1"/>
  <c r="AP21" i="11"/>
  <c r="AQ21" i="11" s="1"/>
  <c r="AR21" i="11" s="1"/>
  <c r="AT21" i="11" s="1"/>
  <c r="AU21" i="11" s="1"/>
  <c r="AV21" i="11" s="1"/>
  <c r="AP20" i="11"/>
  <c r="AQ20" i="11" s="1"/>
  <c r="AR20" i="11" s="1"/>
  <c r="AP13" i="11"/>
  <c r="AQ13" i="11" s="1"/>
  <c r="AR13" i="11" s="1"/>
  <c r="AT13" i="11" s="1"/>
  <c r="AU13" i="11" s="1"/>
  <c r="AV13" i="11" s="1"/>
  <c r="AP12" i="11"/>
  <c r="AQ12" i="11" s="1"/>
  <c r="AR12" i="11" s="1"/>
  <c r="AT12" i="11" s="1"/>
  <c r="AU12" i="11" s="1"/>
  <c r="AV12" i="11" s="1"/>
  <c r="W48" i="11"/>
  <c r="W50" i="11" s="1"/>
  <c r="H48" i="11"/>
  <c r="H50" i="11" s="1"/>
  <c r="AO15" i="11"/>
  <c r="AI14" i="13"/>
  <c r="AJ14" i="13" s="1"/>
  <c r="AI18" i="13"/>
  <c r="AJ18" i="13" s="1"/>
  <c r="AI16" i="13"/>
  <c r="AJ16" i="13" s="1"/>
  <c r="AI19" i="13"/>
  <c r="AJ19" i="13" s="1"/>
  <c r="AI17" i="13"/>
  <c r="AJ17" i="13" s="1"/>
  <c r="AI15" i="13"/>
  <c r="AJ15" i="13" s="1"/>
  <c r="AG24" i="13"/>
  <c r="AR9" i="11"/>
  <c r="AN9" i="12"/>
  <c r="AJ12" i="13"/>
  <c r="AJ13" i="13"/>
  <c r="AJ10" i="13"/>
  <c r="AL10" i="13" s="1"/>
  <c r="AM10" i="13" s="1"/>
  <c r="AJ11" i="13"/>
  <c r="AQ14" i="11"/>
  <c r="AQ18" i="11"/>
  <c r="AQ17" i="11"/>
  <c r="AQ10" i="11"/>
  <c r="AQ16" i="11"/>
  <c r="AO11" i="11"/>
  <c r="AP11" i="11" s="1"/>
  <c r="AP14" i="12"/>
  <c r="AQ14" i="12" s="1"/>
  <c r="AP15" i="12"/>
  <c r="AQ15" i="12" s="1"/>
  <c r="AP10" i="12"/>
  <c r="AQ10" i="12" s="1"/>
  <c r="AP12" i="12"/>
  <c r="AQ12" i="12" s="1"/>
  <c r="AP13" i="12"/>
  <c r="AQ13" i="12" s="1"/>
  <c r="AP11" i="12"/>
  <c r="AQ11" i="12" s="1"/>
  <c r="AB9" i="12"/>
  <c r="AB11" i="12"/>
  <c r="Z24" i="13"/>
  <c r="T24" i="13"/>
  <c r="U24" i="13"/>
  <c r="AB14" i="12"/>
  <c r="AB15" i="12"/>
  <c r="AB13" i="12"/>
  <c r="AB12" i="12"/>
  <c r="H24" i="18" l="1"/>
  <c r="H18" i="18"/>
  <c r="H25" i="18"/>
  <c r="H26" i="18" s="1"/>
  <c r="AB45" i="12"/>
  <c r="AC48" i="11" s="1"/>
  <c r="H641" i="19"/>
  <c r="H644" i="19" s="1"/>
  <c r="R136" i="19"/>
  <c r="R139" i="19" s="1"/>
  <c r="H100" i="19"/>
  <c r="H103" i="19" s="1"/>
  <c r="H173" i="19"/>
  <c r="H176" i="19" s="1"/>
  <c r="R173" i="19"/>
  <c r="R176" i="19" s="1"/>
  <c r="H245" i="19"/>
  <c r="H248" i="19" s="1"/>
  <c r="H281" i="19"/>
  <c r="H284" i="19" s="1"/>
  <c r="R25" i="19"/>
  <c r="R26" i="19" s="1"/>
  <c r="R20" i="19"/>
  <c r="H207" i="19"/>
  <c r="H208" i="19" s="1"/>
  <c r="H202" i="19"/>
  <c r="R351" i="19"/>
  <c r="R352" i="19" s="1"/>
  <c r="R346" i="19"/>
  <c r="H353" i="19"/>
  <c r="H356" i="19" s="1"/>
  <c r="R495" i="19"/>
  <c r="R496" i="19" s="1"/>
  <c r="R490" i="19"/>
  <c r="R131" i="21"/>
  <c r="R134" i="21" s="1"/>
  <c r="R605" i="19"/>
  <c r="R608" i="19" s="1"/>
  <c r="H605" i="19"/>
  <c r="H608" i="19" s="1"/>
  <c r="R569" i="19"/>
  <c r="R572" i="19" s="1"/>
  <c r="H569" i="19"/>
  <c r="H572" i="19" s="1"/>
  <c r="R533" i="19"/>
  <c r="R536" i="19" s="1"/>
  <c r="H533" i="19"/>
  <c r="H536" i="19" s="1"/>
  <c r="R245" i="19"/>
  <c r="R248" i="19" s="1"/>
  <c r="AJ21" i="11"/>
  <c r="AP15" i="11"/>
  <c r="AQ15" i="11" s="1"/>
  <c r="AR15" i="11" s="1"/>
  <c r="AT19" i="11"/>
  <c r="AU19" i="11" s="1"/>
  <c r="AV19" i="11" s="1"/>
  <c r="AT22" i="11"/>
  <c r="AU22" i="11" s="1"/>
  <c r="AV22" i="11" s="1"/>
  <c r="AT20" i="11"/>
  <c r="AU20" i="11" s="1"/>
  <c r="AV20" i="11" s="1"/>
  <c r="AT9" i="11"/>
  <c r="AU9" i="11" s="1"/>
  <c r="AV9" i="11" s="1"/>
  <c r="AN45" i="12"/>
  <c r="AO9" i="12"/>
  <c r="AP9" i="12" s="1"/>
  <c r="AI24" i="13"/>
  <c r="AS11" i="12"/>
  <c r="AT11" i="12" s="1"/>
  <c r="AU11" i="12" s="1"/>
  <c r="AS12" i="12"/>
  <c r="AT12" i="12" s="1"/>
  <c r="AU12" i="12" s="1"/>
  <c r="AS15" i="12"/>
  <c r="AT15" i="12" s="1"/>
  <c r="AU15" i="12" s="1"/>
  <c r="AS13" i="12"/>
  <c r="AT13" i="12" s="1"/>
  <c r="AU13" i="12" s="1"/>
  <c r="AS10" i="12"/>
  <c r="AT10" i="12" s="1"/>
  <c r="AU10" i="12" s="1"/>
  <c r="AS14" i="12"/>
  <c r="AT14" i="12" s="1"/>
  <c r="AU14" i="12" s="1"/>
  <c r="AL16" i="13"/>
  <c r="AM16" i="13" s="1"/>
  <c r="AN16" i="13" s="1"/>
  <c r="AL14" i="13"/>
  <c r="AM14" i="13" s="1"/>
  <c r="AN14" i="13" s="1"/>
  <c r="AL17" i="13"/>
  <c r="AM17" i="13" s="1"/>
  <c r="AN17" i="13" s="1"/>
  <c r="AL13" i="13"/>
  <c r="AM13" i="13" s="1"/>
  <c r="AN13" i="13" s="1"/>
  <c r="R56" i="21" s="1"/>
  <c r="R60" i="21" s="1"/>
  <c r="R61" i="21" s="1"/>
  <c r="R64" i="21" s="1"/>
  <c r="AL15" i="13"/>
  <c r="AM15" i="13" s="1"/>
  <c r="AN15" i="13" s="1"/>
  <c r="AL11" i="13"/>
  <c r="AM11" i="13" s="1"/>
  <c r="AN11" i="13" s="1"/>
  <c r="AL18" i="13"/>
  <c r="AM18" i="13" s="1"/>
  <c r="AN18" i="13" s="1"/>
  <c r="AL19" i="13"/>
  <c r="AM19" i="13" s="1"/>
  <c r="AN19" i="13" s="1"/>
  <c r="AL12" i="13"/>
  <c r="AM12" i="13" s="1"/>
  <c r="AN12" i="13" s="1"/>
  <c r="H56" i="21" s="1"/>
  <c r="H60" i="21" s="1"/>
  <c r="H61" i="21" s="1"/>
  <c r="H64" i="21" s="1"/>
  <c r="AN10" i="13"/>
  <c r="AR18" i="11"/>
  <c r="AR14" i="11"/>
  <c r="AR16" i="11"/>
  <c r="AR10" i="11"/>
  <c r="AR17" i="11"/>
  <c r="AQ11" i="11"/>
  <c r="R497" i="19" l="1"/>
  <c r="R500" i="19" s="1"/>
  <c r="R353" i="19"/>
  <c r="R356" i="19" s="1"/>
  <c r="H209" i="19"/>
  <c r="H212" i="19" s="1"/>
  <c r="R27" i="19"/>
  <c r="R30" i="19" s="1"/>
  <c r="R21" i="21"/>
  <c r="R25" i="21" s="1"/>
  <c r="R26" i="21" s="1"/>
  <c r="R29" i="21" s="1"/>
  <c r="H21" i="21"/>
  <c r="H25" i="21" s="1"/>
  <c r="H26" i="21" s="1"/>
  <c r="H29" i="21" s="1"/>
  <c r="AB10" i="13"/>
  <c r="R95" i="19"/>
  <c r="R99" i="19" s="1"/>
  <c r="R100" i="19" s="1"/>
  <c r="R103" i="19" s="1"/>
  <c r="AI14" i="12"/>
  <c r="H58" i="19"/>
  <c r="H62" i="19" s="1"/>
  <c r="H63" i="19" s="1"/>
  <c r="H66" i="19" s="1"/>
  <c r="AI11" i="12"/>
  <c r="H131" i="19"/>
  <c r="H135" i="19" s="1"/>
  <c r="H136" i="19" s="1"/>
  <c r="H139" i="19" s="1"/>
  <c r="AI15" i="12"/>
  <c r="R58" i="19"/>
  <c r="R62" i="19" s="1"/>
  <c r="R63" i="19" s="1"/>
  <c r="R66" i="19" s="1"/>
  <c r="AI12" i="12"/>
  <c r="AJ22" i="11"/>
  <c r="AJ19" i="11"/>
  <c r="AJ20" i="11"/>
  <c r="AB14" i="13"/>
  <c r="AB13" i="13"/>
  <c r="AB12" i="13"/>
  <c r="AB11" i="13"/>
  <c r="AB19" i="13"/>
  <c r="AB18" i="13"/>
  <c r="AB17" i="13"/>
  <c r="AB16" i="13"/>
  <c r="AB15" i="13"/>
  <c r="AT18" i="11"/>
  <c r="AU18" i="11" s="1"/>
  <c r="AV18" i="11" s="1"/>
  <c r="AT17" i="11"/>
  <c r="AU17" i="11" s="1"/>
  <c r="AV17" i="11" s="1"/>
  <c r="AT16" i="11"/>
  <c r="AU16" i="11" s="1"/>
  <c r="AV16" i="11" s="1"/>
  <c r="AT15" i="11"/>
  <c r="AU15" i="11" s="1"/>
  <c r="AV15" i="11" s="1"/>
  <c r="AT14" i="11"/>
  <c r="AU14" i="11" s="1"/>
  <c r="AV14" i="11" s="1"/>
  <c r="AT10" i="11"/>
  <c r="AU10" i="11" s="1"/>
  <c r="AV10" i="11" s="1"/>
  <c r="AQ9" i="12"/>
  <c r="AS9" i="12" s="1"/>
  <c r="AT9" i="12" s="1"/>
  <c r="AU9" i="12" s="1"/>
  <c r="AP45" i="12"/>
  <c r="AR11" i="11"/>
  <c r="H22" i="19" l="1"/>
  <c r="H26" i="19" s="1"/>
  <c r="H27" i="19" s="1"/>
  <c r="H30" i="19" s="1"/>
  <c r="AI9" i="12"/>
  <c r="AI45" i="12" s="1"/>
  <c r="AJ17" i="11"/>
  <c r="AJ15" i="11"/>
  <c r="AJ18" i="11"/>
  <c r="AJ16" i="11"/>
  <c r="AB24" i="13"/>
  <c r="AT11" i="11"/>
  <c r="AU11" i="11" s="1"/>
  <c r="AV11" i="11" s="1"/>
  <c r="AB39" i="11"/>
  <c r="H563" i="20" s="1"/>
  <c r="AB38" i="11"/>
  <c r="R527" i="20" s="1"/>
  <c r="AB37" i="11"/>
  <c r="H527" i="20" s="1"/>
  <c r="R490" i="20"/>
  <c r="AB25" i="13" l="1"/>
  <c r="R500" i="20"/>
  <c r="R501" i="20" s="1"/>
  <c r="R495" i="20"/>
  <c r="R537" i="20"/>
  <c r="R538" i="20" s="1"/>
  <c r="R532" i="20"/>
  <c r="H537" i="20"/>
  <c r="H538" i="20" s="1"/>
  <c r="H532" i="20"/>
  <c r="H573" i="20"/>
  <c r="H574" i="20" s="1"/>
  <c r="H568" i="20"/>
  <c r="AI47" i="11"/>
  <c r="AI48" i="11"/>
  <c r="AI9" i="1"/>
  <c r="AK9" i="1" s="1"/>
  <c r="AL9" i="1" s="1"/>
  <c r="AM9" i="1" s="1"/>
  <c r="AJ48" i="11" l="1"/>
  <c r="AI50" i="11"/>
  <c r="H575" i="20"/>
  <c r="H578" i="20" s="1"/>
  <c r="H539" i="20"/>
  <c r="H542" i="20" s="1"/>
  <c r="R539" i="20"/>
  <c r="R542" i="20" s="1"/>
  <c r="R502" i="20"/>
  <c r="R505" i="20" s="1"/>
  <c r="H28" i="1"/>
  <c r="I28" i="1"/>
  <c r="J28" i="1"/>
  <c r="L28" i="1"/>
  <c r="M28" i="1"/>
  <c r="G28" i="1"/>
  <c r="AB22" i="11" l="1"/>
  <c r="AC22" i="11" l="1"/>
  <c r="H270" i="20"/>
  <c r="AB21" i="11"/>
  <c r="AB20" i="11"/>
  <c r="AB19" i="11"/>
  <c r="AB18" i="11"/>
  <c r="AB17" i="11"/>
  <c r="AB16" i="11"/>
  <c r="AB15" i="11"/>
  <c r="AH14" i="11"/>
  <c r="AJ14" i="11" s="1"/>
  <c r="AB14" i="11"/>
  <c r="AH13" i="11"/>
  <c r="AJ13" i="11" s="1"/>
  <c r="AB13" i="11"/>
  <c r="AH12" i="11"/>
  <c r="AJ12" i="11" s="1"/>
  <c r="AB12" i="11"/>
  <c r="AH11" i="11"/>
  <c r="AJ11" i="11" s="1"/>
  <c r="AB11" i="11"/>
  <c r="AH10" i="11"/>
  <c r="AJ10" i="11" s="1"/>
  <c r="AB10" i="11"/>
  <c r="AH9" i="11"/>
  <c r="AJ9" i="11" s="1"/>
  <c r="AB9" i="11"/>
  <c r="H15" i="20" s="1"/>
  <c r="AC16" i="11" l="1"/>
  <c r="H161" i="20"/>
  <c r="AC18" i="11"/>
  <c r="H197" i="20"/>
  <c r="AC20" i="11"/>
  <c r="H234" i="20"/>
  <c r="H275" i="20"/>
  <c r="H280" i="20"/>
  <c r="H281" i="20" s="1"/>
  <c r="H25" i="20"/>
  <c r="H26" i="20" s="1"/>
  <c r="H20" i="20"/>
  <c r="R15" i="20"/>
  <c r="AC10" i="11"/>
  <c r="H51" i="20"/>
  <c r="AC11" i="11"/>
  <c r="R51" i="20"/>
  <c r="AC12" i="11"/>
  <c r="H88" i="20"/>
  <c r="AC13" i="11"/>
  <c r="R88" i="20"/>
  <c r="AC14" i="11"/>
  <c r="H124" i="20"/>
  <c r="AC15" i="11"/>
  <c r="R124" i="20"/>
  <c r="AC17" i="11"/>
  <c r="R161" i="20"/>
  <c r="AC19" i="11"/>
  <c r="R197" i="20"/>
  <c r="AC21" i="11"/>
  <c r="R234" i="20"/>
  <c r="AH47" i="11"/>
  <c r="AH50" i="11" s="1"/>
  <c r="AC9" i="11"/>
  <c r="AB47" i="11"/>
  <c r="AB50" i="11" s="1"/>
  <c r="AH44" i="11"/>
  <c r="AB44" i="11"/>
  <c r="AC47" i="11" l="1"/>
  <c r="AC50" i="11" s="1"/>
  <c r="H282" i="20"/>
  <c r="H285" i="20" s="1"/>
  <c r="R244" i="20"/>
  <c r="R245" i="20" s="1"/>
  <c r="R239" i="20"/>
  <c r="R207" i="20"/>
  <c r="R208" i="20" s="1"/>
  <c r="R202" i="20"/>
  <c r="R171" i="20"/>
  <c r="R172" i="20" s="1"/>
  <c r="R166" i="20"/>
  <c r="R134" i="20"/>
  <c r="R135" i="20" s="1"/>
  <c r="R129" i="20"/>
  <c r="H134" i="20"/>
  <c r="H135" i="20" s="1"/>
  <c r="H129" i="20"/>
  <c r="R98" i="20"/>
  <c r="R99" i="20" s="1"/>
  <c r="R93" i="20"/>
  <c r="H98" i="20"/>
  <c r="H99" i="20" s="1"/>
  <c r="H93" i="20"/>
  <c r="R61" i="20"/>
  <c r="R62" i="20" s="1"/>
  <c r="R56" i="20"/>
  <c r="H61" i="20"/>
  <c r="H62" i="20" s="1"/>
  <c r="H56" i="20"/>
  <c r="R25" i="20"/>
  <c r="R26" i="20" s="1"/>
  <c r="R20" i="20"/>
  <c r="H244" i="20"/>
  <c r="H245" i="20" s="1"/>
  <c r="H239" i="20"/>
  <c r="H207" i="20"/>
  <c r="H208" i="20" s="1"/>
  <c r="H202" i="20"/>
  <c r="H171" i="20"/>
  <c r="H172" i="20" s="1"/>
  <c r="H166" i="20"/>
  <c r="H27" i="20"/>
  <c r="H30" i="20" s="1"/>
  <c r="R27" i="20" l="1"/>
  <c r="R30" i="20" s="1"/>
  <c r="H63" i="20"/>
  <c r="H66" i="20" s="1"/>
  <c r="R209" i="20"/>
  <c r="R212" i="20" s="1"/>
  <c r="H100" i="20"/>
  <c r="H103" i="20" s="1"/>
  <c r="H173" i="20"/>
  <c r="H176" i="20" s="1"/>
  <c r="H209" i="20"/>
  <c r="H212" i="20" s="1"/>
  <c r="H246" i="20"/>
  <c r="H249" i="20" s="1"/>
  <c r="R63" i="20"/>
  <c r="R66" i="20" s="1"/>
  <c r="R100" i="20"/>
  <c r="R103" i="20" s="1"/>
  <c r="H136" i="20"/>
  <c r="H139" i="20" s="1"/>
  <c r="R136" i="20"/>
  <c r="R139" i="20" s="1"/>
  <c r="R173" i="20"/>
  <c r="R176" i="20" s="1"/>
  <c r="R246" i="20"/>
  <c r="R249" i="20" s="1"/>
  <c r="S26" i="1"/>
  <c r="R289" i="18" s="1"/>
  <c r="AF26" i="1"/>
  <c r="S25" i="1"/>
  <c r="H289" i="18" s="1"/>
  <c r="AF25" i="1"/>
  <c r="S24" i="1"/>
  <c r="R253" i="18" s="1"/>
  <c r="AF24" i="1"/>
  <c r="AF23" i="1"/>
  <c r="N22" i="1"/>
  <c r="N21" i="1"/>
  <c r="N20" i="1"/>
  <c r="N19" i="1"/>
  <c r="N18" i="1"/>
  <c r="N17" i="1"/>
  <c r="N16" i="1"/>
  <c r="N15" i="1"/>
  <c r="N14" i="1"/>
  <c r="AE14" i="1" s="1"/>
  <c r="AE19" i="1" l="1"/>
  <c r="AE16" i="1"/>
  <c r="AE20" i="1"/>
  <c r="AE15" i="1"/>
  <c r="AE17" i="1"/>
  <c r="AE21" i="1"/>
  <c r="W14" i="1"/>
  <c r="R14" i="1"/>
  <c r="AE18" i="1"/>
  <c r="AE22" i="1"/>
  <c r="R263" i="18"/>
  <c r="R264" i="18" s="1"/>
  <c r="R257" i="18"/>
  <c r="H299" i="18"/>
  <c r="H300" i="18" s="1"/>
  <c r="H293" i="18"/>
  <c r="R299" i="18"/>
  <c r="R300" i="18" s="1"/>
  <c r="R293" i="18"/>
  <c r="AG26" i="1"/>
  <c r="AH26" i="1" s="1"/>
  <c r="AI26" i="1" s="1"/>
  <c r="AK26" i="1" s="1"/>
  <c r="AL26" i="1" s="1"/>
  <c r="AM26" i="1" s="1"/>
  <c r="AG25" i="1"/>
  <c r="AG24" i="1"/>
  <c r="AH24" i="1" s="1"/>
  <c r="AG23" i="1"/>
  <c r="AH23" i="1" s="1"/>
  <c r="T25" i="1"/>
  <c r="S23" i="1"/>
  <c r="T24" i="1"/>
  <c r="T26" i="1"/>
  <c r="AA26" i="1"/>
  <c r="AA24" i="1"/>
  <c r="AA25" i="1"/>
  <c r="N13" i="1"/>
  <c r="AE13" i="1" s="1"/>
  <c r="W21" i="1" l="1"/>
  <c r="R21" i="1"/>
  <c r="W13" i="1"/>
  <c r="R13" i="1"/>
  <c r="W18" i="1"/>
  <c r="R18" i="1"/>
  <c r="W15" i="1"/>
  <c r="R15" i="1"/>
  <c r="W16" i="1"/>
  <c r="R16" i="1"/>
  <c r="W22" i="1"/>
  <c r="R22" i="1"/>
  <c r="W17" i="1"/>
  <c r="R17" i="1"/>
  <c r="W20" i="1"/>
  <c r="R20" i="1"/>
  <c r="W19" i="1"/>
  <c r="R19" i="1"/>
  <c r="X14" i="1"/>
  <c r="R92" i="18" s="1"/>
  <c r="Y14" i="1"/>
  <c r="R301" i="18"/>
  <c r="H301" i="18"/>
  <c r="R265" i="18"/>
  <c r="T23" i="1"/>
  <c r="H253" i="18"/>
  <c r="AI23" i="1"/>
  <c r="AK23" i="1" s="1"/>
  <c r="AL23" i="1" s="1"/>
  <c r="AM23" i="1" s="1"/>
  <c r="AI24" i="1"/>
  <c r="AK24" i="1" s="1"/>
  <c r="AL24" i="1" s="1"/>
  <c r="AM24" i="1" s="1"/>
  <c r="AH25" i="1"/>
  <c r="AI25" i="1" s="1"/>
  <c r="AK25" i="1" s="1"/>
  <c r="AL25" i="1" s="1"/>
  <c r="AM25" i="1" s="1"/>
  <c r="N12" i="1"/>
  <c r="AE12" i="1" s="1"/>
  <c r="N11" i="1"/>
  <c r="AE11" i="1" s="1"/>
  <c r="Y9" i="1"/>
  <c r="AA9" i="1" s="1"/>
  <c r="X20" i="1" l="1"/>
  <c r="Y20" i="1" s="1"/>
  <c r="AA20" i="1" s="1"/>
  <c r="R193" i="18"/>
  <c r="Y22" i="1"/>
  <c r="R229" i="18"/>
  <c r="Y15" i="1"/>
  <c r="H124" i="18"/>
  <c r="X13" i="1"/>
  <c r="Y13" i="1" s="1"/>
  <c r="W11" i="1"/>
  <c r="R11" i="1"/>
  <c r="W12" i="1"/>
  <c r="R12" i="1"/>
  <c r="Y19" i="1"/>
  <c r="H193" i="18"/>
  <c r="Y17" i="1"/>
  <c r="H161" i="18"/>
  <c r="Y16" i="1"/>
  <c r="R124" i="18"/>
  <c r="Y18" i="1"/>
  <c r="R161" i="18"/>
  <c r="Y21" i="1"/>
  <c r="H229" i="18"/>
  <c r="S21" i="1"/>
  <c r="H221" i="18" s="1"/>
  <c r="S17" i="1"/>
  <c r="T17" i="1" s="1"/>
  <c r="AF20" i="1"/>
  <c r="AG20" i="1" s="1"/>
  <c r="S14" i="1"/>
  <c r="R84" i="18" s="1"/>
  <c r="H92" i="18"/>
  <c r="AA14" i="1"/>
  <c r="H263" i="18"/>
  <c r="H264" i="18" s="1"/>
  <c r="H257" i="18"/>
  <c r="S19" i="1"/>
  <c r="S22" i="1"/>
  <c r="S20" i="1"/>
  <c r="AF22" i="1"/>
  <c r="AF21" i="1"/>
  <c r="AG21" i="1" s="1"/>
  <c r="AH21" i="1" s="1"/>
  <c r="AI21" i="1" s="1"/>
  <c r="AK21" i="1" s="1"/>
  <c r="AL21" i="1" s="1"/>
  <c r="AM21" i="1" s="1"/>
  <c r="AF19" i="1"/>
  <c r="AG19" i="1" s="1"/>
  <c r="AH19" i="1" s="1"/>
  <c r="AI19" i="1" s="1"/>
  <c r="AK19" i="1" s="1"/>
  <c r="AL19" i="1" s="1"/>
  <c r="AM19" i="1" s="1"/>
  <c r="AF18" i="1"/>
  <c r="AG18" i="1" s="1"/>
  <c r="AH18" i="1" s="1"/>
  <c r="AI18" i="1" s="1"/>
  <c r="AK18" i="1" s="1"/>
  <c r="AL18" i="1" s="1"/>
  <c r="AM18" i="1" s="1"/>
  <c r="S18" i="1"/>
  <c r="AF17" i="1"/>
  <c r="AG17" i="1" s="1"/>
  <c r="AH17" i="1" s="1"/>
  <c r="AI17" i="1" s="1"/>
  <c r="AK17" i="1" s="1"/>
  <c r="AL17" i="1" s="1"/>
  <c r="AM17" i="1" s="1"/>
  <c r="AF16" i="1"/>
  <c r="AG16" i="1" s="1"/>
  <c r="AH16" i="1" s="1"/>
  <c r="AI16" i="1" s="1"/>
  <c r="AK16" i="1" s="1"/>
  <c r="AL16" i="1" s="1"/>
  <c r="AM16" i="1" s="1"/>
  <c r="S16" i="1"/>
  <c r="AF15" i="1"/>
  <c r="AG15" i="1" s="1"/>
  <c r="AH15" i="1" s="1"/>
  <c r="AI15" i="1" s="1"/>
  <c r="AK15" i="1" s="1"/>
  <c r="AL15" i="1" s="1"/>
  <c r="AM15" i="1" s="1"/>
  <c r="S15" i="1"/>
  <c r="AF14" i="1"/>
  <c r="N28" i="1"/>
  <c r="T9" i="1"/>
  <c r="X12" i="1" l="1"/>
  <c r="R54" i="18" s="1"/>
  <c r="X11" i="1"/>
  <c r="X28" i="1" s="1"/>
  <c r="Y11" i="1"/>
  <c r="W28" i="1"/>
  <c r="AH20" i="1"/>
  <c r="AI20" i="1" s="1"/>
  <c r="AK20" i="1" s="1"/>
  <c r="AL20" i="1" s="1"/>
  <c r="AM20" i="1" s="1"/>
  <c r="T21" i="1"/>
  <c r="H153" i="18"/>
  <c r="H163" i="18" s="1"/>
  <c r="H164" i="18" s="1"/>
  <c r="T14" i="1"/>
  <c r="H54" i="18"/>
  <c r="T18" i="1"/>
  <c r="R153" i="18"/>
  <c r="T22" i="1"/>
  <c r="R221" i="18"/>
  <c r="R94" i="18"/>
  <c r="R95" i="18" s="1"/>
  <c r="R88" i="18"/>
  <c r="T15" i="1"/>
  <c r="H116" i="18"/>
  <c r="T16" i="1"/>
  <c r="R116" i="18"/>
  <c r="T20" i="1"/>
  <c r="R185" i="18"/>
  <c r="T19" i="1"/>
  <c r="H185" i="18"/>
  <c r="H265" i="18"/>
  <c r="H231" i="18"/>
  <c r="H232" i="18" s="1"/>
  <c r="H225" i="18"/>
  <c r="AG22" i="1"/>
  <c r="AH22" i="1" s="1"/>
  <c r="AI22" i="1" s="1"/>
  <c r="AK22" i="1" s="1"/>
  <c r="AL22" i="1" s="1"/>
  <c r="AM22" i="1" s="1"/>
  <c r="AG14" i="1"/>
  <c r="AH14" i="1" s="1"/>
  <c r="AI14" i="1" s="1"/>
  <c r="AK14" i="1" s="1"/>
  <c r="AL14" i="1" s="1"/>
  <c r="AM14" i="1" s="1"/>
  <c r="AA13" i="1"/>
  <c r="AF13" i="1"/>
  <c r="AG13" i="1" s="1"/>
  <c r="AH13" i="1" s="1"/>
  <c r="AI13" i="1" s="1"/>
  <c r="AK13" i="1" s="1"/>
  <c r="AL13" i="1" s="1"/>
  <c r="AM13" i="1" s="1"/>
  <c r="S13" i="1"/>
  <c r="V28" i="1"/>
  <c r="AF11" i="1"/>
  <c r="AG11" i="1" s="1"/>
  <c r="Y12" i="1" l="1"/>
  <c r="AA12" i="1" s="1"/>
  <c r="H157" i="18"/>
  <c r="H165" i="18" s="1"/>
  <c r="P28" i="1"/>
  <c r="H233" i="18"/>
  <c r="R96" i="18"/>
  <c r="AF10" i="1"/>
  <c r="AG10" i="1" s="1"/>
  <c r="AH10" i="1" s="1"/>
  <c r="AI10" i="1" s="1"/>
  <c r="AK10" i="1" s="1"/>
  <c r="AL10" i="1" s="1"/>
  <c r="AM10" i="1" s="1"/>
  <c r="S10" i="1"/>
  <c r="T13" i="1"/>
  <c r="H84" i="18"/>
  <c r="R231" i="18"/>
  <c r="R232" i="18" s="1"/>
  <c r="R225" i="18"/>
  <c r="R163" i="18"/>
  <c r="R164" i="18" s="1"/>
  <c r="R157" i="18"/>
  <c r="H195" i="18"/>
  <c r="H196" i="18" s="1"/>
  <c r="H189" i="18"/>
  <c r="R195" i="18"/>
  <c r="R196" i="18" s="1"/>
  <c r="R189" i="18"/>
  <c r="R126" i="18"/>
  <c r="R127" i="18" s="1"/>
  <c r="R120" i="18"/>
  <c r="H126" i="18"/>
  <c r="H127" i="18" s="1"/>
  <c r="H120" i="18"/>
  <c r="S11" i="1"/>
  <c r="AA11" i="1"/>
  <c r="AH11" i="1"/>
  <c r="AI11" i="1" s="1"/>
  <c r="AK11" i="1" s="1"/>
  <c r="AL11" i="1" s="1"/>
  <c r="AM11" i="1" s="1"/>
  <c r="Q28" i="1"/>
  <c r="O28" i="1"/>
  <c r="AF12" i="1"/>
  <c r="AG12" i="1" s="1"/>
  <c r="AH12" i="1" s="1"/>
  <c r="AI12" i="1" s="1"/>
  <c r="AK12" i="1" s="1"/>
  <c r="AL12" i="1" s="1"/>
  <c r="AM12" i="1" s="1"/>
  <c r="S12" i="1"/>
  <c r="U28" i="1"/>
  <c r="AA10" i="1"/>
  <c r="AA15" i="1"/>
  <c r="AA16" i="1"/>
  <c r="AA17" i="1"/>
  <c r="AA18" i="1"/>
  <c r="AA19" i="1"/>
  <c r="AA21" i="1"/>
  <c r="AA22" i="1"/>
  <c r="AA23" i="1"/>
  <c r="H128" i="18" l="1"/>
  <c r="R128" i="18"/>
  <c r="R197" i="18"/>
  <c r="H197" i="18"/>
  <c r="R165" i="18"/>
  <c r="R233" i="18"/>
  <c r="H94" i="18"/>
  <c r="H95" i="18" s="1"/>
  <c r="H88" i="18"/>
  <c r="R14" i="18"/>
  <c r="T10" i="1"/>
  <c r="T12" i="1"/>
  <c r="R46" i="18"/>
  <c r="T11" i="1"/>
  <c r="H46" i="18"/>
  <c r="S28" i="1"/>
  <c r="S29" i="1"/>
  <c r="Y28" i="1"/>
  <c r="T28" i="1" l="1"/>
  <c r="N29" i="1" s="1"/>
  <c r="H56" i="18"/>
  <c r="H57" i="18" s="1"/>
  <c r="H50" i="18"/>
  <c r="R56" i="18"/>
  <c r="R57" i="18" s="1"/>
  <c r="R50" i="18"/>
  <c r="H96" i="18"/>
  <c r="R24" i="18"/>
  <c r="R25" i="18" s="1"/>
  <c r="R18" i="18"/>
  <c r="AA28" i="1"/>
  <c r="R58" i="18" l="1"/>
  <c r="H58" i="18"/>
  <c r="R26" i="18"/>
  <c r="AA29" i="1"/>
  <c r="W39" i="11" l="1"/>
  <c r="AJ39" i="11" s="1"/>
  <c r="W37" i="11"/>
  <c r="AJ37" i="11" s="1"/>
  <c r="W38" i="11"/>
  <c r="AJ38" i="11" s="1"/>
  <c r="AJ44" i="11" l="1"/>
  <c r="AC39" i="11"/>
  <c r="AO39" i="11"/>
  <c r="AP39" i="11" s="1"/>
  <c r="AC37" i="11"/>
  <c r="AO37" i="11"/>
  <c r="AP37" i="11" s="1"/>
  <c r="AO38" i="11"/>
  <c r="AP38" i="11" s="1"/>
  <c r="AC38" i="11"/>
  <c r="W44" i="11" l="1"/>
  <c r="AQ38" i="11"/>
  <c r="AR38" i="11" s="1"/>
  <c r="AT38" i="11" s="1"/>
  <c r="AU38" i="11" s="1"/>
  <c r="AV38" i="11" s="1"/>
  <c r="AQ37" i="11"/>
  <c r="AR37" i="11" s="1"/>
  <c r="AT37" i="11" s="1"/>
  <c r="AU37" i="11" s="1"/>
  <c r="AV37" i="11" s="1"/>
  <c r="AQ39" i="11"/>
  <c r="AR39" i="11" s="1"/>
  <c r="AT39" i="11" s="1"/>
  <c r="AU39" i="11" s="1"/>
  <c r="AV39" i="11" s="1"/>
  <c r="S44" i="11" l="1"/>
  <c r="AI44" i="11"/>
  <c r="W45" i="11" l="1"/>
  <c r="AC44" i="11"/>
  <c r="AJ47" i="11" l="1"/>
  <c r="AJ50" i="11" s="1"/>
  <c r="AJ53" i="11" s="1"/>
  <c r="AI45" i="11" l="1"/>
  <c r="AJ45" i="11" l="1"/>
  <c r="AI25" i="13"/>
  <c r="R28" i="1" l="1"/>
  <c r="T29" i="1" s="1"/>
  <c r="W22" i="22" l="1"/>
  <c r="W27" i="1"/>
</calcChain>
</file>

<file path=xl/sharedStrings.xml><?xml version="1.0" encoding="utf-8"?>
<sst xmlns="http://schemas.openxmlformats.org/spreadsheetml/2006/main" count="5118" uniqueCount="389">
  <si>
    <t>TUNJANGAN</t>
  </si>
  <si>
    <t>PPh 21</t>
  </si>
  <si>
    <t>Gaji Setelah PPh 21</t>
  </si>
  <si>
    <t>NAMA</t>
  </si>
  <si>
    <t>STS</t>
  </si>
  <si>
    <t>LEMBUR</t>
  </si>
  <si>
    <t>(THP)</t>
  </si>
  <si>
    <t>K2</t>
  </si>
  <si>
    <t>K3</t>
  </si>
  <si>
    <t>K1</t>
  </si>
  <si>
    <t>TK</t>
  </si>
  <si>
    <t>SUB TOTAL</t>
  </si>
  <si>
    <t>ABDUL WAHAB</t>
  </si>
  <si>
    <t>ACEP SAPUTRA</t>
  </si>
  <si>
    <t>QC SHEET</t>
  </si>
  <si>
    <t>DELIVERY</t>
  </si>
  <si>
    <t>WONDAN</t>
  </si>
  <si>
    <t>K</t>
  </si>
  <si>
    <t>BADRUDIN</t>
  </si>
  <si>
    <t>M.SOLEH SALAHUDIN</t>
  </si>
  <si>
    <t>MULYADI</t>
  </si>
  <si>
    <t>NOVA SUGANDI</t>
  </si>
  <si>
    <t>RAMA ANWARI</t>
  </si>
  <si>
    <t>MOUNTING</t>
  </si>
  <si>
    <t>SANDI SAPUTRA</t>
  </si>
  <si>
    <t>SARIPUDIN</t>
  </si>
  <si>
    <t>SOLEH</t>
  </si>
  <si>
    <t>SYARIF HIDAYATULLAH</t>
  </si>
  <si>
    <t>WANDI YULIANTO</t>
  </si>
  <si>
    <t>ZULKARNAEN</t>
  </si>
  <si>
    <t>AHMAD GHOZALI</t>
  </si>
  <si>
    <t>ANDRI GUNAWAN</t>
  </si>
  <si>
    <t>SUKRONI</t>
  </si>
  <si>
    <t>ABDUL ROCHMAN RAFLI</t>
  </si>
  <si>
    <t>IBNU NURDIANSYAH</t>
  </si>
  <si>
    <t>PANJI AGUNG DEWANTARA</t>
  </si>
  <si>
    <t>STICHING</t>
  </si>
  <si>
    <t>DENDI JULIANA</t>
  </si>
  <si>
    <t>SUHENDAR PERMANA</t>
  </si>
  <si>
    <t>DRIVER</t>
  </si>
  <si>
    <t>SECURITY</t>
  </si>
  <si>
    <t>MARKETING</t>
  </si>
  <si>
    <t>FINISHING</t>
  </si>
  <si>
    <t>PERSONALIA</t>
  </si>
  <si>
    <t>PURCHASING</t>
  </si>
  <si>
    <t>FINANCE</t>
  </si>
  <si>
    <t>ACCOUNTING</t>
  </si>
  <si>
    <t xml:space="preserve">JABATAN </t>
  </si>
  <si>
    <t>SAMAH</t>
  </si>
  <si>
    <t>UJANG SUHADA</t>
  </si>
  <si>
    <t>HERMAN</t>
  </si>
  <si>
    <t>ENANG BIN LAMIN</t>
  </si>
  <si>
    <t>ADE ANSORI</t>
  </si>
  <si>
    <t>OCEN SAPUTRA</t>
  </si>
  <si>
    <t>MUHAMMAD RAMDANI</t>
  </si>
  <si>
    <t>AGUS HUSEN AHMAD SATORI</t>
  </si>
  <si>
    <t>MUHAMAD ZAKARIA TRI PRATAMA</t>
  </si>
  <si>
    <t>MUHAMMAD SUGALIH</t>
  </si>
  <si>
    <t>EDDY SILALAHI, SE</t>
  </si>
  <si>
    <t>CHIEF ACC.</t>
  </si>
  <si>
    <t>KUSUMA DWI P.</t>
  </si>
  <si>
    <t>ERNI NURAENI</t>
  </si>
  <si>
    <t>SRI WAHYUNI</t>
  </si>
  <si>
    <t>TUTI NUR PRATIWI</t>
  </si>
  <si>
    <t>UJANG SAILAN</t>
  </si>
  <si>
    <t>SUMIYATI</t>
  </si>
  <si>
    <t>LUTHFYA BILQIS</t>
  </si>
  <si>
    <t>VIRYA ADELIA SAVITRI</t>
  </si>
  <si>
    <t>DEDE IRAWAN</t>
  </si>
  <si>
    <t>ANDIKA WIJAYA</t>
  </si>
  <si>
    <t>SUTRIS</t>
  </si>
  <si>
    <t>SUCIPTO</t>
  </si>
  <si>
    <t>UDI</t>
  </si>
  <si>
    <t>ANDI</t>
  </si>
  <si>
    <t>ENCEP IMAN</t>
  </si>
  <si>
    <t>RINA AULIA KRESNA R</t>
  </si>
  <si>
    <t>KPL.WONDAN</t>
  </si>
  <si>
    <t>KPL.SHIFT</t>
  </si>
  <si>
    <t>KPL.DELIVERY</t>
  </si>
  <si>
    <t>ADM BC</t>
  </si>
  <si>
    <t>ADM PRODUKSI</t>
  </si>
  <si>
    <t xml:space="preserve">ADM </t>
  </si>
  <si>
    <t>NO</t>
  </si>
  <si>
    <t>BPJS KES</t>
  </si>
  <si>
    <t>PRESTASI /</t>
  </si>
  <si>
    <t>INSENTIF</t>
  </si>
  <si>
    <t>UANG</t>
  </si>
  <si>
    <t>MAKAN</t>
  </si>
  <si>
    <t>THR/</t>
  </si>
  <si>
    <t>BONUS</t>
  </si>
  <si>
    <t xml:space="preserve">RAMIN </t>
  </si>
  <si>
    <t xml:space="preserve">HENDI </t>
  </si>
  <si>
    <t>ADRIAN OKTAVIANSYAH</t>
  </si>
  <si>
    <t>REJA RAMADANI</t>
  </si>
  <si>
    <t>ELIS MAWATI</t>
  </si>
  <si>
    <t>SINTA AYU LESTARI</t>
  </si>
  <si>
    <t>YULI</t>
  </si>
  <si>
    <t>BAGIAN</t>
  </si>
  <si>
    <t>JULIAWAN HADIYAT</t>
  </si>
  <si>
    <t>PRINTER</t>
  </si>
  <si>
    <t>C. SERVICE</t>
  </si>
  <si>
    <t>RISKI</t>
  </si>
  <si>
    <t>BPJS DITANGGUNG KARYAWAN</t>
  </si>
  <si>
    <t>BPJS DITANGGUNG PERUSAHAAN</t>
  </si>
  <si>
    <t xml:space="preserve"> TAMBAHAN</t>
  </si>
  <si>
    <t>BPJS</t>
  </si>
  <si>
    <t>JKK JKM</t>
  </si>
  <si>
    <t>JP</t>
  </si>
  <si>
    <t>JHT</t>
  </si>
  <si>
    <t>UANG JABATAN</t>
  </si>
  <si>
    <t>TOTAL GAJI</t>
  </si>
  <si>
    <t>GAJI POKOK</t>
  </si>
  <si>
    <t>TK + KES</t>
  </si>
  <si>
    <t>POTONGAN</t>
  </si>
  <si>
    <t>GAJI BRUTO</t>
  </si>
  <si>
    <t>TOTAL GAJI SETELAH BPJS DAN PAJAK</t>
  </si>
  <si>
    <t>AMIR RUDIN</t>
  </si>
  <si>
    <t>DONI IMAM SAPUTRO</t>
  </si>
  <si>
    <t>YUNI YUNINGSIH</t>
  </si>
  <si>
    <t>OKY HERIYAWAN</t>
  </si>
  <si>
    <t>HERMANSYAH</t>
  </si>
  <si>
    <t>SLITER</t>
  </si>
  <si>
    <t>FERI TIRANA</t>
  </si>
  <si>
    <t>RIO ROMADAN</t>
  </si>
  <si>
    <t>OP THOMSON</t>
  </si>
  <si>
    <t>OP. PARTISI</t>
  </si>
  <si>
    <t>OP. SLITER 4</t>
  </si>
  <si>
    <t>OP. PRINTER 5</t>
  </si>
  <si>
    <t>OP. PRINTER 1</t>
  </si>
  <si>
    <t>OP.SLITER 1</t>
  </si>
  <si>
    <t>OP.PRINTER 2</t>
  </si>
  <si>
    <t>OP.PRINTER 5</t>
  </si>
  <si>
    <t>OP. PRINTER 2</t>
  </si>
  <si>
    <t>OP. SLITER 2</t>
  </si>
  <si>
    <t>OP.SLOTER 2</t>
  </si>
  <si>
    <t>OP. SLOTER 2</t>
  </si>
  <si>
    <t>OP. PRINTER 4</t>
  </si>
  <si>
    <t>OP. PRINTER 3</t>
  </si>
  <si>
    <t>PRINTER 2</t>
  </si>
  <si>
    <t>PRINTER 4</t>
  </si>
  <si>
    <t>SLITER 1</t>
  </si>
  <si>
    <t>OP SLITER 2</t>
  </si>
  <si>
    <t xml:space="preserve">SLOTER </t>
  </si>
  <si>
    <t>ZASKIA EVA</t>
  </si>
  <si>
    <t>FAZAR SIDIK NUR MAULID</t>
  </si>
  <si>
    <t>THOMSON</t>
  </si>
  <si>
    <t>BPJS PER-  USAHAAN</t>
  </si>
  <si>
    <t>MUHAMAD RIDWAN</t>
  </si>
  <si>
    <t>LEM A</t>
  </si>
  <si>
    <t>LEM B</t>
  </si>
  <si>
    <t>HARI KERJA</t>
  </si>
  <si>
    <t>OT / JAM</t>
  </si>
  <si>
    <t xml:space="preserve"> JAM OT</t>
  </si>
  <si>
    <t>GAJI NETTO</t>
  </si>
  <si>
    <t>OT HARI BIASA</t>
  </si>
  <si>
    <t>OT HARI LIBUR</t>
  </si>
  <si>
    <t>TOTAL LEMBUR</t>
  </si>
  <si>
    <t>LEMBUR HARI BIASA</t>
  </si>
  <si>
    <t>LEMBUR HARI LIBUR</t>
  </si>
  <si>
    <t>PRESTASI</t>
  </si>
  <si>
    <t>UANG MAKAN PERHARI</t>
  </si>
  <si>
    <t>UANG MAKAN SEBULAN</t>
  </si>
  <si>
    <t>THR/ BONUS</t>
  </si>
  <si>
    <t>TK + JKN</t>
  </si>
  <si>
    <t>BIAYA JABATAN</t>
  </si>
  <si>
    <t>PTKP</t>
  </si>
  <si>
    <t>PKP</t>
  </si>
  <si>
    <t>BPJS TK</t>
  </si>
  <si>
    <t>JKN</t>
  </si>
  <si>
    <t>GAJI SETAHUN</t>
  </si>
  <si>
    <t>PPH 21 SEBULAN</t>
  </si>
  <si>
    <t>PPH 21 SETAHUN</t>
  </si>
  <si>
    <t xml:space="preserve">DAFTAR GAJI STAFF </t>
  </si>
  <si>
    <t>MASA</t>
  </si>
  <si>
    <t>KERJA</t>
  </si>
  <si>
    <t>THR</t>
  </si>
  <si>
    <t>IRPAN MAULANA</t>
  </si>
  <si>
    <t>AHMAD NAFI'UN NUR</t>
  </si>
  <si>
    <t>IRSYA DULFADIL</t>
  </si>
  <si>
    <t>MARJAN NUR KAMAL</t>
  </si>
  <si>
    <t>RAHMAT</t>
  </si>
  <si>
    <t>JAMALUDIN</t>
  </si>
  <si>
    <t>FAIS MUHAMAD RIZWAN</t>
  </si>
  <si>
    <t>MUHAMAD RENALDI</t>
  </si>
  <si>
    <t>RISKI MAULANA</t>
  </si>
  <si>
    <t>DIKA HARNIA PUTRA</t>
  </si>
  <si>
    <t>ICAS IRAWAN</t>
  </si>
  <si>
    <t>LEE CHUL HUN</t>
  </si>
  <si>
    <t>PRESIDEN DIREKTUR</t>
  </si>
  <si>
    <t>APRILIANI</t>
  </si>
  <si>
    <t>BANDING</t>
  </si>
  <si>
    <t>RESTI APRILIA</t>
  </si>
  <si>
    <t>AMELIA PUTRI RAHAYU</t>
  </si>
  <si>
    <t>DINI SULISTIANI</t>
  </si>
  <si>
    <t>JAM OT</t>
  </si>
  <si>
    <t>UANG MAKAN</t>
  </si>
  <si>
    <t>SLIP GAJI</t>
  </si>
  <si>
    <t>No. Urut</t>
  </si>
  <si>
    <t>:</t>
  </si>
  <si>
    <t>Periode</t>
  </si>
  <si>
    <t>Nama Karyawan</t>
  </si>
  <si>
    <t>Bagian / Jabatan</t>
  </si>
  <si>
    <t>PENERIMAAN</t>
  </si>
  <si>
    <t>TUNJANGAN JABATAN</t>
  </si>
  <si>
    <t>H.K</t>
  </si>
  <si>
    <t>X</t>
  </si>
  <si>
    <t>HL/HM/HR</t>
  </si>
  <si>
    <t>JAM</t>
  </si>
  <si>
    <t>H.BIASA</t>
  </si>
  <si>
    <t>PPH 21</t>
  </si>
  <si>
    <t>BPJS KETENAGAKERJAAN &amp; JKN</t>
  </si>
  <si>
    <t>TOTAL  POTONGAN</t>
  </si>
  <si>
    <t>TOTAL GAJI  DITERIMA</t>
  </si>
  <si>
    <t>DIBUAT</t>
  </si>
  <si>
    <t>DITERIMA</t>
  </si>
  <si>
    <t>(__________________)</t>
  </si>
  <si>
    <t>(________________)</t>
  </si>
  <si>
    <t>LEMBUR WAJIB</t>
  </si>
  <si>
    <t>HARI</t>
  </si>
  <si>
    <t xml:space="preserve">TOTAL </t>
  </si>
  <si>
    <t xml:space="preserve">TOTAL GAJI </t>
  </si>
  <si>
    <t>KAS NON SHIFT</t>
  </si>
  <si>
    <t>TOTAL</t>
  </si>
  <si>
    <t xml:space="preserve">GAJI POKOK  </t>
  </si>
  <si>
    <t>TUNJANGAN BPJS</t>
  </si>
  <si>
    <t>BPJS KES 1%</t>
  </si>
  <si>
    <t>BPJS TK 3%</t>
  </si>
  <si>
    <t>TUNJANGAN PRESTASI</t>
  </si>
  <si>
    <t>TUNJANGAN INSENTIF</t>
  </si>
  <si>
    <t>01 JANUARI  S/D  31 JANUARI  2025</t>
  </si>
  <si>
    <t>KAS SHIFT SANAN</t>
  </si>
  <si>
    <t>KAS SHIFT INDRA</t>
  </si>
  <si>
    <t>ANIS</t>
  </si>
  <si>
    <t xml:space="preserve">LEMBUR </t>
  </si>
  <si>
    <t>DAFTAR GAJI DIREKTUR</t>
  </si>
  <si>
    <t>UMUM</t>
  </si>
  <si>
    <t>SLITTER</t>
  </si>
  <si>
    <t>MUHAMMAD NASWAN</t>
  </si>
  <si>
    <t>MUAMMAR IBAD NASHIH</t>
  </si>
  <si>
    <t>SLOTTER</t>
  </si>
  <si>
    <t>DAFTAR GAJI GENERAL</t>
  </si>
  <si>
    <t>DAFTAR GAJI PRODUKSI 2</t>
  </si>
  <si>
    <t>DAFTAR GAJI PRODUKSI 1</t>
  </si>
  <si>
    <t>PT. INDOBOX UTAMA JAYA</t>
  </si>
  <si>
    <t>+</t>
  </si>
  <si>
    <t>INDRA WIJAYA KUSUMA</t>
  </si>
  <si>
    <t>SANAN BIN AJA</t>
  </si>
  <si>
    <t>ABDUROHMAT YUSUP</t>
  </si>
  <si>
    <t>MUH ARIF ROFIUDIN</t>
  </si>
  <si>
    <t>MANSUR BIN SAIRAN</t>
  </si>
  <si>
    <t>0077679652012000</t>
  </si>
  <si>
    <t>NIK</t>
  </si>
  <si>
    <t>3603280210600004</t>
  </si>
  <si>
    <t>3201275203830011</t>
  </si>
  <si>
    <t>3201026310890011</t>
  </si>
  <si>
    <t>3201026406760009</t>
  </si>
  <si>
    <t>3201024708880005</t>
  </si>
  <si>
    <t>3201022705750006</t>
  </si>
  <si>
    <t>3201021111850018</t>
  </si>
  <si>
    <t>3201072609800003</t>
  </si>
  <si>
    <t>3201021309850004</t>
  </si>
  <si>
    <t>3201080506810002</t>
  </si>
  <si>
    <t>3201020706810006</t>
  </si>
  <si>
    <t>3201025401940010</t>
  </si>
  <si>
    <t>3201022209710009</t>
  </si>
  <si>
    <t>3201026001960004</t>
  </si>
  <si>
    <t>3317146201000001</t>
  </si>
  <si>
    <t>3201021605010002</t>
  </si>
  <si>
    <t>3201024209970007</t>
  </si>
  <si>
    <t>3602206110020001</t>
  </si>
  <si>
    <t>3201021703840004</t>
  </si>
  <si>
    <t>3201020202800004</t>
  </si>
  <si>
    <t>3201020107710001</t>
  </si>
  <si>
    <t>3201022401830001</t>
  </si>
  <si>
    <t>3324030803700004</t>
  </si>
  <si>
    <t>3201020607720008</t>
  </si>
  <si>
    <t>3174073005740007</t>
  </si>
  <si>
    <t>3201022704740002</t>
  </si>
  <si>
    <t>3201020305850006</t>
  </si>
  <si>
    <t>3201322411930002</t>
  </si>
  <si>
    <t>3201020508760012</t>
  </si>
  <si>
    <t>3201022904800009</t>
  </si>
  <si>
    <t>3201020304740014</t>
  </si>
  <si>
    <t>3201021908740010</t>
  </si>
  <si>
    <t>3201021701830003</t>
  </si>
  <si>
    <t>3201022608820004</t>
  </si>
  <si>
    <t>3201021304820008</t>
  </si>
  <si>
    <t>3201021405840004</t>
  </si>
  <si>
    <t>3201022006860004</t>
  </si>
  <si>
    <t>3201321707830001</t>
  </si>
  <si>
    <t>3201320104900005</t>
  </si>
  <si>
    <t>3201021608900007</t>
  </si>
  <si>
    <t>3201320202920002</t>
  </si>
  <si>
    <t>3201322703910003</t>
  </si>
  <si>
    <t>3201020409930006</t>
  </si>
  <si>
    <t>3201070705940004</t>
  </si>
  <si>
    <t>3201326808020001</t>
  </si>
  <si>
    <t>3201325906900003</t>
  </si>
  <si>
    <t>3201026505990011</t>
  </si>
  <si>
    <t>3207082605910002</t>
  </si>
  <si>
    <t>3301190507910002</t>
  </si>
  <si>
    <t>3210171008940041</t>
  </si>
  <si>
    <t>3201021901940005</t>
  </si>
  <si>
    <t>3201322105920002</t>
  </si>
  <si>
    <t>3201020707930012</t>
  </si>
  <si>
    <t>3202090107930078</t>
  </si>
  <si>
    <t>3201322704950001</t>
  </si>
  <si>
    <t>3201071911950006</t>
  </si>
  <si>
    <t>3201022001950006</t>
  </si>
  <si>
    <t>3201071205950003</t>
  </si>
  <si>
    <t>3602200603970001</t>
  </si>
  <si>
    <t>3201022308970003</t>
  </si>
  <si>
    <t>3201131405990001</t>
  </si>
  <si>
    <t>3201022108010001</t>
  </si>
  <si>
    <t>3201020811000011</t>
  </si>
  <si>
    <t>3201020609990014</t>
  </si>
  <si>
    <t>3201021907980007</t>
  </si>
  <si>
    <t>3305082809010002</t>
  </si>
  <si>
    <t>3213220604000001</t>
  </si>
  <si>
    <t>3201021110990014</t>
  </si>
  <si>
    <t>3201025610860002</t>
  </si>
  <si>
    <t>3201322111010002</t>
  </si>
  <si>
    <t>3215082510990006</t>
  </si>
  <si>
    <t>3201033006000003</t>
  </si>
  <si>
    <t>3201023112020010</t>
  </si>
  <si>
    <t>3201021912990005</t>
  </si>
  <si>
    <t>3213221602030003</t>
  </si>
  <si>
    <t>3217070106010008</t>
  </si>
  <si>
    <t>3201321303030003</t>
  </si>
  <si>
    <t>3201071711010009</t>
  </si>
  <si>
    <t>3324030911030002</t>
  </si>
  <si>
    <t>3201021903020014</t>
  </si>
  <si>
    <t>3201023006020008</t>
  </si>
  <si>
    <t>3215171901040002</t>
  </si>
  <si>
    <t>3201021006050006</t>
  </si>
  <si>
    <t>3201072507050004</t>
  </si>
  <si>
    <t>3201021208040001</t>
  </si>
  <si>
    <t>3201080103000003</t>
  </si>
  <si>
    <t>3201022412030004</t>
  </si>
  <si>
    <t>3201022112020001</t>
  </si>
  <si>
    <t>3201020202060004</t>
  </si>
  <si>
    <t>3201023008060002</t>
  </si>
  <si>
    <t>3201324203960001</t>
  </si>
  <si>
    <t>3201026307960004</t>
  </si>
  <si>
    <t>3201325707000004</t>
  </si>
  <si>
    <t>3201326405990003</t>
  </si>
  <si>
    <t>3201021206870016</t>
  </si>
  <si>
    <t>3201024207030002</t>
  </si>
  <si>
    <t>3201025402020004</t>
  </si>
  <si>
    <t>3201324804970002</t>
  </si>
  <si>
    <t>GAJI</t>
  </si>
  <si>
    <t>PT INDOBOX UTAMA JAYA</t>
  </si>
  <si>
    <t>MEKANIK</t>
  </si>
  <si>
    <t>UCI SUPRIYATNA</t>
  </si>
  <si>
    <t>DANI</t>
  </si>
  <si>
    <t>KPL LEM</t>
  </si>
  <si>
    <t>MOCHAMAD ZAKARIA</t>
  </si>
  <si>
    <t>SITI MARFUAH</t>
  </si>
  <si>
    <t>TAUFIK HERMANSYAH</t>
  </si>
  <si>
    <t>KHOLIS RIFQI ALFATHIN</t>
  </si>
  <si>
    <t xml:space="preserve">NOVITA SARI </t>
  </si>
  <si>
    <t>SAMANHUDI</t>
  </si>
  <si>
    <t>MAIZENDY SAPTA PUTRA</t>
  </si>
  <si>
    <t>SAIPUL ANWAR</t>
  </si>
  <si>
    <t>PERIODE  01 NOVEMBER S/D 30 NOVEMBER 2025</t>
  </si>
  <si>
    <t>SILALAHI</t>
  </si>
  <si>
    <t>DWI</t>
  </si>
  <si>
    <t>SRI</t>
  </si>
  <si>
    <t>NUR</t>
  </si>
  <si>
    <t>SAILAN</t>
  </si>
  <si>
    <t>KUSUMA</t>
  </si>
  <si>
    <t>YUSUP</t>
  </si>
  <si>
    <t>UDIN</t>
  </si>
  <si>
    <t>YATI</t>
  </si>
  <si>
    <t>CECEP</t>
  </si>
  <si>
    <t>RIMA</t>
  </si>
  <si>
    <t>BILQIS</t>
  </si>
  <si>
    <t>NURDIN</t>
  </si>
  <si>
    <t>ADEL</t>
  </si>
  <si>
    <t>NANANG</t>
  </si>
  <si>
    <t>JAJANG</t>
  </si>
  <si>
    <t>HERI</t>
  </si>
  <si>
    <t>SUPRI</t>
  </si>
  <si>
    <t>ADE</t>
  </si>
  <si>
    <t>SOLEHUN</t>
  </si>
  <si>
    <t>RUDIN</t>
  </si>
  <si>
    <t>SAPUT</t>
  </si>
  <si>
    <t xml:space="preserve">RAIMIN </t>
  </si>
  <si>
    <t>KANG CHUL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</si>
</sst>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 * #,##0\ _F_B_ ;_ * #,##0\ _F_B_ ;_ * &quot;-&quot;\ _F_B_ ;_ @_ "/>
    <numFmt numFmtId="168" formatCode="#,##0;[Red]#,##0"/>
    <numFmt numFmtId="169" formatCode="#,##0.0_);\(#,##0.0\)"/>
    <numFmt numFmtId="170" formatCode="_(* #,##0.0_);_(* \(#,##0.0\);_(* &quot;-&quot;?_);_(@_)"/>
    <numFmt numFmtId="171" formatCode="0.0"/>
    <numFmt numFmtId="172" formatCode="0000000000000000"/>
    <numFmt numFmtId="173" formatCode="_(* #,##0.0_);_(* \(#,##0.0\);_(* &quot;-&quot;_);_(@_)"/>
  </numFmts>
  <fonts count="2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Comic Sans MS"/>
      <family val="4"/>
    </font>
    <font>
      <sz val="11"/>
      <name val="돋움"/>
      <charset val="129"/>
    </font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µ¸¿ò"/>
      <family val="3"/>
      <charset val="129"/>
    </font>
    <font>
      <sz val="10"/>
      <name val="Calibri"/>
      <family val="2"/>
      <scheme val="minor"/>
    </font>
    <font>
      <sz val="8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04">
    <xf numFmtId="0" fontId="0" fillId="0" borderId="0"/>
    <xf numFmtId="0" fontId="2" fillId="0" borderId="0"/>
    <xf numFmtId="41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6" fillId="0" borderId="0"/>
    <xf numFmtId="0" fontId="4" fillId="0" borderId="0"/>
    <xf numFmtId="0" fontId="5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0" fontId="10" fillId="0" borderId="0"/>
    <xf numFmtId="0" fontId="6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2" fillId="0" borderId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9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</cellStyleXfs>
  <cellXfs count="324">
    <xf numFmtId="0" fontId="0" fillId="0" borderId="0" xfId="0"/>
    <xf numFmtId="165" fontId="7" fillId="3" borderId="0" xfId="0" applyNumberFormat="1" applyFont="1" applyFill="1" applyBorder="1" applyAlignment="1" applyProtection="1">
      <alignment vertical="center"/>
      <protection hidden="1"/>
    </xf>
    <xf numFmtId="37" fontId="7" fillId="3" borderId="0" xfId="0" applyNumberFormat="1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horizontal="right" vertical="center"/>
      <protection hidden="1"/>
    </xf>
    <xf numFmtId="165" fontId="8" fillId="3" borderId="0" xfId="0" applyNumberFormat="1" applyFont="1" applyFill="1" applyAlignment="1" applyProtection="1">
      <alignment horizontal="right" vertical="center"/>
      <protection hidden="1"/>
    </xf>
    <xf numFmtId="0" fontId="8" fillId="3" borderId="0" xfId="0" applyFont="1" applyFill="1" applyAlignment="1" applyProtection="1">
      <alignment horizontal="left" vertical="center"/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165" fontId="2" fillId="3" borderId="0" xfId="0" applyNumberFormat="1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Border="1" applyAlignment="1" applyProtection="1">
      <alignment horizontal="center" vertical="center"/>
      <protection hidden="1"/>
    </xf>
    <xf numFmtId="10" fontId="7" fillId="3" borderId="0" xfId="0" applyNumberFormat="1" applyFont="1" applyFill="1" applyBorder="1" applyAlignment="1" applyProtection="1">
      <alignment horizontal="center" vertical="center"/>
      <protection hidden="1"/>
    </xf>
    <xf numFmtId="10" fontId="2" fillId="3" borderId="0" xfId="0" applyNumberFormat="1" applyFont="1" applyFill="1" applyBorder="1" applyAlignment="1" applyProtection="1">
      <alignment horizontal="center" vertical="center"/>
      <protection hidden="1"/>
    </xf>
    <xf numFmtId="165" fontId="7" fillId="3" borderId="0" xfId="0" applyNumberFormat="1" applyFont="1" applyFill="1" applyBorder="1" applyAlignment="1" applyProtection="1">
      <alignment horizontal="center" vertical="center"/>
      <protection hidden="1"/>
    </xf>
    <xf numFmtId="165" fontId="7" fillId="3" borderId="0" xfId="0" applyNumberFormat="1" applyFont="1" applyFill="1" applyAlignment="1" applyProtection="1">
      <alignment horizontal="center" vertical="center"/>
      <protection hidden="1"/>
    </xf>
    <xf numFmtId="165" fontId="8" fillId="3" borderId="0" xfId="0" applyNumberFormat="1" applyFont="1" applyFill="1" applyAlignment="1" applyProtection="1">
      <alignment horizontal="center" vertical="center"/>
      <protection hidden="1"/>
    </xf>
    <xf numFmtId="165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hidden="1"/>
    </xf>
    <xf numFmtId="37" fontId="2" fillId="0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4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horizontal="right" vertical="center"/>
      <protection hidden="1"/>
    </xf>
    <xf numFmtId="165" fontId="9" fillId="3" borderId="0" xfId="0" applyNumberFormat="1" applyFont="1" applyFill="1" applyAlignment="1" applyProtection="1">
      <alignment horizontal="right" vertical="center"/>
      <protection hidden="1"/>
    </xf>
    <xf numFmtId="37" fontId="7" fillId="3" borderId="0" xfId="0" applyNumberFormat="1" applyFont="1" applyFill="1" applyBorder="1" applyAlignment="1" applyProtection="1">
      <alignment horizontal="center" vertical="center"/>
      <protection hidden="1"/>
    </xf>
    <xf numFmtId="165" fontId="2" fillId="0" borderId="2" xfId="0" applyNumberFormat="1" applyFont="1" applyFill="1" applyBorder="1" applyAlignment="1" applyProtection="1">
      <alignment horizontal="center" vertical="center"/>
      <protection hidden="1"/>
    </xf>
    <xf numFmtId="165" fontId="7" fillId="0" borderId="2" xfId="0" applyNumberFormat="1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 vertical="center"/>
      <protection hidden="1"/>
    </xf>
    <xf numFmtId="165" fontId="9" fillId="3" borderId="0" xfId="0" applyNumberFormat="1" applyFont="1" applyFill="1" applyAlignment="1" applyProtection="1">
      <alignment horizontal="center" vertical="center"/>
      <protection hidden="1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7" fillId="3" borderId="0" xfId="0" applyFont="1" applyFill="1" applyBorder="1" applyAlignment="1" applyProtection="1">
      <alignment horizontal="right" vertical="center"/>
      <protection hidden="1"/>
    </xf>
    <xf numFmtId="39" fontId="7" fillId="3" borderId="0" xfId="0" applyNumberFormat="1" applyFont="1" applyFill="1" applyBorder="1" applyAlignment="1" applyProtection="1">
      <alignment vertical="center"/>
      <protection hidden="1"/>
    </xf>
    <xf numFmtId="10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2" fillId="3" borderId="2" xfId="0" applyNumberFormat="1" applyFont="1" applyFill="1" applyBorder="1" applyAlignment="1" applyProtection="1">
      <alignment horizontal="center" vertic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165" fontId="2" fillId="3" borderId="2" xfId="0" applyNumberFormat="1" applyFont="1" applyFill="1" applyBorder="1" applyAlignment="1" applyProtection="1">
      <alignment horizontal="right" vertical="center"/>
      <protection hidden="1"/>
    </xf>
    <xf numFmtId="165" fontId="7" fillId="3" borderId="2" xfId="0" applyNumberFormat="1" applyFont="1" applyFill="1" applyBorder="1" applyAlignment="1" applyProtection="1">
      <alignment horizontal="right" vertical="center"/>
      <protection hidden="1"/>
    </xf>
    <xf numFmtId="165" fontId="8" fillId="0" borderId="2" xfId="0" applyNumberFormat="1" applyFont="1" applyFill="1" applyBorder="1" applyAlignment="1" applyProtection="1">
      <alignment horizontal="center" vertical="center"/>
      <protection hidden="1"/>
    </xf>
    <xf numFmtId="0" fontId="8" fillId="3" borderId="2" xfId="0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right" vertical="center"/>
      <protection hidden="1"/>
    </xf>
    <xf numFmtId="0" fontId="7" fillId="3" borderId="0" xfId="0" applyNumberFormat="1" applyFont="1" applyFill="1" applyBorder="1" applyAlignment="1" applyProtection="1">
      <alignment vertical="center"/>
      <protection hidden="1"/>
    </xf>
    <xf numFmtId="0" fontId="2" fillId="3" borderId="2" xfId="0" applyNumberFormat="1" applyFont="1" applyFill="1" applyBorder="1" applyAlignment="1" applyProtection="1">
      <alignment horizontal="center" vertical="center"/>
      <protection hidden="1"/>
    </xf>
    <xf numFmtId="0" fontId="2" fillId="3" borderId="2" xfId="0" applyNumberFormat="1" applyFont="1" applyFill="1" applyBorder="1" applyAlignment="1" applyProtection="1">
      <alignment horizontal="left" vertical="center"/>
      <protection hidden="1"/>
    </xf>
    <xf numFmtId="0" fontId="8" fillId="3" borderId="0" xfId="0" applyNumberFormat="1" applyFont="1" applyFill="1" applyAlignment="1" applyProtection="1">
      <alignment horizontal="right" vertical="center"/>
      <protection hidden="1"/>
    </xf>
    <xf numFmtId="0" fontId="8" fillId="3" borderId="0" xfId="0" applyNumberFormat="1" applyFont="1" applyFill="1" applyAlignment="1" applyProtection="1">
      <alignment horizontal="center" vertical="center"/>
      <protection hidden="1"/>
    </xf>
    <xf numFmtId="0" fontId="8" fillId="3" borderId="0" xfId="0" applyNumberFormat="1" applyFont="1" applyFill="1" applyAlignment="1" applyProtection="1">
      <alignment horizontal="left" vertical="center"/>
      <protection hidden="1"/>
    </xf>
    <xf numFmtId="0" fontId="7" fillId="3" borderId="0" xfId="0" applyNumberFormat="1" applyFont="1" applyFill="1" applyBorder="1" applyAlignment="1" applyProtection="1">
      <alignment horizontal="left" vertical="center"/>
      <protection hidden="1"/>
    </xf>
    <xf numFmtId="165" fontId="7" fillId="3" borderId="0" xfId="0" applyNumberFormat="1" applyFont="1" applyFill="1" applyBorder="1" applyAlignment="1" applyProtection="1">
      <alignment horizontal="left" vertical="center"/>
      <protection hidden="1"/>
    </xf>
    <xf numFmtId="165" fontId="2" fillId="3" borderId="0" xfId="0" applyNumberFormat="1" applyFont="1" applyFill="1" applyBorder="1" applyAlignment="1" applyProtection="1">
      <alignment horizontal="left" vertical="center"/>
      <protection hidden="1"/>
    </xf>
    <xf numFmtId="165" fontId="8" fillId="3" borderId="0" xfId="0" applyNumberFormat="1" applyFont="1" applyFill="1" applyAlignment="1" applyProtection="1">
      <alignment horizontal="left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165" fontId="7" fillId="3" borderId="3" xfId="0" applyNumberFormat="1" applyFont="1" applyFill="1" applyBorder="1" applyAlignment="1" applyProtection="1">
      <alignment horizontal="center" vertical="center"/>
      <protection hidden="1"/>
    </xf>
    <xf numFmtId="165" fontId="8" fillId="3" borderId="0" xfId="0" applyNumberFormat="1" applyFont="1" applyFill="1" applyBorder="1" applyAlignment="1" applyProtection="1">
      <alignment horizontal="right" vertical="center"/>
      <protection hidden="1"/>
    </xf>
    <xf numFmtId="0" fontId="8" fillId="3" borderId="0" xfId="0" applyFont="1" applyFill="1" applyBorder="1" applyAlignment="1" applyProtection="1">
      <alignment horizontal="right" vertical="center"/>
      <protection hidden="1"/>
    </xf>
    <xf numFmtId="165" fontId="7" fillId="0" borderId="3" xfId="0" applyNumberFormat="1" applyFont="1" applyFill="1" applyBorder="1" applyAlignment="1" applyProtection="1">
      <alignment horizontal="center" vertical="center"/>
      <protection hidden="1"/>
    </xf>
    <xf numFmtId="165" fontId="2" fillId="0" borderId="3" xfId="0" applyNumberFormat="1" applyFont="1" applyFill="1" applyBorder="1" applyAlignment="1" applyProtection="1">
      <alignment horizontal="center" vertical="center"/>
      <protection hidden="1"/>
    </xf>
    <xf numFmtId="37" fontId="2" fillId="0" borderId="2" xfId="0" applyNumberFormat="1" applyFont="1" applyFill="1" applyBorder="1" applyAlignment="1" applyProtection="1">
      <alignment horizontal="left" vertical="center"/>
    </xf>
    <xf numFmtId="0" fontId="2" fillId="3" borderId="8" xfId="0" applyNumberFormat="1" applyFont="1" applyFill="1" applyBorder="1" applyAlignment="1" applyProtection="1">
      <alignment horizontal="center" vertical="center"/>
      <protection hidden="1"/>
    </xf>
    <xf numFmtId="165" fontId="7" fillId="2" borderId="4" xfId="0" applyNumberFormat="1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 applyProtection="1">
      <alignment vertical="center" wrapText="1"/>
      <protection hidden="1"/>
    </xf>
    <xf numFmtId="37" fontId="2" fillId="0" borderId="2" xfId="0" applyNumberFormat="1" applyFont="1" applyFill="1" applyBorder="1" applyAlignment="1" applyProtection="1">
      <alignment horizontal="center" vertical="center"/>
    </xf>
    <xf numFmtId="165" fontId="2" fillId="0" borderId="2" xfId="0" applyNumberFormat="1" applyFont="1" applyFill="1" applyBorder="1" applyAlignment="1" applyProtection="1">
      <alignment horizontal="left" vertical="center"/>
      <protection hidden="1"/>
    </xf>
    <xf numFmtId="165" fontId="2" fillId="0" borderId="2" xfId="0" applyNumberFormat="1" applyFont="1" applyFill="1" applyBorder="1" applyAlignment="1" applyProtection="1">
      <alignment horizontal="right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2" fillId="0" borderId="3" xfId="0" quotePrefix="1" applyNumberFormat="1" applyFont="1" applyFill="1" applyBorder="1" applyAlignment="1" applyProtection="1">
      <alignment horizontal="center" vertical="center"/>
    </xf>
    <xf numFmtId="0" fontId="7" fillId="3" borderId="0" xfId="0" applyNumberFormat="1" applyFont="1" applyFill="1" applyBorder="1" applyAlignment="1" applyProtection="1">
      <alignment horizontal="center" vertical="center"/>
      <protection hidden="1"/>
    </xf>
    <xf numFmtId="0" fontId="2" fillId="3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2" xfId="11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 applyProtection="1">
      <alignment horizontal="center" vertical="center"/>
      <protection hidden="1"/>
    </xf>
    <xf numFmtId="0" fontId="7" fillId="0" borderId="3" xfId="0" applyNumberFormat="1" applyFont="1" applyFill="1" applyBorder="1" applyAlignment="1" applyProtection="1">
      <alignment horizontal="center" vertical="center"/>
      <protection hidden="1"/>
    </xf>
    <xf numFmtId="0" fontId="7" fillId="0" borderId="3" xfId="0" applyNumberFormat="1" applyFont="1" applyFill="1" applyBorder="1" applyAlignment="1" applyProtection="1">
      <alignment horizontal="left" vertical="center"/>
      <protection hidden="1"/>
    </xf>
    <xf numFmtId="0" fontId="7" fillId="0" borderId="3" xfId="0" applyFont="1" applyFill="1" applyBorder="1" applyAlignment="1" applyProtection="1">
      <alignment horizontal="center" vertical="center"/>
      <protection hidden="1"/>
    </xf>
    <xf numFmtId="165" fontId="2" fillId="3" borderId="3" xfId="0" applyNumberFormat="1" applyFont="1" applyFill="1" applyBorder="1" applyAlignment="1" applyProtection="1">
      <alignment horizontal="center" vertical="center"/>
      <protection hidden="1"/>
    </xf>
    <xf numFmtId="10" fontId="7" fillId="2" borderId="2" xfId="0" quotePrefix="1" applyNumberFormat="1" applyFont="1" applyFill="1" applyBorder="1" applyAlignment="1" applyProtection="1">
      <alignment horizontal="center" vertical="center"/>
      <protection hidden="1"/>
    </xf>
    <xf numFmtId="165" fontId="2" fillId="0" borderId="4" xfId="0" applyNumberFormat="1" applyFont="1" applyFill="1" applyBorder="1" applyAlignment="1" applyProtection="1">
      <alignment horizontal="center" vertical="center"/>
      <protection hidden="1"/>
    </xf>
    <xf numFmtId="165" fontId="2" fillId="0" borderId="4" xfId="0" applyNumberFormat="1" applyFont="1" applyFill="1" applyBorder="1" applyAlignment="1" applyProtection="1">
      <alignment horizontal="left" vertical="center"/>
      <protection hidden="1"/>
    </xf>
    <xf numFmtId="165" fontId="7" fillId="0" borderId="4" xfId="0" applyNumberFormat="1" applyFont="1" applyFill="1" applyBorder="1" applyAlignment="1" applyProtection="1">
      <alignment horizontal="center" vertical="center"/>
      <protection hidden="1"/>
    </xf>
    <xf numFmtId="165" fontId="2" fillId="3" borderId="4" xfId="0" applyNumberFormat="1" applyFont="1" applyFill="1" applyBorder="1" applyAlignment="1" applyProtection="1">
      <alignment horizontal="center" vertical="center"/>
      <protection hidden="1"/>
    </xf>
    <xf numFmtId="165" fontId="7" fillId="0" borderId="10" xfId="0" applyNumberFormat="1" applyFont="1" applyFill="1" applyBorder="1" applyAlignment="1" applyProtection="1">
      <alignment horizontal="center" vertical="center"/>
      <protection hidden="1"/>
    </xf>
    <xf numFmtId="165" fontId="7" fillId="0" borderId="7" xfId="0" applyNumberFormat="1" applyFont="1" applyFill="1" applyBorder="1" applyAlignment="1" applyProtection="1">
      <alignment horizontal="center" vertical="center"/>
      <protection hidden="1"/>
    </xf>
    <xf numFmtId="165" fontId="7" fillId="0" borderId="3" xfId="0" applyNumberFormat="1" applyFont="1" applyFill="1" applyBorder="1" applyAlignment="1" applyProtection="1">
      <alignment horizontal="left" vertical="center"/>
      <protection hidden="1"/>
    </xf>
    <xf numFmtId="165" fontId="7" fillId="0" borderId="12" xfId="0" applyNumberFormat="1" applyFont="1" applyFill="1" applyBorder="1" applyAlignment="1" applyProtection="1">
      <alignment horizontal="center" vertical="center"/>
      <protection hidden="1"/>
    </xf>
    <xf numFmtId="170" fontId="7" fillId="3" borderId="0" xfId="0" applyNumberFormat="1" applyFont="1" applyFill="1" applyBorder="1" applyAlignment="1" applyProtection="1">
      <alignment vertical="center"/>
      <protection hidden="1"/>
    </xf>
    <xf numFmtId="170" fontId="2" fillId="0" borderId="2" xfId="0" applyNumberFormat="1" applyFont="1" applyFill="1" applyBorder="1" applyAlignment="1" applyProtection="1">
      <alignment horizontal="right" vertical="center"/>
      <protection hidden="1"/>
    </xf>
    <xf numFmtId="170" fontId="8" fillId="3" borderId="0" xfId="0" applyNumberFormat="1" applyFont="1" applyFill="1" applyAlignment="1" applyProtection="1">
      <alignment horizontal="center" vertical="center"/>
      <protection hidden="1"/>
    </xf>
    <xf numFmtId="0" fontId="7" fillId="3" borderId="3" xfId="0" applyNumberFormat="1" applyFont="1" applyFill="1" applyBorder="1" applyAlignment="1" applyProtection="1">
      <alignment horizontal="center" vertical="center"/>
      <protection hidden="1"/>
    </xf>
    <xf numFmtId="0" fontId="7" fillId="3" borderId="3" xfId="0" applyNumberFormat="1" applyFont="1" applyFill="1" applyBorder="1" applyAlignment="1" applyProtection="1">
      <alignment horizontal="left" vertical="center"/>
      <protection hidden="1"/>
    </xf>
    <xf numFmtId="170" fontId="7" fillId="3" borderId="3" xfId="0" applyNumberFormat="1" applyFont="1" applyFill="1" applyBorder="1" applyAlignment="1" applyProtection="1">
      <alignment horizontal="center" vertical="center"/>
      <protection hidden="1"/>
    </xf>
    <xf numFmtId="10" fontId="7" fillId="3" borderId="3" xfId="0" applyNumberFormat="1" applyFont="1" applyFill="1" applyBorder="1" applyAlignment="1" applyProtection="1">
      <alignment horizontal="center" vertical="center"/>
      <protection hidden="1"/>
    </xf>
    <xf numFmtId="37" fontId="7" fillId="0" borderId="0" xfId="0" applyNumberFormat="1" applyFont="1" applyBorder="1" applyAlignment="1">
      <alignment vertical="center"/>
    </xf>
    <xf numFmtId="0" fontId="8" fillId="0" borderId="0" xfId="0" applyFont="1"/>
    <xf numFmtId="165" fontId="7" fillId="2" borderId="3" xfId="0" applyNumberFormat="1" applyFont="1" applyFill="1" applyBorder="1" applyAlignment="1" applyProtection="1">
      <alignment horizontal="center" vertical="center" wrapText="1"/>
      <protection hidden="1"/>
    </xf>
    <xf numFmtId="10" fontId="7" fillId="2" borderId="3" xfId="0" applyNumberFormat="1" applyFont="1" applyFill="1" applyBorder="1" applyAlignment="1" applyProtection="1">
      <alignment horizontal="center" vertical="center"/>
      <protection hidden="1"/>
    </xf>
    <xf numFmtId="10" fontId="7" fillId="2" borderId="3" xfId="0" quotePrefix="1" applyNumberFormat="1" applyFont="1" applyFill="1" applyBorder="1" applyAlignment="1" applyProtection="1">
      <alignment horizontal="center" vertical="center"/>
      <protection hidden="1"/>
    </xf>
    <xf numFmtId="165" fontId="7" fillId="2" borderId="4" xfId="0" applyNumberFormat="1" applyFont="1" applyFill="1" applyBorder="1" applyAlignment="1" applyProtection="1">
      <alignment vertical="center" wrapText="1"/>
      <protection hidden="1"/>
    </xf>
    <xf numFmtId="165" fontId="7" fillId="2" borderId="11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3" xfId="0" applyNumberFormat="1" applyFont="1" applyFill="1" applyBorder="1" applyAlignment="1" applyProtection="1">
      <alignment vertical="center" wrapText="1"/>
      <protection hidden="1"/>
    </xf>
    <xf numFmtId="165" fontId="8" fillId="3" borderId="2" xfId="0" applyNumberFormat="1" applyFont="1" applyFill="1" applyBorder="1" applyAlignment="1" applyProtection="1">
      <alignment horizontal="center" vertical="center"/>
      <protection hidden="1"/>
    </xf>
    <xf numFmtId="9" fontId="9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37" fontId="7" fillId="0" borderId="0" xfId="0" applyNumberFormat="1" applyFont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165" fontId="8" fillId="4" borderId="2" xfId="0" applyNumberFormat="1" applyFont="1" applyFill="1" applyBorder="1" applyAlignment="1" applyProtection="1">
      <alignment horizontal="center" vertical="center"/>
      <protection hidden="1"/>
    </xf>
    <xf numFmtId="165" fontId="11" fillId="0" borderId="2" xfId="3" applyNumberFormat="1" applyFont="1" applyFill="1" applyBorder="1" applyAlignment="1" applyProtection="1">
      <alignment horizontal="right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165" fontId="8" fillId="0" borderId="0" xfId="0" applyNumberFormat="1" applyFont="1" applyFill="1" applyAlignment="1" applyProtection="1">
      <alignment horizontal="center" vertical="center"/>
      <protection hidden="1"/>
    </xf>
    <xf numFmtId="165" fontId="2" fillId="0" borderId="2" xfId="2" applyNumberFormat="1" applyFont="1" applyFill="1" applyBorder="1" applyAlignment="1" applyProtection="1">
      <alignment horizontal="right" vertical="center"/>
      <protection hidden="1"/>
    </xf>
    <xf numFmtId="170" fontId="7" fillId="2" borderId="2" xfId="0" applyNumberFormat="1" applyFont="1" applyFill="1" applyBorder="1" applyAlignment="1" applyProtection="1">
      <alignment horizontal="center" vertical="center"/>
      <protection hidden="1"/>
    </xf>
    <xf numFmtId="170" fontId="2" fillId="0" borderId="2" xfId="0" applyNumberFormat="1" applyFont="1" applyFill="1" applyBorder="1" applyAlignment="1" applyProtection="1">
      <alignment horizontal="center" vertical="center"/>
      <protection hidden="1"/>
    </xf>
    <xf numFmtId="165" fontId="2" fillId="0" borderId="2" xfId="83" applyFont="1" applyFill="1" applyBorder="1" applyAlignment="1" applyProtection="1">
      <alignment horizontal="right" vertical="center"/>
      <protection hidden="1"/>
    </xf>
    <xf numFmtId="165" fontId="8" fillId="3" borderId="13" xfId="0" applyNumberFormat="1" applyFont="1" applyFill="1" applyBorder="1" applyAlignment="1" applyProtection="1">
      <alignment horizontal="center" vertical="center"/>
      <protection hidden="1"/>
    </xf>
    <xf numFmtId="165" fontId="7" fillId="2" borderId="6" xfId="0" applyNumberFormat="1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2" fillId="0" borderId="3" xfId="0" applyNumberFormat="1" applyFont="1" applyFill="1" applyBorder="1" applyAlignment="1" applyProtection="1">
      <alignment vertical="center"/>
    </xf>
    <xf numFmtId="165" fontId="7" fillId="0" borderId="2" xfId="0" applyNumberFormat="1" applyFont="1" applyFill="1" applyBorder="1" applyAlignment="1" applyProtection="1">
      <alignment horizontal="right" vertical="center"/>
      <protection hidden="1"/>
    </xf>
    <xf numFmtId="37" fontId="2" fillId="0" borderId="2" xfId="0" applyNumberFormat="1" applyFont="1" applyFill="1" applyBorder="1" applyAlignment="1" applyProtection="1">
      <alignment vertical="center"/>
    </xf>
    <xf numFmtId="0" fontId="2" fillId="0" borderId="4" xfId="0" applyNumberFormat="1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70" fontId="7" fillId="3" borderId="0" xfId="0" applyNumberFormat="1" applyFont="1" applyFill="1" applyBorder="1" applyAlignment="1" applyProtection="1">
      <alignment horizontal="center" vertical="center"/>
      <protection hidden="1"/>
    </xf>
    <xf numFmtId="170" fontId="2" fillId="3" borderId="0" xfId="0" applyNumberFormat="1" applyFont="1" applyFill="1" applyBorder="1" applyAlignment="1" applyProtection="1">
      <alignment horizontal="center" vertical="center"/>
      <protection hidden="1"/>
    </xf>
    <xf numFmtId="170" fontId="7" fillId="0" borderId="3" xfId="0" applyNumberFormat="1" applyFont="1" applyFill="1" applyBorder="1" applyAlignment="1" applyProtection="1">
      <alignment horizontal="center" vertical="center"/>
      <protection hidden="1"/>
    </xf>
    <xf numFmtId="170" fontId="2" fillId="0" borderId="4" xfId="0" applyNumberFormat="1" applyFont="1" applyBorder="1" applyAlignment="1" applyProtection="1">
      <alignment vertical="center"/>
    </xf>
    <xf numFmtId="165" fontId="7" fillId="2" borderId="5" xfId="0" applyNumberFormat="1" applyFont="1" applyFill="1" applyBorder="1" applyAlignment="1" applyProtection="1">
      <alignment vertical="center"/>
      <protection hidden="1"/>
    </xf>
    <xf numFmtId="165" fontId="7" fillId="2" borderId="1" xfId="0" applyNumberFormat="1" applyFont="1" applyFill="1" applyBorder="1" applyAlignment="1" applyProtection="1">
      <alignment vertical="center"/>
      <protection hidden="1"/>
    </xf>
    <xf numFmtId="165" fontId="7" fillId="2" borderId="6" xfId="0" applyNumberFormat="1" applyFont="1" applyFill="1" applyBorder="1" applyAlignment="1" applyProtection="1">
      <alignment vertical="center"/>
      <protection hidden="1"/>
    </xf>
    <xf numFmtId="165" fontId="7" fillId="2" borderId="2" xfId="0" applyNumberFormat="1" applyFont="1" applyFill="1" applyBorder="1" applyAlignment="1" applyProtection="1">
      <alignment vertical="center"/>
      <protection hidden="1"/>
    </xf>
    <xf numFmtId="165" fontId="9" fillId="3" borderId="0" xfId="0" applyNumberFormat="1" applyFont="1" applyFill="1" applyAlignment="1" applyProtection="1">
      <alignment vertical="center"/>
      <protection hidden="1"/>
    </xf>
    <xf numFmtId="169" fontId="2" fillId="0" borderId="2" xfId="0" applyNumberFormat="1" applyFont="1" applyFill="1" applyBorder="1" applyAlignment="1" applyProtection="1">
      <alignment vertical="center"/>
    </xf>
    <xf numFmtId="165" fontId="2" fillId="0" borderId="3" xfId="0" applyNumberFormat="1" applyFont="1" applyFill="1" applyBorder="1" applyAlignment="1" applyProtection="1">
      <alignment horizontal="right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2" fillId="0" borderId="2" xfId="3" applyNumberFormat="1" applyFont="1" applyFill="1" applyBorder="1" applyAlignment="1" applyProtection="1">
      <alignment horizontal="right" vertical="center"/>
      <protection hidden="1"/>
    </xf>
    <xf numFmtId="12" fontId="9" fillId="3" borderId="0" xfId="0" applyNumberFormat="1" applyFont="1" applyFill="1" applyAlignment="1" applyProtection="1">
      <alignment horizontal="right" vertical="center"/>
      <protection hidden="1"/>
    </xf>
    <xf numFmtId="170" fontId="2" fillId="0" borderId="2" xfId="0" applyNumberFormat="1" applyFont="1" applyFill="1" applyBorder="1" applyAlignment="1">
      <alignment horizontal="center" vertical="center"/>
    </xf>
    <xf numFmtId="165" fontId="2" fillId="0" borderId="2" xfId="83" applyNumberFormat="1" applyFont="1" applyFill="1" applyBorder="1" applyAlignment="1" applyProtection="1">
      <alignment horizontal="right" vertical="center"/>
      <protection hidden="1"/>
    </xf>
    <xf numFmtId="164" fontId="12" fillId="3" borderId="0" xfId="0" applyNumberFormat="1" applyFont="1" applyFill="1" applyAlignment="1" applyProtection="1">
      <alignment vertical="center"/>
      <protection hidden="1"/>
    </xf>
    <xf numFmtId="164" fontId="12" fillId="3" borderId="14" xfId="0" applyNumberFormat="1" applyFont="1" applyFill="1" applyBorder="1" applyAlignment="1" applyProtection="1">
      <alignment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2" fillId="0" borderId="0" xfId="0" applyFont="1" applyFill="1" applyAlignment="1" applyProtection="1">
      <alignment horizontal="center" vertical="center"/>
      <protection hidden="1"/>
    </xf>
    <xf numFmtId="0" fontId="2" fillId="0" borderId="0" xfId="0" applyFont="1" applyFill="1" applyAlignment="1" applyProtection="1">
      <alignment horizontal="left" vertical="center"/>
      <protection hidden="1"/>
    </xf>
    <xf numFmtId="165" fontId="2" fillId="0" borderId="0" xfId="0" applyNumberFormat="1" applyFont="1" applyFill="1" applyBorder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5" fontId="8" fillId="3" borderId="0" xfId="0" applyNumberFormat="1" applyFont="1" applyFill="1" applyAlignment="1" applyProtection="1">
      <alignment horizontal="center" vertical="center" wrapText="1"/>
      <protection hidden="1"/>
    </xf>
    <xf numFmtId="0" fontId="8" fillId="3" borderId="0" xfId="0" applyFont="1" applyFill="1" applyAlignment="1" applyProtection="1">
      <alignment horizontal="center" vertical="center" wrapText="1"/>
      <protection hidden="1"/>
    </xf>
    <xf numFmtId="10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0" fontId="7" fillId="2" borderId="2" xfId="0" quotePrefix="1" applyNumberFormat="1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Fill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right" vertical="center"/>
      <protection hidden="1"/>
    </xf>
    <xf numFmtId="37" fontId="2" fillId="0" borderId="2" xfId="0" applyNumberFormat="1" applyFont="1" applyFill="1" applyBorder="1" applyAlignment="1" applyProtection="1">
      <alignment horizontal="left" vertical="center"/>
      <protection hidden="1"/>
    </xf>
    <xf numFmtId="165" fontId="8" fillId="0" borderId="2" xfId="0" applyNumberFormat="1" applyFont="1" applyFill="1" applyBorder="1" applyAlignment="1" applyProtection="1">
      <alignment horizontal="right" vertical="center"/>
      <protection hidden="1"/>
    </xf>
    <xf numFmtId="0" fontId="2" fillId="0" borderId="2" xfId="0" applyFont="1" applyFill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165" fontId="9" fillId="0" borderId="0" xfId="0" applyNumberFormat="1" applyFont="1" applyAlignment="1" applyProtection="1">
      <alignment horizontal="right" vertical="center"/>
      <protection hidden="1"/>
    </xf>
    <xf numFmtId="165" fontId="8" fillId="0" borderId="0" xfId="0" applyNumberFormat="1" applyFont="1" applyAlignment="1" applyProtection="1">
      <alignment horizontal="right" vertical="center"/>
      <protection hidden="1"/>
    </xf>
    <xf numFmtId="165" fontId="8" fillId="3" borderId="0" xfId="0" quotePrefix="1" applyNumberFormat="1" applyFont="1" applyFill="1" applyAlignment="1" applyProtection="1">
      <alignment horizontal="right" vertical="center"/>
      <protection hidden="1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37" fontId="15" fillId="0" borderId="0" xfId="0" applyNumberFormat="1" applyFont="1" applyBorder="1" applyAlignment="1">
      <alignment vertical="center"/>
    </xf>
    <xf numFmtId="37" fontId="15" fillId="0" borderId="0" xfId="0" applyNumberFormat="1" applyFont="1" applyBorder="1" applyAlignment="1">
      <alignment horizontal="left" vertical="center"/>
    </xf>
    <xf numFmtId="37" fontId="2" fillId="0" borderId="0" xfId="0" applyNumberFormat="1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7" fillId="0" borderId="22" xfId="0" applyFont="1" applyBorder="1" applyAlignment="1"/>
    <xf numFmtId="0" fontId="7" fillId="0" borderId="14" xfId="0" applyFont="1" applyBorder="1" applyAlignment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16" fillId="0" borderId="0" xfId="0" applyFont="1" applyBorder="1" applyAlignment="1">
      <alignment vertical="center"/>
    </xf>
    <xf numFmtId="37" fontId="16" fillId="0" borderId="0" xfId="0" applyNumberFormat="1" applyFont="1" applyBorder="1" applyAlignment="1">
      <alignment vertical="center"/>
    </xf>
    <xf numFmtId="37" fontId="16" fillId="0" borderId="14" xfId="0" applyNumberFormat="1" applyFont="1" applyBorder="1" applyAlignment="1">
      <alignment vertical="center"/>
    </xf>
    <xf numFmtId="169" fontId="16" fillId="0" borderId="0" xfId="0" applyNumberFormat="1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169" fontId="16" fillId="0" borderId="23" xfId="0" applyNumberFormat="1" applyFont="1" applyBorder="1" applyAlignment="1">
      <alignment vertical="center"/>
    </xf>
    <xf numFmtId="37" fontId="16" fillId="0" borderId="23" xfId="0" applyNumberFormat="1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169" fontId="16" fillId="0" borderId="24" xfId="0" applyNumberFormat="1" applyFont="1" applyBorder="1" applyAlignment="1">
      <alignment vertical="center"/>
    </xf>
    <xf numFmtId="37" fontId="16" fillId="0" borderId="24" xfId="0" applyNumberFormat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37" fontId="16" fillId="0" borderId="0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37" fontId="16" fillId="0" borderId="25" xfId="0" applyNumberFormat="1" applyFont="1" applyBorder="1" applyAlignment="1">
      <alignment vertical="center"/>
    </xf>
    <xf numFmtId="37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vertical="top"/>
    </xf>
    <xf numFmtId="0" fontId="13" fillId="0" borderId="19" xfId="0" applyFont="1" applyBorder="1" applyAlignment="1">
      <alignment vertical="center"/>
    </xf>
    <xf numFmtId="0" fontId="16" fillId="0" borderId="20" xfId="0" applyFont="1" applyBorder="1" applyAlignment="1">
      <alignment vertical="top"/>
    </xf>
    <xf numFmtId="0" fontId="16" fillId="0" borderId="20" xfId="0" applyFont="1" applyBorder="1" applyAlignment="1">
      <alignment vertical="center"/>
    </xf>
    <xf numFmtId="37" fontId="16" fillId="0" borderId="20" xfId="0" applyNumberFormat="1" applyFont="1" applyBorder="1" applyAlignment="1">
      <alignment vertical="center"/>
    </xf>
    <xf numFmtId="37" fontId="16" fillId="0" borderId="21" xfId="0" applyNumberFormat="1" applyFont="1" applyBorder="1" applyAlignment="1">
      <alignment vertical="center"/>
    </xf>
    <xf numFmtId="37" fontId="16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7" fontId="2" fillId="0" borderId="0" xfId="0" applyNumberFormat="1" applyFont="1" applyBorder="1" applyAlignment="1">
      <alignment horizontal="left" vertical="center"/>
    </xf>
    <xf numFmtId="171" fontId="16" fillId="0" borderId="0" xfId="0" applyNumberFormat="1" applyFont="1" applyBorder="1" applyAlignment="1">
      <alignment vertical="center"/>
    </xf>
    <xf numFmtId="171" fontId="16" fillId="0" borderId="23" xfId="0" applyNumberFormat="1" applyFont="1" applyBorder="1" applyAlignment="1">
      <alignment vertical="center"/>
    </xf>
    <xf numFmtId="0" fontId="16" fillId="0" borderId="16" xfId="0" applyFont="1" applyBorder="1" applyAlignment="1">
      <alignment vertical="top"/>
    </xf>
    <xf numFmtId="0" fontId="16" fillId="0" borderId="16" xfId="0" applyFont="1" applyBorder="1" applyAlignment="1">
      <alignment vertical="center"/>
    </xf>
    <xf numFmtId="37" fontId="16" fillId="0" borderId="16" xfId="0" applyNumberFormat="1" applyFont="1" applyBorder="1" applyAlignment="1">
      <alignment vertical="center"/>
    </xf>
    <xf numFmtId="37" fontId="16" fillId="0" borderId="17" xfId="0" applyNumberFormat="1" applyFont="1" applyBorder="1" applyAlignment="1">
      <alignment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37" fontId="16" fillId="0" borderId="26" xfId="0" applyNumberFormat="1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0" fontId="2" fillId="0" borderId="8" xfId="0" applyNumberFormat="1" applyFont="1" applyFill="1" applyBorder="1" applyAlignment="1" applyProtection="1">
      <alignment horizontal="center" vertical="center"/>
      <protection hidden="1"/>
    </xf>
    <xf numFmtId="165" fontId="7" fillId="0" borderId="9" xfId="0" applyNumberFormat="1" applyFont="1" applyFill="1" applyBorder="1" applyAlignment="1" applyProtection="1">
      <alignment horizontal="right" vertical="center"/>
      <protection hidden="1"/>
    </xf>
    <xf numFmtId="0" fontId="2" fillId="0" borderId="2" xfId="0" applyNumberFormat="1" applyFont="1" applyFill="1" applyBorder="1" applyAlignment="1" applyProtection="1">
      <alignment horizontal="left" vertical="center"/>
      <protection hidden="1"/>
    </xf>
    <xf numFmtId="37" fontId="7" fillId="0" borderId="0" xfId="0" applyNumberFormat="1" applyFont="1" applyFill="1" applyBorder="1" applyAlignment="1" applyProtection="1">
      <alignment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72" fontId="2" fillId="0" borderId="2" xfId="78" quotePrefix="1" applyNumberFormat="1" applyFont="1" applyBorder="1" applyAlignment="1" applyProtection="1">
      <alignment horizontal="center" vertical="center"/>
      <protection hidden="1"/>
    </xf>
    <xf numFmtId="0" fontId="2" fillId="0" borderId="2" xfId="85" quotePrefix="1" applyFont="1" applyBorder="1" applyAlignment="1">
      <alignment horizontal="center" vertical="center"/>
    </xf>
    <xf numFmtId="172" fontId="8" fillId="0" borderId="2" xfId="78" quotePrefix="1" applyNumberFormat="1" applyFont="1" applyBorder="1" applyAlignment="1">
      <alignment horizontal="center" vertical="center"/>
    </xf>
    <xf numFmtId="172" fontId="2" fillId="0" borderId="2" xfId="85" quotePrefix="1" applyNumberFormat="1" applyFont="1" applyBorder="1" applyAlignment="1">
      <alignment horizontal="center" vertical="center"/>
    </xf>
    <xf numFmtId="172" fontId="20" fillId="0" borderId="2" xfId="53" quotePrefix="1" applyNumberFormat="1" applyFont="1" applyFill="1" applyBorder="1" applyAlignment="1">
      <alignment horizontal="center" vertical="center"/>
    </xf>
    <xf numFmtId="172" fontId="2" fillId="0" borderId="2" xfId="4" quotePrefix="1" applyNumberFormat="1" applyFont="1" applyFill="1" applyBorder="1" applyAlignment="1">
      <alignment horizontal="center" vertical="center"/>
    </xf>
    <xf numFmtId="172" fontId="2" fillId="0" borderId="2" xfId="78" quotePrefix="1" applyNumberFormat="1" applyFont="1" applyBorder="1" applyAlignment="1">
      <alignment horizontal="center" vertical="center"/>
    </xf>
    <xf numFmtId="172" fontId="2" fillId="0" borderId="2" xfId="78" applyNumberFormat="1" applyFont="1" applyBorder="1" applyAlignment="1">
      <alignment horizontal="center" vertical="center"/>
    </xf>
    <xf numFmtId="0" fontId="8" fillId="0" borderId="2" xfId="85" quotePrefix="1" applyFont="1" applyBorder="1" applyAlignment="1">
      <alignment horizontal="center" vertical="center"/>
    </xf>
    <xf numFmtId="172" fontId="2" fillId="0" borderId="2" xfId="78" quotePrefix="1" applyNumberFormat="1" applyFont="1" applyFill="1" applyBorder="1" applyAlignment="1">
      <alignment horizontal="center" vertical="center"/>
    </xf>
    <xf numFmtId="172" fontId="8" fillId="0" borderId="2" xfId="78" quotePrefix="1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8" fillId="3" borderId="0" xfId="0" applyNumberFormat="1" applyFont="1" applyFill="1" applyAlignment="1" applyProtection="1">
      <alignment horizontal="center" vertical="center"/>
      <protection hidden="1"/>
    </xf>
    <xf numFmtId="165" fontId="9" fillId="2" borderId="2" xfId="0" applyNumberFormat="1" applyFont="1" applyFill="1" applyBorder="1" applyAlignment="1" applyProtection="1">
      <alignment horizontal="right" vertical="center"/>
      <protection hidden="1"/>
    </xf>
    <xf numFmtId="0" fontId="9" fillId="2" borderId="2" xfId="0" applyNumberFormat="1" applyFont="1" applyFill="1" applyBorder="1" applyAlignment="1" applyProtection="1">
      <alignment horizontal="right" vertical="center"/>
      <protection hidden="1"/>
    </xf>
    <xf numFmtId="0" fontId="9" fillId="2" borderId="2" xfId="0" applyNumberFormat="1" applyFont="1" applyFill="1" applyBorder="1" applyAlignment="1" applyProtection="1">
      <alignment horizontal="center" vertical="center"/>
      <protection hidden="1"/>
    </xf>
    <xf numFmtId="0" fontId="9" fillId="2" borderId="2" xfId="0" applyNumberFormat="1" applyFont="1" applyFill="1" applyBorder="1" applyAlignment="1" applyProtection="1">
      <alignment horizontal="left" vertical="center"/>
      <protection hidden="1"/>
    </xf>
    <xf numFmtId="170" fontId="9" fillId="2" borderId="2" xfId="0" applyNumberFormat="1" applyFont="1" applyFill="1" applyBorder="1" applyAlignment="1" applyProtection="1">
      <alignment horizontal="center" vertical="center"/>
      <protection hidden="1"/>
    </xf>
    <xf numFmtId="173" fontId="7" fillId="2" borderId="2" xfId="0" applyNumberFormat="1" applyFont="1" applyFill="1" applyBorder="1" applyAlignment="1" applyProtection="1">
      <alignment vertical="center"/>
      <protection hidden="1"/>
    </xf>
    <xf numFmtId="165" fontId="2" fillId="0" borderId="2" xfId="0" applyNumberFormat="1" applyFont="1" applyFill="1" applyBorder="1" applyAlignment="1">
      <alignment vertical="center"/>
    </xf>
    <xf numFmtId="37" fontId="7" fillId="0" borderId="0" xfId="0" applyNumberFormat="1" applyFont="1" applyFill="1" applyBorder="1" applyAlignment="1" applyProtection="1">
      <alignment horizontal="left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8" fillId="3" borderId="0" xfId="0" applyNumberFormat="1" applyFont="1" applyFill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6" xfId="0" applyNumberFormat="1" applyFont="1" applyFill="1" applyBorder="1" applyAlignment="1" applyProtection="1">
      <alignment horizontal="center" vertical="center"/>
      <protection hidden="1"/>
    </xf>
    <xf numFmtId="0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3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11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4" xfId="0" applyNumberFormat="1" applyFont="1" applyFill="1" applyBorder="1" applyAlignment="1" applyProtection="1">
      <alignment horizontal="center" vertical="center"/>
      <protection hidden="1"/>
    </xf>
    <xf numFmtId="0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165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37" fontId="7" fillId="2" borderId="2" xfId="0" applyNumberFormat="1" applyFont="1" applyFill="1" applyBorder="1" applyAlignment="1" applyProtection="1">
      <alignment horizontal="center" vertical="center"/>
      <protection hidden="1"/>
    </xf>
    <xf numFmtId="165" fontId="7" fillId="2" borderId="5" xfId="0" applyNumberFormat="1" applyFont="1" applyFill="1" applyBorder="1" applyAlignment="1" applyProtection="1">
      <alignment horizontal="center" vertical="center"/>
      <protection hidden="1"/>
    </xf>
    <xf numFmtId="165" fontId="7" fillId="2" borderId="1" xfId="0" applyNumberFormat="1" applyFont="1" applyFill="1" applyBorder="1" applyAlignment="1" applyProtection="1">
      <alignment horizontal="center" vertical="center"/>
      <protection hidden="1"/>
    </xf>
    <xf numFmtId="165" fontId="7" fillId="2" borderId="6" xfId="0" applyNumberFormat="1" applyFont="1" applyFill="1" applyBorder="1" applyAlignment="1" applyProtection="1">
      <alignment horizontal="center" vertical="center"/>
      <protection hidden="1"/>
    </xf>
    <xf numFmtId="168" fontId="7" fillId="2" borderId="2" xfId="0" applyNumberFormat="1" applyFont="1" applyFill="1" applyBorder="1" applyAlignment="1" applyProtection="1">
      <alignment horizontal="center" vertical="center"/>
      <protection hidden="1"/>
    </xf>
    <xf numFmtId="0" fontId="7" fillId="2" borderId="2" xfId="0" applyNumberFormat="1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165" fontId="7" fillId="2" borderId="2" xfId="0" applyNumberFormat="1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 applyProtection="1">
      <alignment horizontal="center" vertical="center" wrapText="1"/>
      <protection hidden="1"/>
    </xf>
    <xf numFmtId="0" fontId="9" fillId="2" borderId="11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165" fontId="9" fillId="2" borderId="2" xfId="0" applyNumberFormat="1" applyFont="1" applyFill="1" applyBorder="1" applyAlignment="1" applyProtection="1">
      <alignment horizontal="center" vertical="center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165" fontId="8" fillId="3" borderId="0" xfId="0" applyNumberFormat="1" applyFont="1" applyFill="1" applyAlignment="1" applyProtection="1">
      <alignment horizontal="center" vertical="center"/>
      <protection hidden="1"/>
    </xf>
    <xf numFmtId="165" fontId="9" fillId="2" borderId="4" xfId="0" applyNumberFormat="1" applyFont="1" applyFill="1" applyBorder="1" applyAlignment="1" applyProtection="1">
      <alignment horizontal="center" vertical="center" wrapText="1"/>
      <protection hidden="1"/>
    </xf>
    <xf numFmtId="165" fontId="9" fillId="2" borderId="11" xfId="0" applyNumberFormat="1" applyFont="1" applyFill="1" applyBorder="1" applyAlignment="1" applyProtection="1">
      <alignment horizontal="center" vertical="center" wrapText="1"/>
      <protection hidden="1"/>
    </xf>
    <xf numFmtId="165" fontId="9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37" fontId="16" fillId="0" borderId="22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 vertical="top"/>
    </xf>
    <xf numFmtId="170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4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11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3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4" xfId="0" applyNumberFormat="1" applyFont="1" applyFill="1" applyBorder="1" applyAlignment="1" applyProtection="1">
      <alignment horizontal="center" vertical="center"/>
      <protection hidden="1"/>
    </xf>
    <xf numFmtId="165" fontId="7" fillId="2" borderId="3" xfId="0" applyNumberFormat="1" applyFont="1" applyFill="1" applyBorder="1" applyAlignment="1" applyProtection="1">
      <alignment horizontal="center" vertical="center"/>
      <protection hidden="1"/>
    </xf>
    <xf numFmtId="2" fontId="7" fillId="2" borderId="15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16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17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18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0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14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19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20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21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11" xfId="0" applyNumberFormat="1" applyFont="1" applyFill="1" applyBorder="1" applyAlignment="1" applyProtection="1">
      <alignment horizontal="center" vertical="center"/>
      <protection hidden="1"/>
    </xf>
    <xf numFmtId="13" fontId="8" fillId="3" borderId="0" xfId="0" applyNumberFormat="1" applyFont="1" applyFill="1" applyAlignment="1" applyProtection="1">
      <alignment horizontal="center" vertical="center"/>
      <protection hidden="1"/>
    </xf>
    <xf numFmtId="2" fontId="7" fillId="2" borderId="4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3" xfId="0" applyNumberFormat="1" applyFont="1" applyFill="1" applyBorder="1" applyAlignment="1" applyProtection="1">
      <alignment horizontal="center" vertical="center" wrapText="1"/>
      <protection hidden="1"/>
    </xf>
    <xf numFmtId="1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5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7" fillId="2" borderId="6" xfId="0" applyNumberFormat="1" applyFont="1" applyFill="1" applyBorder="1" applyAlignment="1" applyProtection="1">
      <alignment horizontal="center" vertical="center" wrapText="1"/>
      <protection hidden="1"/>
    </xf>
    <xf numFmtId="165" fontId="9" fillId="3" borderId="0" xfId="0" applyNumberFormat="1" applyFont="1" applyFill="1" applyAlignment="1" applyProtection="1">
      <alignment horizontal="left" vertical="center"/>
      <protection hidden="1"/>
    </xf>
    <xf numFmtId="165" fontId="7" fillId="2" borderId="5" xfId="0" applyNumberFormat="1" applyFont="1" applyFill="1" applyBorder="1" applyAlignment="1" applyProtection="1">
      <alignment horizontal="center" wrapText="1"/>
      <protection hidden="1"/>
    </xf>
    <xf numFmtId="165" fontId="7" fillId="2" borderId="6" xfId="0" applyNumberFormat="1" applyFont="1" applyFill="1" applyBorder="1" applyAlignment="1" applyProtection="1">
      <alignment horizontal="center" wrapText="1"/>
      <protection hidden="1"/>
    </xf>
  </cellXfs>
  <cellStyles count="104">
    <cellStyle name="Comma [0]" xfId="83" builtinId="6"/>
    <cellStyle name="Comma [0] 11" xfId="14" xr:uid="{00000000-0005-0000-0000-000001000000}"/>
    <cellStyle name="Comma [0] 2" xfId="2" xr:uid="{00000000-0005-0000-0000-000002000000}"/>
    <cellStyle name="Comma [0] 2 2" xfId="4" xr:uid="{00000000-0005-0000-0000-000003000000}"/>
    <cellStyle name="Comma [0] 2 3" xfId="92" xr:uid="{00000000-0005-0000-0000-000004000000}"/>
    <cellStyle name="Comma [0] 2 7" xfId="97" xr:uid="{00000000-0005-0000-0000-000005000000}"/>
    <cellStyle name="Comma [0] 3" xfId="5" xr:uid="{00000000-0005-0000-0000-000006000000}"/>
    <cellStyle name="Comma [0] 4" xfId="6" xr:uid="{00000000-0005-0000-0000-000007000000}"/>
    <cellStyle name="Comma [0] 4 2" xfId="90" xr:uid="{00000000-0005-0000-0000-000008000000}"/>
    <cellStyle name="Comma [0] 5" xfId="3" xr:uid="{00000000-0005-0000-0000-000009000000}"/>
    <cellStyle name="Comma [0] 6" xfId="86" xr:uid="{00000000-0005-0000-0000-00000A000000}"/>
    <cellStyle name="Comma [0] 9" xfId="96" xr:uid="{00000000-0005-0000-0000-00000B000000}"/>
    <cellStyle name="Comma 2" xfId="91" xr:uid="{00000000-0005-0000-0000-00000C000000}"/>
    <cellStyle name="Comma 3" xfId="95" xr:uid="{00000000-0005-0000-0000-00000D000000}"/>
    <cellStyle name="Comma 4" xfId="88" xr:uid="{00000000-0005-0000-0000-00000E000000}"/>
    <cellStyle name="Comma 5" xfId="101" xr:uid="{00000000-0005-0000-0000-00000F000000}"/>
    <cellStyle name="Comma 6" xfId="102" xr:uid="{00000000-0005-0000-0000-000010000000}"/>
    <cellStyle name="Comma 7" xfId="103" xr:uid="{00000000-0005-0000-0000-000011000000}"/>
    <cellStyle name="Normal" xfId="0" builtinId="0"/>
    <cellStyle name="Normal 10" xfId="15" xr:uid="{00000000-0005-0000-0000-000013000000}"/>
    <cellStyle name="Normal 11" xfId="16" xr:uid="{00000000-0005-0000-0000-000014000000}"/>
    <cellStyle name="Normal 11 2" xfId="100" xr:uid="{00000000-0005-0000-0000-000015000000}"/>
    <cellStyle name="Normal 12" xfId="84" xr:uid="{00000000-0005-0000-0000-000016000000}"/>
    <cellStyle name="Normal 2" xfId="1" xr:uid="{00000000-0005-0000-0000-000017000000}"/>
    <cellStyle name="Normal 2 10" xfId="7" xr:uid="{00000000-0005-0000-0000-000018000000}"/>
    <cellStyle name="Normal 2 11" xfId="8" xr:uid="{00000000-0005-0000-0000-000019000000}"/>
    <cellStyle name="Normal 2 12" xfId="17" xr:uid="{00000000-0005-0000-0000-00001A000000}"/>
    <cellStyle name="Normal 2 13" xfId="18" xr:uid="{00000000-0005-0000-0000-00001B000000}"/>
    <cellStyle name="Normal 2 14" xfId="19" xr:uid="{00000000-0005-0000-0000-00001C000000}"/>
    <cellStyle name="Normal 2 15" xfId="20" xr:uid="{00000000-0005-0000-0000-00001D000000}"/>
    <cellStyle name="Normal 2 16" xfId="89" xr:uid="{00000000-0005-0000-0000-00001E000000}"/>
    <cellStyle name="Normal 2 17" xfId="21" xr:uid="{00000000-0005-0000-0000-00001F000000}"/>
    <cellStyle name="Normal 2 2" xfId="22" xr:uid="{00000000-0005-0000-0000-000020000000}"/>
    <cellStyle name="Normal 2 2 10" xfId="23" xr:uid="{00000000-0005-0000-0000-000021000000}"/>
    <cellStyle name="Normal 2 2 11" xfId="24" xr:uid="{00000000-0005-0000-0000-000022000000}"/>
    <cellStyle name="Normal 2 2 12" xfId="25" xr:uid="{00000000-0005-0000-0000-000023000000}"/>
    <cellStyle name="Normal 2 2 13" xfId="26" xr:uid="{00000000-0005-0000-0000-000024000000}"/>
    <cellStyle name="Normal 2 2 2" xfId="9" xr:uid="{00000000-0005-0000-0000-000025000000}"/>
    <cellStyle name="Normal 2 2 2 2" xfId="27" xr:uid="{00000000-0005-0000-0000-000026000000}"/>
    <cellStyle name="Normal 2 2 2 3" xfId="10" xr:uid="{00000000-0005-0000-0000-000027000000}"/>
    <cellStyle name="Normal 2 2 3" xfId="28" xr:uid="{00000000-0005-0000-0000-000028000000}"/>
    <cellStyle name="Normal 2 2 4" xfId="29" xr:uid="{00000000-0005-0000-0000-000029000000}"/>
    <cellStyle name="Normal 2 2 5" xfId="30" xr:uid="{00000000-0005-0000-0000-00002A000000}"/>
    <cellStyle name="Normal 2 2 6" xfId="31" xr:uid="{00000000-0005-0000-0000-00002B000000}"/>
    <cellStyle name="Normal 2 2 7" xfId="32" xr:uid="{00000000-0005-0000-0000-00002C000000}"/>
    <cellStyle name="Normal 2 2 8" xfId="33" xr:uid="{00000000-0005-0000-0000-00002D000000}"/>
    <cellStyle name="Normal 2 2 9" xfId="34" xr:uid="{00000000-0005-0000-0000-00002E000000}"/>
    <cellStyle name="Normal 2 3" xfId="35" xr:uid="{00000000-0005-0000-0000-00002F000000}"/>
    <cellStyle name="Normal 2 3 2" xfId="36" xr:uid="{00000000-0005-0000-0000-000030000000}"/>
    <cellStyle name="Normal 2 3 2 2" xfId="37" xr:uid="{00000000-0005-0000-0000-000031000000}"/>
    <cellStyle name="Normal 2 3 2 3" xfId="38" xr:uid="{00000000-0005-0000-0000-000032000000}"/>
    <cellStyle name="Normal 2 3 3" xfId="39" xr:uid="{00000000-0005-0000-0000-000033000000}"/>
    <cellStyle name="Normal 2 3 4" xfId="40" xr:uid="{00000000-0005-0000-0000-000034000000}"/>
    <cellStyle name="Normal 2 4" xfId="41" xr:uid="{00000000-0005-0000-0000-000035000000}"/>
    <cellStyle name="Normal 2 4 2" xfId="42" xr:uid="{00000000-0005-0000-0000-000036000000}"/>
    <cellStyle name="Normal 2 4 3" xfId="43" xr:uid="{00000000-0005-0000-0000-000037000000}"/>
    <cellStyle name="Normal 2 5" xfId="44" xr:uid="{00000000-0005-0000-0000-000038000000}"/>
    <cellStyle name="Normal 2 6" xfId="45" xr:uid="{00000000-0005-0000-0000-000039000000}"/>
    <cellStyle name="Normal 2 7" xfId="46" xr:uid="{00000000-0005-0000-0000-00003A000000}"/>
    <cellStyle name="Normal 2 8" xfId="47" xr:uid="{00000000-0005-0000-0000-00003B000000}"/>
    <cellStyle name="Normal 2 9" xfId="48" xr:uid="{00000000-0005-0000-0000-00003C000000}"/>
    <cellStyle name="Normal 3" xfId="11" xr:uid="{00000000-0005-0000-0000-00003D000000}"/>
    <cellStyle name="Normal 3 10" xfId="49" xr:uid="{00000000-0005-0000-0000-00003E000000}"/>
    <cellStyle name="Normal 3 11" xfId="50" xr:uid="{00000000-0005-0000-0000-00003F000000}"/>
    <cellStyle name="Normal 3 12" xfId="51" xr:uid="{00000000-0005-0000-0000-000040000000}"/>
    <cellStyle name="Normal 3 13" xfId="52" xr:uid="{00000000-0005-0000-0000-000041000000}"/>
    <cellStyle name="Normal 3 15" xfId="53" xr:uid="{00000000-0005-0000-0000-000042000000}"/>
    <cellStyle name="Normal 3 2" xfId="54" xr:uid="{00000000-0005-0000-0000-000043000000}"/>
    <cellStyle name="Normal 3 2 10" xfId="55" xr:uid="{00000000-0005-0000-0000-000044000000}"/>
    <cellStyle name="Normal 3 2 11" xfId="56" xr:uid="{00000000-0005-0000-0000-000045000000}"/>
    <cellStyle name="Normal 3 2 12" xfId="99" xr:uid="{00000000-0005-0000-0000-000046000000}"/>
    <cellStyle name="Normal 3 2 2" xfId="57" xr:uid="{00000000-0005-0000-0000-000047000000}"/>
    <cellStyle name="Normal 3 2 2 2" xfId="58" xr:uid="{00000000-0005-0000-0000-000048000000}"/>
    <cellStyle name="Normal 3 2 2 3" xfId="59" xr:uid="{00000000-0005-0000-0000-000049000000}"/>
    <cellStyle name="Normal 3 2 3" xfId="60" xr:uid="{00000000-0005-0000-0000-00004A000000}"/>
    <cellStyle name="Normal 3 2 4" xfId="61" xr:uid="{00000000-0005-0000-0000-00004B000000}"/>
    <cellStyle name="Normal 3 2 5" xfId="62" xr:uid="{00000000-0005-0000-0000-00004C000000}"/>
    <cellStyle name="Normal 3 2 6" xfId="63" xr:uid="{00000000-0005-0000-0000-00004D000000}"/>
    <cellStyle name="Normal 3 2 7" xfId="64" xr:uid="{00000000-0005-0000-0000-00004E000000}"/>
    <cellStyle name="Normal 3 2 8" xfId="65" xr:uid="{00000000-0005-0000-0000-00004F000000}"/>
    <cellStyle name="Normal 3 2 9" xfId="66" xr:uid="{00000000-0005-0000-0000-000050000000}"/>
    <cellStyle name="Normal 3 3" xfId="67" xr:uid="{00000000-0005-0000-0000-000051000000}"/>
    <cellStyle name="Normal 3 3 2" xfId="68" xr:uid="{00000000-0005-0000-0000-000052000000}"/>
    <cellStyle name="Normal 3 3 3" xfId="69" xr:uid="{00000000-0005-0000-0000-000053000000}"/>
    <cellStyle name="Normal 3 4" xfId="70" xr:uid="{00000000-0005-0000-0000-000054000000}"/>
    <cellStyle name="Normal 3 5" xfId="71" xr:uid="{00000000-0005-0000-0000-000055000000}"/>
    <cellStyle name="Normal 3 6" xfId="72" xr:uid="{00000000-0005-0000-0000-000056000000}"/>
    <cellStyle name="Normal 3 7" xfId="73" xr:uid="{00000000-0005-0000-0000-000057000000}"/>
    <cellStyle name="Normal 3 8" xfId="74" xr:uid="{00000000-0005-0000-0000-000058000000}"/>
    <cellStyle name="Normal 3 9" xfId="75" xr:uid="{00000000-0005-0000-0000-000059000000}"/>
    <cellStyle name="Normal 4" xfId="12" xr:uid="{00000000-0005-0000-0000-00005A000000}"/>
    <cellStyle name="Normal 4 2" xfId="76" xr:uid="{00000000-0005-0000-0000-00005B000000}"/>
    <cellStyle name="Normal 4 3" xfId="94" xr:uid="{00000000-0005-0000-0000-00005C000000}"/>
    <cellStyle name="Normal 5" xfId="77" xr:uid="{00000000-0005-0000-0000-00005D000000}"/>
    <cellStyle name="Normal 6" xfId="78" xr:uid="{00000000-0005-0000-0000-00005E000000}"/>
    <cellStyle name="Normal 6 2" xfId="79" xr:uid="{00000000-0005-0000-0000-00005F000000}"/>
    <cellStyle name="Normal 6 2 2" xfId="93" xr:uid="{00000000-0005-0000-0000-000060000000}"/>
    <cellStyle name="Normal 7" xfId="80" xr:uid="{00000000-0005-0000-0000-000061000000}"/>
    <cellStyle name="Normal 7 2" xfId="85" xr:uid="{00000000-0005-0000-0000-000062000000}"/>
    <cellStyle name="Normal 8" xfId="81" xr:uid="{00000000-0005-0000-0000-000063000000}"/>
    <cellStyle name="Normal 9" xfId="82" xr:uid="{00000000-0005-0000-0000-000064000000}"/>
    <cellStyle name="Percent 2" xfId="13" xr:uid="{00000000-0005-0000-0000-000065000000}"/>
    <cellStyle name="Percent 3" xfId="98" xr:uid="{00000000-0005-0000-0000-000066000000}"/>
    <cellStyle name="Percent 4" xfId="87" xr:uid="{00000000-0005-0000-0000-00006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161926</xdr:colOff>
      <xdr:row>0</xdr:row>
      <xdr:rowOff>38100</xdr:rowOff>
    </xdr:from>
    <xdr:to>
      <xdr:col>6</xdr:col>
      <xdr:colOff>295276</xdr:colOff>
      <xdr:row>2</xdr:row>
      <xdr:rowOff>180975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38100"/>
          <a:ext cx="25908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171451</xdr:colOff>
      <xdr:row>32</xdr:row>
      <xdr:rowOff>66675</xdr:rowOff>
    </xdr:from>
    <xdr:to>
      <xdr:col>6</xdr:col>
      <xdr:colOff>342901</xdr:colOff>
      <xdr:row>35</xdr:row>
      <xdr:rowOff>19050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1" y="6153150"/>
          <a:ext cx="2628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0</xdr:row>
      <xdr:rowOff>38100</xdr:rowOff>
    </xdr:from>
    <xdr:to>
      <xdr:col>16</xdr:col>
      <xdr:colOff>114300</xdr:colOff>
      <xdr:row>2</xdr:row>
      <xdr:rowOff>161925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38100"/>
          <a:ext cx="24384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171450</xdr:rowOff>
    </xdr:from>
    <xdr:to>
      <xdr:col>16</xdr:col>
      <xdr:colOff>283152</xdr:colOff>
      <xdr:row>35</xdr:row>
      <xdr:rowOff>133350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5572125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32</xdr:row>
      <xdr:rowOff>76201</xdr:rowOff>
    </xdr:from>
    <xdr:to>
      <xdr:col>16</xdr:col>
      <xdr:colOff>292677</xdr:colOff>
      <xdr:row>35</xdr:row>
      <xdr:rowOff>57151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6076951"/>
          <a:ext cx="260725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70</xdr:row>
      <xdr:rowOff>76200</xdr:rowOff>
    </xdr:from>
    <xdr:to>
      <xdr:col>7</xdr:col>
      <xdr:colOff>9525</xdr:colOff>
      <xdr:row>73</xdr:row>
      <xdr:rowOff>38100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3134975"/>
          <a:ext cx="27908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70</xdr:row>
      <xdr:rowOff>57150</xdr:rowOff>
    </xdr:from>
    <xdr:to>
      <xdr:col>16</xdr:col>
      <xdr:colOff>292677</xdr:colOff>
      <xdr:row>73</xdr:row>
      <xdr:rowOff>19050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3115925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9526</xdr:colOff>
      <xdr:row>102</xdr:row>
      <xdr:rowOff>76200</xdr:rowOff>
    </xdr:from>
    <xdr:to>
      <xdr:col>6</xdr:col>
      <xdr:colOff>495301</xdr:colOff>
      <xdr:row>105</xdr:row>
      <xdr:rowOff>38100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19050000"/>
          <a:ext cx="27432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102</xdr:row>
      <xdr:rowOff>171450</xdr:rowOff>
    </xdr:from>
    <xdr:to>
      <xdr:col>16</xdr:col>
      <xdr:colOff>283152</xdr:colOff>
      <xdr:row>105</xdr:row>
      <xdr:rowOff>133350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18097500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102</xdr:row>
      <xdr:rowOff>76200</xdr:rowOff>
    </xdr:from>
    <xdr:to>
      <xdr:col>16</xdr:col>
      <xdr:colOff>321252</xdr:colOff>
      <xdr:row>105</xdr:row>
      <xdr:rowOff>38100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9050000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139</xdr:row>
      <xdr:rowOff>66675</xdr:rowOff>
    </xdr:from>
    <xdr:to>
      <xdr:col>7</xdr:col>
      <xdr:colOff>9525</xdr:colOff>
      <xdr:row>142</xdr:row>
      <xdr:rowOff>28575</xdr:rowOff>
    </xdr:to>
    <xdr:pic>
      <xdr:nvPicPr>
        <xdr:cNvPr id="18" name="Picture 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184225"/>
          <a:ext cx="27717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171450</xdr:rowOff>
    </xdr:from>
    <xdr:to>
      <xdr:col>16</xdr:col>
      <xdr:colOff>283152</xdr:colOff>
      <xdr:row>142</xdr:row>
      <xdr:rowOff>133350</xdr:rowOff>
    </xdr:to>
    <xdr:pic>
      <xdr:nvPicPr>
        <xdr:cNvPr id="20" name="Picture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5222200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76200</xdr:rowOff>
    </xdr:from>
    <xdr:to>
      <xdr:col>16</xdr:col>
      <xdr:colOff>283152</xdr:colOff>
      <xdr:row>142</xdr:row>
      <xdr:rowOff>38100</xdr:rowOff>
    </xdr:to>
    <xdr:pic>
      <xdr:nvPicPr>
        <xdr:cNvPr id="21" name="Picture 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26193750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19051</xdr:colOff>
      <xdr:row>171</xdr:row>
      <xdr:rowOff>57150</xdr:rowOff>
    </xdr:from>
    <xdr:to>
      <xdr:col>6</xdr:col>
      <xdr:colOff>504826</xdr:colOff>
      <xdr:row>174</xdr:row>
      <xdr:rowOff>19050</xdr:rowOff>
    </xdr:to>
    <xdr:pic>
      <xdr:nvPicPr>
        <xdr:cNvPr id="22" name="Picture 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32337375"/>
          <a:ext cx="27432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171</xdr:row>
      <xdr:rowOff>66675</xdr:rowOff>
    </xdr:from>
    <xdr:to>
      <xdr:col>16</xdr:col>
      <xdr:colOff>311727</xdr:colOff>
      <xdr:row>174</xdr:row>
      <xdr:rowOff>28575</xdr:rowOff>
    </xdr:to>
    <xdr:pic>
      <xdr:nvPicPr>
        <xdr:cNvPr id="24" name="Picture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32346900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85725</xdr:rowOff>
    </xdr:from>
    <xdr:to>
      <xdr:col>6</xdr:col>
      <xdr:colOff>514350</xdr:colOff>
      <xdr:row>210</xdr:row>
      <xdr:rowOff>47625</xdr:rowOff>
    </xdr:to>
    <xdr:pic>
      <xdr:nvPicPr>
        <xdr:cNvPr id="26" name="Picture 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9290625"/>
          <a:ext cx="27717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207</xdr:row>
      <xdr:rowOff>171450</xdr:rowOff>
    </xdr:from>
    <xdr:to>
      <xdr:col>16</xdr:col>
      <xdr:colOff>283152</xdr:colOff>
      <xdr:row>210</xdr:row>
      <xdr:rowOff>133350</xdr:rowOff>
    </xdr:to>
    <xdr:pic>
      <xdr:nvPicPr>
        <xdr:cNvPr id="28" name="Picture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7747575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207</xdr:row>
      <xdr:rowOff>76200</xdr:rowOff>
    </xdr:from>
    <xdr:to>
      <xdr:col>16</xdr:col>
      <xdr:colOff>292677</xdr:colOff>
      <xdr:row>210</xdr:row>
      <xdr:rowOff>38100</xdr:rowOff>
    </xdr:to>
    <xdr:pic>
      <xdr:nvPicPr>
        <xdr:cNvPr id="29" name="Picture 5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9281100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190501</xdr:colOff>
      <xdr:row>239</xdr:row>
      <xdr:rowOff>66675</xdr:rowOff>
    </xdr:from>
    <xdr:to>
      <xdr:col>6</xdr:col>
      <xdr:colOff>485775</xdr:colOff>
      <xdr:row>242</xdr:row>
      <xdr:rowOff>28575</xdr:rowOff>
    </xdr:to>
    <xdr:pic>
      <xdr:nvPicPr>
        <xdr:cNvPr id="30" name="Picture 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45434250"/>
          <a:ext cx="275272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239</xdr:row>
      <xdr:rowOff>171450</xdr:rowOff>
    </xdr:from>
    <xdr:to>
      <xdr:col>16</xdr:col>
      <xdr:colOff>283152</xdr:colOff>
      <xdr:row>242</xdr:row>
      <xdr:rowOff>133350</xdr:rowOff>
    </xdr:to>
    <xdr:pic>
      <xdr:nvPicPr>
        <xdr:cNvPr id="32" name="Picture 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43148250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180975</xdr:colOff>
      <xdr:row>239</xdr:row>
      <xdr:rowOff>85725</xdr:rowOff>
    </xdr:from>
    <xdr:to>
      <xdr:col>16</xdr:col>
      <xdr:colOff>514350</xdr:colOff>
      <xdr:row>242</xdr:row>
      <xdr:rowOff>47625</xdr:rowOff>
    </xdr:to>
    <xdr:pic>
      <xdr:nvPicPr>
        <xdr:cNvPr id="33" name="Picture 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45453300"/>
          <a:ext cx="2857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275</xdr:row>
      <xdr:rowOff>57150</xdr:rowOff>
    </xdr:from>
    <xdr:to>
      <xdr:col>7</xdr:col>
      <xdr:colOff>1</xdr:colOff>
      <xdr:row>278</xdr:row>
      <xdr:rowOff>19050</xdr:rowOff>
    </xdr:to>
    <xdr:pic>
      <xdr:nvPicPr>
        <xdr:cNvPr id="34" name="Picture 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52349400"/>
          <a:ext cx="27813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275</xdr:row>
      <xdr:rowOff>28575</xdr:rowOff>
    </xdr:from>
    <xdr:to>
      <xdr:col>16</xdr:col>
      <xdr:colOff>292677</xdr:colOff>
      <xdr:row>277</xdr:row>
      <xdr:rowOff>180975</xdr:rowOff>
    </xdr:to>
    <xdr:pic>
      <xdr:nvPicPr>
        <xdr:cNvPr id="36" name="Picture 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52320825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307</xdr:row>
      <xdr:rowOff>66675</xdr:rowOff>
    </xdr:from>
    <xdr:to>
      <xdr:col>6</xdr:col>
      <xdr:colOff>523874</xdr:colOff>
      <xdr:row>310</xdr:row>
      <xdr:rowOff>28575</xdr:rowOff>
    </xdr:to>
    <xdr:pic>
      <xdr:nvPicPr>
        <xdr:cNvPr id="38" name="Picture 5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8521600"/>
          <a:ext cx="276224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307</xdr:row>
      <xdr:rowOff>171450</xdr:rowOff>
    </xdr:from>
    <xdr:to>
      <xdr:col>16</xdr:col>
      <xdr:colOff>283152</xdr:colOff>
      <xdr:row>310</xdr:row>
      <xdr:rowOff>133350</xdr:rowOff>
    </xdr:to>
    <xdr:pic>
      <xdr:nvPicPr>
        <xdr:cNvPr id="40" name="Picture 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55673625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307</xdr:row>
      <xdr:rowOff>57150</xdr:rowOff>
    </xdr:from>
    <xdr:to>
      <xdr:col>16</xdr:col>
      <xdr:colOff>321252</xdr:colOff>
      <xdr:row>310</xdr:row>
      <xdr:rowOff>19050</xdr:rowOff>
    </xdr:to>
    <xdr:pic>
      <xdr:nvPicPr>
        <xdr:cNvPr id="41" name="Picture 5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8512075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57150</xdr:rowOff>
    </xdr:from>
    <xdr:to>
      <xdr:col>6</xdr:col>
      <xdr:colOff>381000</xdr:colOff>
      <xdr:row>379</xdr:row>
      <xdr:rowOff>19050</xdr:rowOff>
    </xdr:to>
    <xdr:pic>
      <xdr:nvPicPr>
        <xdr:cNvPr id="47" name="Picture 5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1847075"/>
          <a:ext cx="26384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376</xdr:row>
      <xdr:rowOff>171450</xdr:rowOff>
    </xdr:from>
    <xdr:to>
      <xdr:col>16</xdr:col>
      <xdr:colOff>283152</xdr:colOff>
      <xdr:row>379</xdr:row>
      <xdr:rowOff>133350</xdr:rowOff>
    </xdr:to>
    <xdr:pic>
      <xdr:nvPicPr>
        <xdr:cNvPr id="48" name="Picture 5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68751450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</xdr:colOff>
      <xdr:row>376</xdr:row>
      <xdr:rowOff>66675</xdr:rowOff>
    </xdr:from>
    <xdr:to>
      <xdr:col>16</xdr:col>
      <xdr:colOff>292677</xdr:colOff>
      <xdr:row>379</xdr:row>
      <xdr:rowOff>28575</xdr:rowOff>
    </xdr:to>
    <xdr:pic>
      <xdr:nvPicPr>
        <xdr:cNvPr id="49" name="Picture 5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1856600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411</xdr:row>
      <xdr:rowOff>38100</xdr:rowOff>
    </xdr:from>
    <xdr:to>
      <xdr:col>7</xdr:col>
      <xdr:colOff>19050</xdr:colOff>
      <xdr:row>414</xdr:row>
      <xdr:rowOff>85725</xdr:rowOff>
    </xdr:to>
    <xdr:pic>
      <xdr:nvPicPr>
        <xdr:cNvPr id="51" name="Picture 5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590775"/>
          <a:ext cx="28003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200024</xdr:colOff>
      <xdr:row>411</xdr:row>
      <xdr:rowOff>66676</xdr:rowOff>
    </xdr:from>
    <xdr:to>
      <xdr:col>16</xdr:col>
      <xdr:colOff>523874</xdr:colOff>
      <xdr:row>414</xdr:row>
      <xdr:rowOff>85726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4" y="78619351"/>
          <a:ext cx="28479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444</xdr:row>
      <xdr:rowOff>85725</xdr:rowOff>
    </xdr:from>
    <xdr:to>
      <xdr:col>7</xdr:col>
      <xdr:colOff>19050</xdr:colOff>
      <xdr:row>447</xdr:row>
      <xdr:rowOff>47625</xdr:rowOff>
    </xdr:to>
    <xdr:pic>
      <xdr:nvPicPr>
        <xdr:cNvPr id="54" name="Picture 5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5020150"/>
          <a:ext cx="27908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444</xdr:row>
      <xdr:rowOff>66675</xdr:rowOff>
    </xdr:from>
    <xdr:to>
      <xdr:col>17</xdr:col>
      <xdr:colOff>9525</xdr:colOff>
      <xdr:row>447</xdr:row>
      <xdr:rowOff>19050</xdr:rowOff>
    </xdr:to>
    <xdr:pic>
      <xdr:nvPicPr>
        <xdr:cNvPr id="56" name="Picture 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85001100"/>
          <a:ext cx="27622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38101</xdr:colOff>
      <xdr:row>479</xdr:row>
      <xdr:rowOff>104775</xdr:rowOff>
    </xdr:from>
    <xdr:to>
      <xdr:col>6</xdr:col>
      <xdr:colOff>428625</xdr:colOff>
      <xdr:row>482</xdr:row>
      <xdr:rowOff>19050</xdr:rowOff>
    </xdr:to>
    <xdr:pic>
      <xdr:nvPicPr>
        <xdr:cNvPr id="57" name="Picture 5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91801950"/>
          <a:ext cx="2647949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</xdr:colOff>
      <xdr:row>479</xdr:row>
      <xdr:rowOff>104775</xdr:rowOff>
    </xdr:from>
    <xdr:to>
      <xdr:col>16</xdr:col>
      <xdr:colOff>340302</xdr:colOff>
      <xdr:row>482</xdr:row>
      <xdr:rowOff>19050</xdr:rowOff>
    </xdr:to>
    <xdr:pic>
      <xdr:nvPicPr>
        <xdr:cNvPr id="59" name="Picture 5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91801950"/>
          <a:ext cx="2607252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512</xdr:row>
      <xdr:rowOff>95250</xdr:rowOff>
    </xdr:from>
    <xdr:to>
      <xdr:col>6</xdr:col>
      <xdr:colOff>428626</xdr:colOff>
      <xdr:row>515</xdr:row>
      <xdr:rowOff>57150</xdr:rowOff>
    </xdr:to>
    <xdr:pic>
      <xdr:nvPicPr>
        <xdr:cNvPr id="61" name="Picture 5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98174175"/>
          <a:ext cx="26860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512</xdr:row>
      <xdr:rowOff>171450</xdr:rowOff>
    </xdr:from>
    <xdr:to>
      <xdr:col>16</xdr:col>
      <xdr:colOff>283152</xdr:colOff>
      <xdr:row>515</xdr:row>
      <xdr:rowOff>133350</xdr:rowOff>
    </xdr:to>
    <xdr:pic>
      <xdr:nvPicPr>
        <xdr:cNvPr id="63" name="Picture 5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93868875"/>
          <a:ext cx="2295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512</xdr:row>
      <xdr:rowOff>76200</xdr:rowOff>
    </xdr:from>
    <xdr:to>
      <xdr:col>16</xdr:col>
      <xdr:colOff>283152</xdr:colOff>
      <xdr:row>515</xdr:row>
      <xdr:rowOff>38100</xdr:rowOff>
    </xdr:to>
    <xdr:pic>
      <xdr:nvPicPr>
        <xdr:cNvPr id="64" name="Picture 5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98155125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343</xdr:row>
      <xdr:rowOff>57150</xdr:rowOff>
    </xdr:from>
    <xdr:to>
      <xdr:col>6</xdr:col>
      <xdr:colOff>397452</xdr:colOff>
      <xdr:row>346</xdr:row>
      <xdr:rowOff>19050</xdr:rowOff>
    </xdr:to>
    <xdr:pic>
      <xdr:nvPicPr>
        <xdr:cNvPr id="65" name="Picture 5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5465325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343</xdr:row>
      <xdr:rowOff>57150</xdr:rowOff>
    </xdr:from>
    <xdr:to>
      <xdr:col>16</xdr:col>
      <xdr:colOff>302202</xdr:colOff>
      <xdr:row>346</xdr:row>
      <xdr:rowOff>19050</xdr:rowOff>
    </xdr:to>
    <xdr:pic>
      <xdr:nvPicPr>
        <xdr:cNvPr id="66" name="Picture 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65465325"/>
          <a:ext cx="260725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57150</xdr:rowOff>
    </xdr:from>
    <xdr:to>
      <xdr:col>6</xdr:col>
      <xdr:colOff>295275</xdr:colOff>
      <xdr:row>2</xdr:row>
      <xdr:rowOff>171450</xdr:rowOff>
    </xdr:to>
    <xdr:pic>
      <xdr:nvPicPr>
        <xdr:cNvPr id="98" name="Picture 5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57150"/>
          <a:ext cx="2552699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0</xdr:row>
      <xdr:rowOff>47625</xdr:rowOff>
    </xdr:from>
    <xdr:to>
      <xdr:col>16</xdr:col>
      <xdr:colOff>247651</xdr:colOff>
      <xdr:row>2</xdr:row>
      <xdr:rowOff>171451</xdr:rowOff>
    </xdr:to>
    <xdr:pic>
      <xdr:nvPicPr>
        <xdr:cNvPr id="100" name="Picture 5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1" y="47625"/>
          <a:ext cx="2571750" cy="504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35</xdr:row>
      <xdr:rowOff>38099</xdr:rowOff>
    </xdr:from>
    <xdr:to>
      <xdr:col>6</xdr:col>
      <xdr:colOff>266700</xdr:colOff>
      <xdr:row>37</xdr:row>
      <xdr:rowOff>180975</xdr:rowOff>
    </xdr:to>
    <xdr:pic>
      <xdr:nvPicPr>
        <xdr:cNvPr id="106" name="Picture 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6467474"/>
          <a:ext cx="2524124" cy="523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38100</xdr:rowOff>
    </xdr:from>
    <xdr:to>
      <xdr:col>16</xdr:col>
      <xdr:colOff>200025</xdr:colOff>
      <xdr:row>37</xdr:row>
      <xdr:rowOff>161925</xdr:rowOff>
    </xdr:to>
    <xdr:pic>
      <xdr:nvPicPr>
        <xdr:cNvPr id="107" name="Picture 5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6467475"/>
          <a:ext cx="25241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70</xdr:row>
      <xdr:rowOff>57150</xdr:rowOff>
    </xdr:from>
    <xdr:to>
      <xdr:col>6</xdr:col>
      <xdr:colOff>295275</xdr:colOff>
      <xdr:row>73</xdr:row>
      <xdr:rowOff>9525</xdr:rowOff>
    </xdr:to>
    <xdr:pic>
      <xdr:nvPicPr>
        <xdr:cNvPr id="110" name="Picture 5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13944600"/>
          <a:ext cx="2552699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180975</xdr:colOff>
      <xdr:row>70</xdr:row>
      <xdr:rowOff>47625</xdr:rowOff>
    </xdr:from>
    <xdr:to>
      <xdr:col>16</xdr:col>
      <xdr:colOff>371475</xdr:colOff>
      <xdr:row>73</xdr:row>
      <xdr:rowOff>9525</xdr:rowOff>
    </xdr:to>
    <xdr:pic>
      <xdr:nvPicPr>
        <xdr:cNvPr id="111" name="Picture 5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3935075"/>
          <a:ext cx="27146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105</xdr:row>
      <xdr:rowOff>66674</xdr:rowOff>
    </xdr:from>
    <xdr:to>
      <xdr:col>6</xdr:col>
      <xdr:colOff>466725</xdr:colOff>
      <xdr:row>107</xdr:row>
      <xdr:rowOff>182879</xdr:rowOff>
    </xdr:to>
    <xdr:pic>
      <xdr:nvPicPr>
        <xdr:cNvPr id="114" name="Picture 5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907374"/>
          <a:ext cx="2733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47625</xdr:rowOff>
    </xdr:from>
    <xdr:to>
      <xdr:col>16</xdr:col>
      <xdr:colOff>257175</xdr:colOff>
      <xdr:row>108</xdr:row>
      <xdr:rowOff>28575</xdr:rowOff>
    </xdr:to>
    <xdr:pic>
      <xdr:nvPicPr>
        <xdr:cNvPr id="115" name="Picture 5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0888325"/>
          <a:ext cx="25812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140</xdr:row>
      <xdr:rowOff>19050</xdr:rowOff>
    </xdr:from>
    <xdr:to>
      <xdr:col>6</xdr:col>
      <xdr:colOff>485776</xdr:colOff>
      <xdr:row>142</xdr:row>
      <xdr:rowOff>171450</xdr:rowOff>
    </xdr:to>
    <xdr:pic>
      <xdr:nvPicPr>
        <xdr:cNvPr id="118" name="Picture 5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7813000"/>
          <a:ext cx="27432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140</xdr:row>
      <xdr:rowOff>57151</xdr:rowOff>
    </xdr:from>
    <xdr:to>
      <xdr:col>16</xdr:col>
      <xdr:colOff>409575</xdr:colOff>
      <xdr:row>143</xdr:row>
      <xdr:rowOff>19050</xdr:rowOff>
    </xdr:to>
    <xdr:pic>
      <xdr:nvPicPr>
        <xdr:cNvPr id="119" name="Picture 5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27851101"/>
          <a:ext cx="2695575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175</xdr:row>
      <xdr:rowOff>47625</xdr:rowOff>
    </xdr:from>
    <xdr:to>
      <xdr:col>6</xdr:col>
      <xdr:colOff>447676</xdr:colOff>
      <xdr:row>178</xdr:row>
      <xdr:rowOff>9525</xdr:rowOff>
    </xdr:to>
    <xdr:pic>
      <xdr:nvPicPr>
        <xdr:cNvPr id="121" name="Picture 5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35366325"/>
          <a:ext cx="27051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175</xdr:row>
      <xdr:rowOff>28575</xdr:rowOff>
    </xdr:from>
    <xdr:to>
      <xdr:col>16</xdr:col>
      <xdr:colOff>276225</xdr:colOff>
      <xdr:row>178</xdr:row>
      <xdr:rowOff>0</xdr:rowOff>
    </xdr:to>
    <xdr:pic>
      <xdr:nvPicPr>
        <xdr:cNvPr id="122" name="Picture 5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35347275"/>
          <a:ext cx="26098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210</xdr:row>
      <xdr:rowOff>47625</xdr:rowOff>
    </xdr:from>
    <xdr:to>
      <xdr:col>6</xdr:col>
      <xdr:colOff>314326</xdr:colOff>
      <xdr:row>213</xdr:row>
      <xdr:rowOff>28574</xdr:rowOff>
    </xdr:to>
    <xdr:pic>
      <xdr:nvPicPr>
        <xdr:cNvPr id="125" name="Picture 5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42319575"/>
          <a:ext cx="2571750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210</xdr:row>
      <xdr:rowOff>66675</xdr:rowOff>
    </xdr:from>
    <xdr:to>
      <xdr:col>16</xdr:col>
      <xdr:colOff>447675</xdr:colOff>
      <xdr:row>213</xdr:row>
      <xdr:rowOff>28575</xdr:rowOff>
    </xdr:to>
    <xdr:pic>
      <xdr:nvPicPr>
        <xdr:cNvPr id="126" name="Picture 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42338625"/>
          <a:ext cx="27813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0</xdr:row>
      <xdr:rowOff>57150</xdr:rowOff>
    </xdr:from>
    <xdr:to>
      <xdr:col>6</xdr:col>
      <xdr:colOff>247650</xdr:colOff>
      <xdr:row>2</xdr:row>
      <xdr:rowOff>152400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57150"/>
          <a:ext cx="2543173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0</xdr:row>
      <xdr:rowOff>47624</xdr:rowOff>
    </xdr:from>
    <xdr:to>
      <xdr:col>16</xdr:col>
      <xdr:colOff>247650</xdr:colOff>
      <xdr:row>2</xdr:row>
      <xdr:rowOff>180975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6" y="47624"/>
          <a:ext cx="2581274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36</xdr:row>
      <xdr:rowOff>38100</xdr:rowOff>
    </xdr:from>
    <xdr:to>
      <xdr:col>6</xdr:col>
      <xdr:colOff>238125</xdr:colOff>
      <xdr:row>38</xdr:row>
      <xdr:rowOff>171450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6991350"/>
          <a:ext cx="2533649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19051</xdr:colOff>
      <xdr:row>36</xdr:row>
      <xdr:rowOff>66675</xdr:rowOff>
    </xdr:from>
    <xdr:to>
      <xdr:col>16</xdr:col>
      <xdr:colOff>123825</xdr:colOff>
      <xdr:row>38</xdr:row>
      <xdr:rowOff>171450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6" y="7019925"/>
          <a:ext cx="2438399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73</xdr:row>
      <xdr:rowOff>57150</xdr:rowOff>
    </xdr:from>
    <xdr:to>
      <xdr:col>6</xdr:col>
      <xdr:colOff>285750</xdr:colOff>
      <xdr:row>75</xdr:row>
      <xdr:rowOff>161925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13430250"/>
          <a:ext cx="2581274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73</xdr:row>
      <xdr:rowOff>47625</xdr:rowOff>
    </xdr:from>
    <xdr:to>
      <xdr:col>16</xdr:col>
      <xdr:colOff>219075</xdr:colOff>
      <xdr:row>76</xdr:row>
      <xdr:rowOff>9525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13230225"/>
          <a:ext cx="25622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109</xdr:row>
      <xdr:rowOff>47626</xdr:rowOff>
    </xdr:from>
    <xdr:to>
      <xdr:col>6</xdr:col>
      <xdr:colOff>219075</xdr:colOff>
      <xdr:row>111</xdr:row>
      <xdr:rowOff>171450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0754976"/>
          <a:ext cx="2514599" cy="504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109</xdr:row>
      <xdr:rowOff>47625</xdr:rowOff>
    </xdr:from>
    <xdr:to>
      <xdr:col>16</xdr:col>
      <xdr:colOff>142875</xdr:colOff>
      <xdr:row>111</xdr:row>
      <xdr:rowOff>152400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0754975"/>
          <a:ext cx="24860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19051</xdr:colOff>
      <xdr:row>146</xdr:row>
      <xdr:rowOff>66676</xdr:rowOff>
    </xdr:from>
    <xdr:to>
      <xdr:col>6</xdr:col>
      <xdr:colOff>457200</xdr:colOff>
      <xdr:row>148</xdr:row>
      <xdr:rowOff>180976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27736801"/>
          <a:ext cx="2733674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180975</xdr:colOff>
      <xdr:row>146</xdr:row>
      <xdr:rowOff>38101</xdr:rowOff>
    </xdr:from>
    <xdr:to>
      <xdr:col>16</xdr:col>
      <xdr:colOff>238125</xdr:colOff>
      <xdr:row>148</xdr:row>
      <xdr:rowOff>152400</xdr:rowOff>
    </xdr:to>
    <xdr:pic>
      <xdr:nvPicPr>
        <xdr:cNvPr id="14" name="Picture 5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27708226"/>
          <a:ext cx="2590800" cy="495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47625</xdr:rowOff>
    </xdr:from>
    <xdr:to>
      <xdr:col>6</xdr:col>
      <xdr:colOff>438150</xdr:colOff>
      <xdr:row>184</xdr:row>
      <xdr:rowOff>180975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5252025"/>
          <a:ext cx="2733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9526</xdr:colOff>
      <xdr:row>182</xdr:row>
      <xdr:rowOff>38101</xdr:rowOff>
    </xdr:from>
    <xdr:to>
      <xdr:col>16</xdr:col>
      <xdr:colOff>238125</xdr:colOff>
      <xdr:row>184</xdr:row>
      <xdr:rowOff>171451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1" y="35242501"/>
          <a:ext cx="2562224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218</xdr:row>
      <xdr:rowOff>47625</xdr:rowOff>
    </xdr:from>
    <xdr:to>
      <xdr:col>6</xdr:col>
      <xdr:colOff>219076</xdr:colOff>
      <xdr:row>220</xdr:row>
      <xdr:rowOff>180974</xdr:rowOff>
    </xdr:to>
    <xdr:pic>
      <xdr:nvPicPr>
        <xdr:cNvPr id="18" name="Picture 5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42214800"/>
          <a:ext cx="2514600" cy="51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218</xdr:row>
      <xdr:rowOff>66675</xdr:rowOff>
    </xdr:from>
    <xdr:to>
      <xdr:col>16</xdr:col>
      <xdr:colOff>247650</xdr:colOff>
      <xdr:row>221</xdr:row>
      <xdr:rowOff>0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6" y="42233850"/>
          <a:ext cx="258127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47625</xdr:rowOff>
    </xdr:from>
    <xdr:to>
      <xdr:col>6</xdr:col>
      <xdr:colOff>276225</xdr:colOff>
      <xdr:row>256</xdr:row>
      <xdr:rowOff>180975</xdr:rowOff>
    </xdr:to>
    <xdr:pic>
      <xdr:nvPicPr>
        <xdr:cNvPr id="21" name="Picture 5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9177575"/>
          <a:ext cx="25717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254</xdr:row>
      <xdr:rowOff>28575</xdr:rowOff>
    </xdr:from>
    <xdr:to>
      <xdr:col>16</xdr:col>
      <xdr:colOff>466725</xdr:colOff>
      <xdr:row>256</xdr:row>
      <xdr:rowOff>180975</xdr:rowOff>
    </xdr:to>
    <xdr:pic>
      <xdr:nvPicPr>
        <xdr:cNvPr id="22" name="Picture 5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49158525"/>
          <a:ext cx="2809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47625</xdr:rowOff>
    </xdr:from>
    <xdr:to>
      <xdr:col>6</xdr:col>
      <xdr:colOff>438150</xdr:colOff>
      <xdr:row>292</xdr:row>
      <xdr:rowOff>152400</xdr:rowOff>
    </xdr:to>
    <xdr:pic>
      <xdr:nvPicPr>
        <xdr:cNvPr id="27" name="Picture 5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6140350"/>
          <a:ext cx="27336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290</xdr:row>
      <xdr:rowOff>66675</xdr:rowOff>
    </xdr:from>
    <xdr:to>
      <xdr:col>16</xdr:col>
      <xdr:colOff>276225</xdr:colOff>
      <xdr:row>293</xdr:row>
      <xdr:rowOff>0</xdr:rowOff>
    </xdr:to>
    <xdr:pic>
      <xdr:nvPicPr>
        <xdr:cNvPr id="28" name="Picture 5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56159400"/>
          <a:ext cx="2619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47625</xdr:rowOff>
    </xdr:from>
    <xdr:to>
      <xdr:col>6</xdr:col>
      <xdr:colOff>447675</xdr:colOff>
      <xdr:row>329</xdr:row>
      <xdr:rowOff>28574</xdr:rowOff>
    </xdr:to>
    <xdr:pic>
      <xdr:nvPicPr>
        <xdr:cNvPr id="30" name="Picture 5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63103125"/>
          <a:ext cx="2743200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28576</xdr:colOff>
      <xdr:row>326</xdr:row>
      <xdr:rowOff>19050</xdr:rowOff>
    </xdr:from>
    <xdr:to>
      <xdr:col>16</xdr:col>
      <xdr:colOff>381001</xdr:colOff>
      <xdr:row>328</xdr:row>
      <xdr:rowOff>171450</xdr:rowOff>
    </xdr:to>
    <xdr:pic>
      <xdr:nvPicPr>
        <xdr:cNvPr id="31" name="Picture 5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63074550"/>
          <a:ext cx="26860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47625</xdr:rowOff>
    </xdr:from>
    <xdr:to>
      <xdr:col>6</xdr:col>
      <xdr:colOff>381000</xdr:colOff>
      <xdr:row>365</xdr:row>
      <xdr:rowOff>19050</xdr:rowOff>
    </xdr:to>
    <xdr:pic>
      <xdr:nvPicPr>
        <xdr:cNvPr id="33" name="Picture 5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0065900"/>
          <a:ext cx="26765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171451</xdr:colOff>
      <xdr:row>362</xdr:row>
      <xdr:rowOff>38100</xdr:rowOff>
    </xdr:from>
    <xdr:to>
      <xdr:col>16</xdr:col>
      <xdr:colOff>476251</xdr:colOff>
      <xdr:row>365</xdr:row>
      <xdr:rowOff>0</xdr:rowOff>
    </xdr:to>
    <xdr:pic>
      <xdr:nvPicPr>
        <xdr:cNvPr id="34" name="Picture 5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1" y="70056375"/>
          <a:ext cx="2838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398</xdr:row>
      <xdr:rowOff>47625</xdr:rowOff>
    </xdr:from>
    <xdr:to>
      <xdr:col>6</xdr:col>
      <xdr:colOff>219076</xdr:colOff>
      <xdr:row>400</xdr:row>
      <xdr:rowOff>152400</xdr:rowOff>
    </xdr:to>
    <xdr:pic>
      <xdr:nvPicPr>
        <xdr:cNvPr id="39" name="Picture 5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77028675"/>
          <a:ext cx="25146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398</xdr:row>
      <xdr:rowOff>28575</xdr:rowOff>
    </xdr:from>
    <xdr:to>
      <xdr:col>16</xdr:col>
      <xdr:colOff>257176</xdr:colOff>
      <xdr:row>400</xdr:row>
      <xdr:rowOff>180975</xdr:rowOff>
    </xdr:to>
    <xdr:pic>
      <xdr:nvPicPr>
        <xdr:cNvPr id="40" name="Picture 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6" y="77009625"/>
          <a:ext cx="25908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434</xdr:row>
      <xdr:rowOff>47625</xdr:rowOff>
    </xdr:from>
    <xdr:to>
      <xdr:col>6</xdr:col>
      <xdr:colOff>257176</xdr:colOff>
      <xdr:row>436</xdr:row>
      <xdr:rowOff>152400</xdr:rowOff>
    </xdr:to>
    <xdr:pic>
      <xdr:nvPicPr>
        <xdr:cNvPr id="45" name="Picture 5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83991450"/>
          <a:ext cx="25527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434</xdr:row>
      <xdr:rowOff>47625</xdr:rowOff>
    </xdr:from>
    <xdr:to>
      <xdr:col>17</xdr:col>
      <xdr:colOff>47625</xdr:colOff>
      <xdr:row>437</xdr:row>
      <xdr:rowOff>9525</xdr:rowOff>
    </xdr:to>
    <xdr:pic>
      <xdr:nvPicPr>
        <xdr:cNvPr id="46" name="Picture 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83991450"/>
          <a:ext cx="29051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47625</xdr:rowOff>
    </xdr:from>
    <xdr:to>
      <xdr:col>6</xdr:col>
      <xdr:colOff>180975</xdr:colOff>
      <xdr:row>473</xdr:row>
      <xdr:rowOff>0</xdr:rowOff>
    </xdr:to>
    <xdr:pic>
      <xdr:nvPicPr>
        <xdr:cNvPr id="48" name="Picture 5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0954225"/>
          <a:ext cx="24765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190501</xdr:colOff>
      <xdr:row>470</xdr:row>
      <xdr:rowOff>57150</xdr:rowOff>
    </xdr:from>
    <xdr:to>
      <xdr:col>16</xdr:col>
      <xdr:colOff>266701</xdr:colOff>
      <xdr:row>472</xdr:row>
      <xdr:rowOff>152400</xdr:rowOff>
    </xdr:to>
    <xdr:pic>
      <xdr:nvPicPr>
        <xdr:cNvPr id="49" name="Picture 5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1" y="90963750"/>
          <a:ext cx="2609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47625</xdr:rowOff>
    </xdr:from>
    <xdr:to>
      <xdr:col>6</xdr:col>
      <xdr:colOff>161925</xdr:colOff>
      <xdr:row>508</xdr:row>
      <xdr:rowOff>142875</xdr:rowOff>
    </xdr:to>
    <xdr:pic>
      <xdr:nvPicPr>
        <xdr:cNvPr id="51" name="Picture 5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7917000"/>
          <a:ext cx="24574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180976</xdr:colOff>
      <xdr:row>506</xdr:row>
      <xdr:rowOff>38100</xdr:rowOff>
    </xdr:from>
    <xdr:to>
      <xdr:col>16</xdr:col>
      <xdr:colOff>276226</xdr:colOff>
      <xdr:row>509</xdr:row>
      <xdr:rowOff>0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6" y="97907475"/>
          <a:ext cx="26289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542</xdr:row>
      <xdr:rowOff>47626</xdr:rowOff>
    </xdr:from>
    <xdr:to>
      <xdr:col>6</xdr:col>
      <xdr:colOff>314326</xdr:colOff>
      <xdr:row>544</xdr:row>
      <xdr:rowOff>142876</xdr:rowOff>
    </xdr:to>
    <xdr:pic>
      <xdr:nvPicPr>
        <xdr:cNvPr id="54" name="Picture 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104879776"/>
          <a:ext cx="2609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542</xdr:row>
      <xdr:rowOff>19050</xdr:rowOff>
    </xdr:from>
    <xdr:to>
      <xdr:col>16</xdr:col>
      <xdr:colOff>295275</xdr:colOff>
      <xdr:row>544</xdr:row>
      <xdr:rowOff>171450</xdr:rowOff>
    </xdr:to>
    <xdr:pic>
      <xdr:nvPicPr>
        <xdr:cNvPr id="55" name="Picture 5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6" y="105232200"/>
          <a:ext cx="26288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578</xdr:row>
      <xdr:rowOff>47625</xdr:rowOff>
    </xdr:from>
    <xdr:to>
      <xdr:col>6</xdr:col>
      <xdr:colOff>381000</xdr:colOff>
      <xdr:row>580</xdr:row>
      <xdr:rowOff>152400</xdr:rowOff>
    </xdr:to>
    <xdr:pic>
      <xdr:nvPicPr>
        <xdr:cNvPr id="57" name="Picture 5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2223550"/>
          <a:ext cx="2676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578</xdr:row>
      <xdr:rowOff>57150</xdr:rowOff>
    </xdr:from>
    <xdr:to>
      <xdr:col>16</xdr:col>
      <xdr:colOff>123825</xdr:colOff>
      <xdr:row>580</xdr:row>
      <xdr:rowOff>133350</xdr:rowOff>
    </xdr:to>
    <xdr:pic>
      <xdr:nvPicPr>
        <xdr:cNvPr id="58" name="Picture 5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2233075"/>
          <a:ext cx="24669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47625</xdr:rowOff>
    </xdr:from>
    <xdr:to>
      <xdr:col>6</xdr:col>
      <xdr:colOff>266700</xdr:colOff>
      <xdr:row>616</xdr:row>
      <xdr:rowOff>133350</xdr:rowOff>
    </xdr:to>
    <xdr:pic>
      <xdr:nvPicPr>
        <xdr:cNvPr id="60" name="Picture 5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9186325"/>
          <a:ext cx="25622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0</xdr:row>
      <xdr:rowOff>57150</xdr:rowOff>
    </xdr:from>
    <xdr:to>
      <xdr:col>6</xdr:col>
      <xdr:colOff>342900</xdr:colOff>
      <xdr:row>2</xdr:row>
      <xdr:rowOff>161925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657473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0</xdr:row>
      <xdr:rowOff>47625</xdr:rowOff>
    </xdr:from>
    <xdr:to>
      <xdr:col>16</xdr:col>
      <xdr:colOff>133350</xdr:colOff>
      <xdr:row>2</xdr:row>
      <xdr:rowOff>152401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6" y="47625"/>
          <a:ext cx="2428874" cy="485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36</xdr:row>
      <xdr:rowOff>28575</xdr:rowOff>
    </xdr:from>
    <xdr:to>
      <xdr:col>6</xdr:col>
      <xdr:colOff>514351</xdr:colOff>
      <xdr:row>38</xdr:row>
      <xdr:rowOff>180975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7172325"/>
          <a:ext cx="282892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36</xdr:row>
      <xdr:rowOff>47625</xdr:rowOff>
    </xdr:from>
    <xdr:to>
      <xdr:col>16</xdr:col>
      <xdr:colOff>457200</xdr:colOff>
      <xdr:row>39</xdr:row>
      <xdr:rowOff>1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7191375"/>
          <a:ext cx="2752724" cy="523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57152</xdr:colOff>
      <xdr:row>73</xdr:row>
      <xdr:rowOff>57150</xdr:rowOff>
    </xdr:from>
    <xdr:to>
      <xdr:col>6</xdr:col>
      <xdr:colOff>104775</xdr:colOff>
      <xdr:row>75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7" y="13944600"/>
          <a:ext cx="2362198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73</xdr:row>
      <xdr:rowOff>47625</xdr:rowOff>
    </xdr:from>
    <xdr:to>
      <xdr:col>16</xdr:col>
      <xdr:colOff>228600</xdr:colOff>
      <xdr:row>75</xdr:row>
      <xdr:rowOff>142875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13935075"/>
          <a:ext cx="252412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109</xdr:row>
      <xdr:rowOff>57149</xdr:rowOff>
    </xdr:from>
    <xdr:to>
      <xdr:col>6</xdr:col>
      <xdr:colOff>257175</xdr:colOff>
      <xdr:row>111</xdr:row>
      <xdr:rowOff>180974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0888324"/>
          <a:ext cx="2571749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28576</xdr:colOff>
      <xdr:row>109</xdr:row>
      <xdr:rowOff>47625</xdr:rowOff>
    </xdr:from>
    <xdr:to>
      <xdr:col>16</xdr:col>
      <xdr:colOff>142875</xdr:colOff>
      <xdr:row>111</xdr:row>
      <xdr:rowOff>161925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1" y="20878800"/>
          <a:ext cx="2409824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146</xdr:row>
      <xdr:rowOff>57149</xdr:rowOff>
    </xdr:from>
    <xdr:to>
      <xdr:col>6</xdr:col>
      <xdr:colOff>333375</xdr:colOff>
      <xdr:row>149</xdr:row>
      <xdr:rowOff>9524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7832049"/>
          <a:ext cx="2647949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146</xdr:row>
      <xdr:rowOff>47624</xdr:rowOff>
    </xdr:from>
    <xdr:to>
      <xdr:col>16</xdr:col>
      <xdr:colOff>400050</xdr:colOff>
      <xdr:row>149</xdr:row>
      <xdr:rowOff>0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27822524"/>
          <a:ext cx="2695575" cy="523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47627</xdr:colOff>
      <xdr:row>182</xdr:row>
      <xdr:rowOff>57150</xdr:rowOff>
    </xdr:from>
    <xdr:to>
      <xdr:col>7</xdr:col>
      <xdr:colOff>19051</xdr:colOff>
      <xdr:row>184</xdr:row>
      <xdr:rowOff>171450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2" y="34775775"/>
          <a:ext cx="2809874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182</xdr:row>
      <xdr:rowOff>47625</xdr:rowOff>
    </xdr:from>
    <xdr:to>
      <xdr:col>16</xdr:col>
      <xdr:colOff>504825</xdr:colOff>
      <xdr:row>184</xdr:row>
      <xdr:rowOff>171451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34766250"/>
          <a:ext cx="2800349" cy="504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219</xdr:row>
      <xdr:rowOff>57150</xdr:rowOff>
    </xdr:from>
    <xdr:to>
      <xdr:col>6</xdr:col>
      <xdr:colOff>419101</xdr:colOff>
      <xdr:row>221</xdr:row>
      <xdr:rowOff>142875</xdr:rowOff>
    </xdr:to>
    <xdr:pic>
      <xdr:nvPicPr>
        <xdr:cNvPr id="14" name="Picture 5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41719500"/>
          <a:ext cx="2733674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219</xdr:row>
      <xdr:rowOff>47625</xdr:rowOff>
    </xdr:from>
    <xdr:to>
      <xdr:col>16</xdr:col>
      <xdr:colOff>342900</xdr:colOff>
      <xdr:row>222</xdr:row>
      <xdr:rowOff>9525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41709975"/>
          <a:ext cx="26384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76202</xdr:colOff>
      <xdr:row>255</xdr:row>
      <xdr:rowOff>57150</xdr:rowOff>
    </xdr:from>
    <xdr:to>
      <xdr:col>6</xdr:col>
      <xdr:colOff>361950</xdr:colOff>
      <xdr:row>257</xdr:row>
      <xdr:rowOff>161925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7" y="48663225"/>
          <a:ext cx="2600323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255</xdr:row>
      <xdr:rowOff>47625</xdr:rowOff>
    </xdr:from>
    <xdr:to>
      <xdr:col>16</xdr:col>
      <xdr:colOff>304800</xdr:colOff>
      <xdr:row>257</xdr:row>
      <xdr:rowOff>161925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48653700"/>
          <a:ext cx="2600324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292</xdr:row>
      <xdr:rowOff>57150</xdr:rowOff>
    </xdr:from>
    <xdr:to>
      <xdr:col>6</xdr:col>
      <xdr:colOff>400050</xdr:colOff>
      <xdr:row>294</xdr:row>
      <xdr:rowOff>123825</xdr:rowOff>
    </xdr:to>
    <xdr:pic>
      <xdr:nvPicPr>
        <xdr:cNvPr id="18" name="Picture 5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55606950"/>
          <a:ext cx="271462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292</xdr:row>
      <xdr:rowOff>47625</xdr:rowOff>
    </xdr:from>
    <xdr:to>
      <xdr:col>16</xdr:col>
      <xdr:colOff>381000</xdr:colOff>
      <xdr:row>294</xdr:row>
      <xdr:rowOff>171450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55597425"/>
          <a:ext cx="26765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104778</xdr:colOff>
      <xdr:row>329</xdr:row>
      <xdr:rowOff>38100</xdr:rowOff>
    </xdr:from>
    <xdr:to>
      <xdr:col>6</xdr:col>
      <xdr:colOff>266700</xdr:colOff>
      <xdr:row>331</xdr:row>
      <xdr:rowOff>161925</xdr:rowOff>
    </xdr:to>
    <xdr:pic>
      <xdr:nvPicPr>
        <xdr:cNvPr id="20" name="Picture 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3" y="62531625"/>
          <a:ext cx="2476497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329</xdr:row>
      <xdr:rowOff>47625</xdr:rowOff>
    </xdr:from>
    <xdr:to>
      <xdr:col>16</xdr:col>
      <xdr:colOff>428625</xdr:colOff>
      <xdr:row>331</xdr:row>
      <xdr:rowOff>152401</xdr:rowOff>
    </xdr:to>
    <xdr:pic>
      <xdr:nvPicPr>
        <xdr:cNvPr id="21" name="Picture 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62541150"/>
          <a:ext cx="2724149" cy="485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366</xdr:row>
      <xdr:rowOff>57150</xdr:rowOff>
    </xdr:from>
    <xdr:to>
      <xdr:col>6</xdr:col>
      <xdr:colOff>95251</xdr:colOff>
      <xdr:row>368</xdr:row>
      <xdr:rowOff>152400</xdr:rowOff>
    </xdr:to>
    <xdr:pic>
      <xdr:nvPicPr>
        <xdr:cNvPr id="24" name="Picture 5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69494400"/>
          <a:ext cx="240982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366</xdr:row>
      <xdr:rowOff>47624</xdr:rowOff>
    </xdr:from>
    <xdr:to>
      <xdr:col>16</xdr:col>
      <xdr:colOff>114300</xdr:colOff>
      <xdr:row>368</xdr:row>
      <xdr:rowOff>161925</xdr:rowOff>
    </xdr:to>
    <xdr:pic>
      <xdr:nvPicPr>
        <xdr:cNvPr id="25" name="Picture 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69484874"/>
          <a:ext cx="2409825" cy="49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402</xdr:row>
      <xdr:rowOff>57150</xdr:rowOff>
    </xdr:from>
    <xdr:to>
      <xdr:col>6</xdr:col>
      <xdr:colOff>85725</xdr:colOff>
      <xdr:row>404</xdr:row>
      <xdr:rowOff>142875</xdr:rowOff>
    </xdr:to>
    <xdr:pic>
      <xdr:nvPicPr>
        <xdr:cNvPr id="26" name="Pictur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76638150"/>
          <a:ext cx="2400299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402</xdr:row>
      <xdr:rowOff>47625</xdr:rowOff>
    </xdr:from>
    <xdr:to>
      <xdr:col>16</xdr:col>
      <xdr:colOff>276226</xdr:colOff>
      <xdr:row>404</xdr:row>
      <xdr:rowOff>152401</xdr:rowOff>
    </xdr:to>
    <xdr:pic>
      <xdr:nvPicPr>
        <xdr:cNvPr id="27" name="Picture 5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76628625"/>
          <a:ext cx="2571750" cy="485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439</xdr:row>
      <xdr:rowOff>57150</xdr:rowOff>
    </xdr:from>
    <xdr:to>
      <xdr:col>6</xdr:col>
      <xdr:colOff>66675</xdr:colOff>
      <xdr:row>441</xdr:row>
      <xdr:rowOff>180975</xdr:rowOff>
    </xdr:to>
    <xdr:pic>
      <xdr:nvPicPr>
        <xdr:cNvPr id="28" name="Picture 5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83381850"/>
          <a:ext cx="2381248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439</xdr:row>
      <xdr:rowOff>47624</xdr:rowOff>
    </xdr:from>
    <xdr:to>
      <xdr:col>16</xdr:col>
      <xdr:colOff>438150</xdr:colOff>
      <xdr:row>441</xdr:row>
      <xdr:rowOff>142875</xdr:rowOff>
    </xdr:to>
    <xdr:pic>
      <xdr:nvPicPr>
        <xdr:cNvPr id="29" name="Picture 5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83372324"/>
          <a:ext cx="2733675" cy="476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47627</xdr:colOff>
      <xdr:row>475</xdr:row>
      <xdr:rowOff>57150</xdr:rowOff>
    </xdr:from>
    <xdr:to>
      <xdr:col>6</xdr:col>
      <xdr:colOff>428626</xdr:colOff>
      <xdr:row>477</xdr:row>
      <xdr:rowOff>152400</xdr:rowOff>
    </xdr:to>
    <xdr:pic>
      <xdr:nvPicPr>
        <xdr:cNvPr id="30" name="Picture 5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2" y="90325575"/>
          <a:ext cx="269557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475</xdr:row>
      <xdr:rowOff>47624</xdr:rowOff>
    </xdr:from>
    <xdr:to>
      <xdr:col>16</xdr:col>
      <xdr:colOff>447676</xdr:colOff>
      <xdr:row>477</xdr:row>
      <xdr:rowOff>142875</xdr:rowOff>
    </xdr:to>
    <xdr:pic>
      <xdr:nvPicPr>
        <xdr:cNvPr id="31" name="Picture 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90316049"/>
          <a:ext cx="2743200" cy="476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512</xdr:row>
      <xdr:rowOff>57150</xdr:rowOff>
    </xdr:from>
    <xdr:to>
      <xdr:col>6</xdr:col>
      <xdr:colOff>447675</xdr:colOff>
      <xdr:row>514</xdr:row>
      <xdr:rowOff>142875</xdr:rowOff>
    </xdr:to>
    <xdr:pic>
      <xdr:nvPicPr>
        <xdr:cNvPr id="34" name="Picture 5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97269300"/>
          <a:ext cx="2762249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512</xdr:row>
      <xdr:rowOff>47625</xdr:rowOff>
    </xdr:from>
    <xdr:to>
      <xdr:col>16</xdr:col>
      <xdr:colOff>457200</xdr:colOff>
      <xdr:row>515</xdr:row>
      <xdr:rowOff>1</xdr:rowOff>
    </xdr:to>
    <xdr:pic>
      <xdr:nvPicPr>
        <xdr:cNvPr id="35" name="Picture 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97259775"/>
          <a:ext cx="2752724" cy="523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548</xdr:row>
      <xdr:rowOff>57149</xdr:rowOff>
    </xdr:from>
    <xdr:to>
      <xdr:col>6</xdr:col>
      <xdr:colOff>219075</xdr:colOff>
      <xdr:row>551</xdr:row>
      <xdr:rowOff>9524</xdr:rowOff>
    </xdr:to>
    <xdr:pic>
      <xdr:nvPicPr>
        <xdr:cNvPr id="36" name="Picture 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104213024"/>
          <a:ext cx="2533649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548</xdr:row>
      <xdr:rowOff>47625</xdr:rowOff>
    </xdr:from>
    <xdr:to>
      <xdr:col>16</xdr:col>
      <xdr:colOff>495300</xdr:colOff>
      <xdr:row>550</xdr:row>
      <xdr:rowOff>171451</xdr:rowOff>
    </xdr:to>
    <xdr:pic>
      <xdr:nvPicPr>
        <xdr:cNvPr id="37" name="Picture 5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104203500"/>
          <a:ext cx="2790825" cy="504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584</xdr:row>
      <xdr:rowOff>57151</xdr:rowOff>
    </xdr:from>
    <xdr:to>
      <xdr:col>6</xdr:col>
      <xdr:colOff>228601</xdr:colOff>
      <xdr:row>586</xdr:row>
      <xdr:rowOff>152401</xdr:rowOff>
    </xdr:to>
    <xdr:pic>
      <xdr:nvPicPr>
        <xdr:cNvPr id="38" name="Picture 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111156751"/>
          <a:ext cx="254317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</xdr:colOff>
      <xdr:row>584</xdr:row>
      <xdr:rowOff>47624</xdr:rowOff>
    </xdr:from>
    <xdr:to>
      <xdr:col>16</xdr:col>
      <xdr:colOff>190500</xdr:colOff>
      <xdr:row>586</xdr:row>
      <xdr:rowOff>123825</xdr:rowOff>
    </xdr:to>
    <xdr:pic>
      <xdr:nvPicPr>
        <xdr:cNvPr id="39" name="Picture 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111147224"/>
          <a:ext cx="2486024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</xdr:colOff>
      <xdr:row>620</xdr:row>
      <xdr:rowOff>57150</xdr:rowOff>
    </xdr:from>
    <xdr:to>
      <xdr:col>6</xdr:col>
      <xdr:colOff>266701</xdr:colOff>
      <xdr:row>622</xdr:row>
      <xdr:rowOff>152400</xdr:rowOff>
    </xdr:to>
    <xdr:pic>
      <xdr:nvPicPr>
        <xdr:cNvPr id="40" name="Picture 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7" y="118100475"/>
          <a:ext cx="258127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INDOBOX/2022/GAJI%202022/YUNI%20FSC%20GAJI-DESEMBER-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GAJI%20PT.%20INDOBOX\GAJI%20KARYAWAN%202025\GAJI-%20JANUARI%20-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AHUN%202023/PPH%2021%20TAHUN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"/>
      <sheetName val="G-STAFF"/>
      <sheetName val="SLIP-STAFF"/>
      <sheetName val="G-KONTRAK"/>
      <sheetName val="SLIP-KONTK"/>
      <sheetName val="HL"/>
      <sheetName val="SLIP-HL"/>
      <sheetName val="Urutan Nm"/>
      <sheetName val="Uang Mkn"/>
      <sheetName val="Revisi Insentiv"/>
      <sheetName val="CICILAN"/>
    </sheetNames>
    <sheetDataSet>
      <sheetData sheetId="0">
        <row r="5">
          <cell r="B5" t="str">
            <v>ENANG BIN LAMIN</v>
          </cell>
        </row>
      </sheetData>
      <sheetData sheetId="1">
        <row r="8">
          <cell r="B8" t="str">
            <v>EDDY SILALAHI, SE</v>
          </cell>
        </row>
      </sheetData>
      <sheetData sheetId="2"/>
      <sheetData sheetId="3">
        <row r="7">
          <cell r="A7">
            <v>1</v>
          </cell>
        </row>
      </sheetData>
      <sheetData sheetId="4"/>
      <sheetData sheetId="5"/>
      <sheetData sheetId="6"/>
      <sheetData sheetId="7">
        <row r="4">
          <cell r="H4" t="str">
            <v>KAS NON SHIFT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"/>
      <sheetName val="G-STAFF"/>
      <sheetName val="SLIP-STAFF"/>
      <sheetName val="G-KONTRAK"/>
      <sheetName val="SLIP-KONTK"/>
      <sheetName val="Urutan Nm"/>
      <sheetName val="Uang Mkn"/>
      <sheetName val="Revisi Insentiv"/>
      <sheetName val="CICILAN"/>
      <sheetName val="Sheet1"/>
    </sheetNames>
    <sheetDataSet>
      <sheetData sheetId="0" refreshError="1"/>
      <sheetData sheetId="1" refreshError="1">
        <row r="3">
          <cell r="A3" t="str">
            <v>01 JANUARI  S/D  31 JANUARI  2025</v>
          </cell>
        </row>
        <row r="8">
          <cell r="A8">
            <v>1</v>
          </cell>
          <cell r="B8" t="str">
            <v>EDDY SILALAHI, SE</v>
          </cell>
          <cell r="C8" t="str">
            <v>K1</v>
          </cell>
          <cell r="H8" t="str">
            <v>CHIEF ACC.</v>
          </cell>
          <cell r="J8">
            <v>8500000</v>
          </cell>
          <cell r="M8">
            <v>0</v>
          </cell>
          <cell r="CG8">
            <v>0</v>
          </cell>
          <cell r="CH8">
            <v>0</v>
          </cell>
          <cell r="CI8">
            <v>0</v>
          </cell>
          <cell r="CN8">
            <v>0</v>
          </cell>
          <cell r="CO8">
            <v>0</v>
          </cell>
          <cell r="CP8">
            <v>0</v>
          </cell>
        </row>
        <row r="9">
          <cell r="A9">
            <v>2</v>
          </cell>
          <cell r="B9" t="str">
            <v>KUSUMA DWI PRABASARI</v>
          </cell>
          <cell r="C9" t="str">
            <v>TK</v>
          </cell>
          <cell r="H9" t="str">
            <v>PPIC/MARKETING</v>
          </cell>
          <cell r="M9">
            <v>0</v>
          </cell>
          <cell r="CG9">
            <v>0</v>
          </cell>
          <cell r="CH9">
            <v>0</v>
          </cell>
        </row>
        <row r="10">
          <cell r="A10">
            <v>3</v>
          </cell>
          <cell r="B10" t="str">
            <v>ERNI NURAENI</v>
          </cell>
          <cell r="C10" t="str">
            <v>TK</v>
          </cell>
          <cell r="H10" t="str">
            <v>PPIC/MARKETING</v>
          </cell>
          <cell r="M10">
            <v>0</v>
          </cell>
          <cell r="CG10">
            <v>0</v>
          </cell>
          <cell r="CH10">
            <v>0</v>
          </cell>
        </row>
        <row r="11">
          <cell r="A11">
            <v>4</v>
          </cell>
          <cell r="B11" t="str">
            <v>SRI WAHYUNI</v>
          </cell>
          <cell r="C11" t="str">
            <v>TK</v>
          </cell>
          <cell r="H11" t="str">
            <v>PERSONALIA</v>
          </cell>
          <cell r="M11">
            <v>0</v>
          </cell>
        </row>
        <row r="12">
          <cell r="A12">
            <v>5</v>
          </cell>
          <cell r="B12" t="str">
            <v>TUTI NUR PRATIWI</v>
          </cell>
          <cell r="C12" t="str">
            <v>K2</v>
          </cell>
          <cell r="H12" t="str">
            <v>FINANCE &amp; ACC</v>
          </cell>
          <cell r="M12">
            <v>0</v>
          </cell>
          <cell r="CG12">
            <v>0</v>
          </cell>
          <cell r="CH12">
            <v>0</v>
          </cell>
          <cell r="CI12">
            <v>0</v>
          </cell>
        </row>
        <row r="13">
          <cell r="A13">
            <v>6</v>
          </cell>
          <cell r="B13" t="str">
            <v>UJANG SAILAN</v>
          </cell>
          <cell r="C13" t="str">
            <v>K1</v>
          </cell>
          <cell r="H13" t="str">
            <v>PURCHASING</v>
          </cell>
          <cell r="M13">
            <v>0</v>
          </cell>
        </row>
        <row r="14">
          <cell r="A14">
            <v>7</v>
          </cell>
          <cell r="B14" t="str">
            <v>INDRA WIJAYA</v>
          </cell>
          <cell r="C14" t="str">
            <v>K2</v>
          </cell>
          <cell r="H14" t="str">
            <v>LEADER SHIFT 1</v>
          </cell>
          <cell r="M14">
            <v>0</v>
          </cell>
          <cell r="CG14">
            <v>0</v>
          </cell>
          <cell r="CH14">
            <v>0</v>
          </cell>
          <cell r="CI14">
            <v>0</v>
          </cell>
        </row>
        <row r="15">
          <cell r="A15">
            <v>8</v>
          </cell>
          <cell r="B15" t="str">
            <v>SANAN</v>
          </cell>
          <cell r="C15" t="str">
            <v>K1</v>
          </cell>
          <cell r="H15" t="str">
            <v>LEADER SHIFT 2</v>
          </cell>
          <cell r="M15">
            <v>0</v>
          </cell>
        </row>
        <row r="16">
          <cell r="A16">
            <v>9</v>
          </cell>
          <cell r="B16" t="str">
            <v>ABDUROHMAT YUSUP</v>
          </cell>
          <cell r="C16" t="str">
            <v>K2</v>
          </cell>
          <cell r="H16" t="str">
            <v>LEADER DELIVERY 1</v>
          </cell>
          <cell r="M16">
            <v>0</v>
          </cell>
        </row>
        <row r="17">
          <cell r="A17">
            <v>10</v>
          </cell>
          <cell r="B17" t="str">
            <v>MUH. ARIF ROPIUDIN</v>
          </cell>
          <cell r="C17" t="str">
            <v>K1</v>
          </cell>
          <cell r="H17" t="str">
            <v>CHECKER DELIVERY</v>
          </cell>
          <cell r="M17">
            <v>0</v>
          </cell>
        </row>
        <row r="18">
          <cell r="A18">
            <v>11</v>
          </cell>
          <cell r="B18" t="str">
            <v>MANSUR</v>
          </cell>
          <cell r="C18" t="str">
            <v>K3</v>
          </cell>
          <cell r="H18" t="str">
            <v>LEADER DELIVERY 2</v>
          </cell>
          <cell r="M18">
            <v>0</v>
          </cell>
          <cell r="CH18">
            <v>0</v>
          </cell>
        </row>
        <row r="19">
          <cell r="B19" t="str">
            <v>SUMIYATI</v>
          </cell>
          <cell r="C19" t="str">
            <v>TK</v>
          </cell>
          <cell r="H19" t="str">
            <v>PURCHASING</v>
          </cell>
          <cell r="CG19">
            <v>0</v>
          </cell>
          <cell r="CH19">
            <v>0</v>
          </cell>
        </row>
        <row r="20">
          <cell r="A20">
            <v>13</v>
          </cell>
          <cell r="B20" t="str">
            <v>ENCEP IMAN</v>
          </cell>
          <cell r="C20" t="str">
            <v>K</v>
          </cell>
          <cell r="H20" t="str">
            <v>LEADER FINISHING</v>
          </cell>
        </row>
        <row r="21">
          <cell r="A21">
            <v>14</v>
          </cell>
          <cell r="B21" t="str">
            <v>RINA AULIA KRESNA R</v>
          </cell>
          <cell r="C21" t="str">
            <v>TK</v>
          </cell>
          <cell r="H21" t="str">
            <v>ACCOUNTING</v>
          </cell>
        </row>
        <row r="22">
          <cell r="A22">
            <v>15</v>
          </cell>
          <cell r="B22" t="str">
            <v>LUTHFYA BILQIS</v>
          </cell>
          <cell r="C22" t="str">
            <v>TK</v>
          </cell>
          <cell r="H22" t="str">
            <v>ADM BC</v>
          </cell>
        </row>
        <row r="23">
          <cell r="A23">
            <v>16</v>
          </cell>
          <cell r="B23" t="str">
            <v>IBNU NURDIANSYAH</v>
          </cell>
          <cell r="C23" t="str">
            <v>TK</v>
          </cell>
          <cell r="H23" t="str">
            <v>ADM PRODUKSI</v>
          </cell>
        </row>
        <row r="24">
          <cell r="A24">
            <v>17</v>
          </cell>
          <cell r="B24" t="str">
            <v>VIRYA ADELIA SAVITRI</v>
          </cell>
          <cell r="C24" t="str">
            <v>TK</v>
          </cell>
          <cell r="H24" t="str">
            <v>ADM FAKTUR</v>
          </cell>
        </row>
        <row r="25">
          <cell r="A25">
            <v>18</v>
          </cell>
          <cell r="B25" t="str">
            <v>ZASKIA EVA</v>
          </cell>
          <cell r="C25" t="str">
            <v>TK</v>
          </cell>
          <cell r="H25" t="str">
            <v>PPIC/MARKETING</v>
          </cell>
        </row>
        <row r="30">
          <cell r="CG30">
            <v>0</v>
          </cell>
          <cell r="CI30">
            <v>0</v>
          </cell>
        </row>
        <row r="33">
          <cell r="A33">
            <v>0</v>
          </cell>
        </row>
        <row r="35">
          <cell r="A35">
            <v>1</v>
          </cell>
          <cell r="B35" t="str">
            <v>DEDE IRAWAN</v>
          </cell>
          <cell r="C35" t="str">
            <v>K1</v>
          </cell>
          <cell r="H35" t="str">
            <v>SECURITY</v>
          </cell>
          <cell r="I35">
            <v>0</v>
          </cell>
          <cell r="J35">
            <v>4813937</v>
          </cell>
          <cell r="M35">
            <v>27826.225433526011</v>
          </cell>
          <cell r="Q35">
            <v>0</v>
          </cell>
          <cell r="R35">
            <v>192557.48</v>
          </cell>
          <cell r="U35">
            <v>160464.56666666668</v>
          </cell>
          <cell r="V35">
            <v>0</v>
          </cell>
          <cell r="Z35">
            <v>31</v>
          </cell>
          <cell r="CG35">
            <v>0</v>
          </cell>
          <cell r="CH35">
            <v>0</v>
          </cell>
          <cell r="CI35">
            <v>0</v>
          </cell>
        </row>
        <row r="36">
          <cell r="A36">
            <v>2</v>
          </cell>
          <cell r="B36" t="str">
            <v>DONI IMAM SAPUTRO</v>
          </cell>
          <cell r="C36" t="str">
            <v>TK</v>
          </cell>
          <cell r="H36" t="str">
            <v>SECURITY</v>
          </cell>
          <cell r="I36">
            <v>0</v>
          </cell>
          <cell r="J36">
            <v>3534310</v>
          </cell>
          <cell r="M36">
            <v>20429.537572254336</v>
          </cell>
          <cell r="Q36">
            <v>0</v>
          </cell>
          <cell r="R36">
            <v>180808.48</v>
          </cell>
          <cell r="U36">
            <v>117810.33333333333</v>
          </cell>
          <cell r="V36">
            <v>0</v>
          </cell>
          <cell r="Z36">
            <v>31</v>
          </cell>
          <cell r="CG36">
            <v>0</v>
          </cell>
          <cell r="CH36">
            <v>0</v>
          </cell>
          <cell r="CI36">
            <v>0</v>
          </cell>
        </row>
        <row r="37">
          <cell r="A37">
            <v>3</v>
          </cell>
          <cell r="B37" t="str">
            <v>ANDIKA WIJAYA</v>
          </cell>
          <cell r="C37" t="str">
            <v>K1</v>
          </cell>
          <cell r="I37">
            <v>0</v>
          </cell>
          <cell r="J37">
            <v>3826588</v>
          </cell>
          <cell r="M37">
            <v>22119.005780346823</v>
          </cell>
          <cell r="Q37">
            <v>0</v>
          </cell>
          <cell r="R37">
            <v>180808.48</v>
          </cell>
          <cell r="U37">
            <v>127552.93333333333</v>
          </cell>
          <cell r="V37">
            <v>0</v>
          </cell>
          <cell r="Z37">
            <v>31</v>
          </cell>
          <cell r="CG37">
            <v>0</v>
          </cell>
          <cell r="CH37">
            <v>0</v>
          </cell>
          <cell r="CI37">
            <v>0</v>
          </cell>
        </row>
        <row r="38">
          <cell r="A38">
            <v>4</v>
          </cell>
          <cell r="B38" t="str">
            <v>SAMANHUDI</v>
          </cell>
          <cell r="C38" t="str">
            <v>K</v>
          </cell>
          <cell r="H38" t="str">
            <v>SECURITY</v>
          </cell>
          <cell r="I38">
            <v>0</v>
          </cell>
          <cell r="J38">
            <v>4254440</v>
          </cell>
          <cell r="M38">
            <v>24592.138728323698</v>
          </cell>
          <cell r="Q38">
            <v>0</v>
          </cell>
          <cell r="R38">
            <v>180808.48</v>
          </cell>
          <cell r="U38">
            <v>141814.66666666666</v>
          </cell>
          <cell r="V38">
            <v>0</v>
          </cell>
          <cell r="Z38">
            <v>31</v>
          </cell>
          <cell r="CG38">
            <v>0</v>
          </cell>
          <cell r="CH38">
            <v>0</v>
          </cell>
          <cell r="CI38">
            <v>0</v>
          </cell>
        </row>
        <row r="39">
          <cell r="A39">
            <v>5</v>
          </cell>
          <cell r="B39" t="str">
            <v>HASAN NURDIANSYAH</v>
          </cell>
          <cell r="C39" t="str">
            <v>K1</v>
          </cell>
          <cell r="H39" t="str">
            <v>MECHANIK</v>
          </cell>
          <cell r="I39">
            <v>300000</v>
          </cell>
          <cell r="J39">
            <v>5357814</v>
          </cell>
          <cell r="M39">
            <v>30970.023121387283</v>
          </cell>
          <cell r="Q39">
            <v>15977.794963499997</v>
          </cell>
          <cell r="R39">
            <v>214312.56</v>
          </cell>
          <cell r="Z39">
            <v>24</v>
          </cell>
          <cell r="CG39">
            <v>0</v>
          </cell>
          <cell r="CH39">
            <v>0</v>
          </cell>
          <cell r="CI39">
            <v>0</v>
          </cell>
        </row>
        <row r="40">
          <cell r="A40">
            <v>6</v>
          </cell>
          <cell r="B40" t="str">
            <v>SUTRIS</v>
          </cell>
          <cell r="C40" t="str">
            <v>K1</v>
          </cell>
          <cell r="H40" t="str">
            <v>DRIVER</v>
          </cell>
          <cell r="I40">
            <v>100000</v>
          </cell>
          <cell r="J40">
            <v>3927204</v>
          </cell>
          <cell r="M40">
            <v>25222.890173410404</v>
          </cell>
          <cell r="Q40">
            <v>14648.867118549098</v>
          </cell>
          <cell r="R40">
            <v>180808.48</v>
          </cell>
          <cell r="W40">
            <v>27</v>
          </cell>
          <cell r="X40">
            <v>145452</v>
          </cell>
          <cell r="Z40">
            <v>19</v>
          </cell>
          <cell r="CG40">
            <v>53.5</v>
          </cell>
          <cell r="CH40">
            <v>10</v>
          </cell>
          <cell r="CI40">
            <v>63.5</v>
          </cell>
        </row>
        <row r="41">
          <cell r="A41">
            <v>7</v>
          </cell>
          <cell r="B41" t="str">
            <v>SUCIPTO</v>
          </cell>
          <cell r="C41" t="str">
            <v>K</v>
          </cell>
          <cell r="H41" t="str">
            <v>DRIVER</v>
          </cell>
          <cell r="I41">
            <v>0</v>
          </cell>
          <cell r="J41">
            <v>4072656</v>
          </cell>
          <cell r="M41">
            <v>25222.890173410404</v>
          </cell>
          <cell r="Q41">
            <v>24461.007927797735</v>
          </cell>
          <cell r="R41">
            <v>180808.48</v>
          </cell>
          <cell r="W41">
            <v>28</v>
          </cell>
          <cell r="X41">
            <v>145452</v>
          </cell>
          <cell r="Z41">
            <v>20</v>
          </cell>
          <cell r="CG41">
            <v>44</v>
          </cell>
          <cell r="CH41">
            <v>10</v>
          </cell>
          <cell r="CI41">
            <v>54</v>
          </cell>
        </row>
        <row r="42">
          <cell r="A42">
            <v>8</v>
          </cell>
          <cell r="B42" t="str">
            <v>UDI</v>
          </cell>
          <cell r="C42" t="str">
            <v>K1</v>
          </cell>
          <cell r="H42" t="str">
            <v>DRIVER</v>
          </cell>
          <cell r="I42">
            <v>0</v>
          </cell>
          <cell r="J42">
            <v>3776166</v>
          </cell>
          <cell r="M42">
            <v>24252.832369942196</v>
          </cell>
          <cell r="Q42">
            <v>155034.91284109247</v>
          </cell>
          <cell r="R42">
            <v>180808.48</v>
          </cell>
          <cell r="W42">
            <v>27</v>
          </cell>
          <cell r="X42">
            <v>139858</v>
          </cell>
          <cell r="Z42">
            <v>18</v>
          </cell>
          <cell r="CG42">
            <v>166.5</v>
          </cell>
          <cell r="CH42">
            <v>32</v>
          </cell>
          <cell r="CI42">
            <v>198.5</v>
          </cell>
        </row>
        <row r="43">
          <cell r="A43">
            <v>9</v>
          </cell>
          <cell r="B43" t="str">
            <v>ANDI</v>
          </cell>
          <cell r="C43" t="str">
            <v>K1</v>
          </cell>
          <cell r="H43" t="str">
            <v>DRIVER</v>
          </cell>
          <cell r="I43">
            <v>0</v>
          </cell>
          <cell r="J43">
            <v>3916024</v>
          </cell>
          <cell r="M43">
            <v>24252.832369942196</v>
          </cell>
          <cell r="Q43">
            <v>36679.128245716791</v>
          </cell>
          <cell r="R43">
            <v>180808.48</v>
          </cell>
          <cell r="W43">
            <v>28</v>
          </cell>
          <cell r="X43">
            <v>139858</v>
          </cell>
          <cell r="Z43">
            <v>20</v>
          </cell>
          <cell r="CG43">
            <v>79.5</v>
          </cell>
          <cell r="CH43">
            <v>10</v>
          </cell>
          <cell r="CI43">
            <v>89.5</v>
          </cell>
        </row>
        <row r="44">
          <cell r="A44">
            <v>10</v>
          </cell>
          <cell r="B44" t="str">
            <v>OMAN HERMAWAN</v>
          </cell>
          <cell r="C44" t="str">
            <v>K2</v>
          </cell>
          <cell r="H44" t="str">
            <v>DRIVER</v>
          </cell>
          <cell r="I44">
            <v>0</v>
          </cell>
          <cell r="J44">
            <v>3700647</v>
          </cell>
          <cell r="M44">
            <v>23767.803468208094</v>
          </cell>
          <cell r="Q44">
            <v>0</v>
          </cell>
          <cell r="R44">
            <v>180808.48</v>
          </cell>
          <cell r="W44">
            <v>27</v>
          </cell>
          <cell r="X44">
            <v>137061</v>
          </cell>
          <cell r="Z44">
            <v>19</v>
          </cell>
          <cell r="CG44">
            <v>57</v>
          </cell>
          <cell r="CH44">
            <v>10</v>
          </cell>
          <cell r="CI44">
            <v>67</v>
          </cell>
        </row>
        <row r="45">
          <cell r="A45">
            <v>11</v>
          </cell>
          <cell r="B45" t="str">
            <v>ZULKARNAEN</v>
          </cell>
          <cell r="C45" t="str">
            <v>K2</v>
          </cell>
          <cell r="H45" t="str">
            <v>DRIVER</v>
          </cell>
          <cell r="I45">
            <v>0</v>
          </cell>
          <cell r="J45">
            <v>3781752</v>
          </cell>
          <cell r="M45">
            <v>25222.890173410404</v>
          </cell>
          <cell r="Q45">
            <v>0</v>
          </cell>
          <cell r="R45">
            <v>180808.48</v>
          </cell>
          <cell r="W45">
            <v>26</v>
          </cell>
          <cell r="X45">
            <v>145452</v>
          </cell>
          <cell r="Z45">
            <v>18</v>
          </cell>
          <cell r="CG45">
            <v>55</v>
          </cell>
          <cell r="CH45">
            <v>10</v>
          </cell>
          <cell r="CI45">
            <v>65</v>
          </cell>
        </row>
        <row r="46">
          <cell r="A46">
            <v>12</v>
          </cell>
          <cell r="B46" t="str">
            <v>NOVA SUGANDI</v>
          </cell>
          <cell r="C46" t="str">
            <v>K</v>
          </cell>
          <cell r="H46" t="str">
            <v>DRIVER</v>
          </cell>
          <cell r="I46">
            <v>0</v>
          </cell>
          <cell r="J46">
            <v>4072656</v>
          </cell>
          <cell r="M46">
            <v>25222.890173410404</v>
          </cell>
          <cell r="Q46">
            <v>63398.844633000037</v>
          </cell>
          <cell r="R46">
            <v>180808.48</v>
          </cell>
          <cell r="W46">
            <v>28</v>
          </cell>
          <cell r="X46">
            <v>145452</v>
          </cell>
          <cell r="Z46">
            <v>20</v>
          </cell>
          <cell r="CG46">
            <v>76.5</v>
          </cell>
          <cell r="CH46">
            <v>10</v>
          </cell>
          <cell r="CI46">
            <v>86.5</v>
          </cell>
        </row>
        <row r="47">
          <cell r="A47">
            <v>13</v>
          </cell>
          <cell r="B47" t="str">
            <v>JAMALUDIN</v>
          </cell>
          <cell r="C47" t="str">
            <v>K2</v>
          </cell>
          <cell r="H47" t="str">
            <v>DRIVER</v>
          </cell>
          <cell r="I47">
            <v>0</v>
          </cell>
          <cell r="J47">
            <v>3324720</v>
          </cell>
          <cell r="K47">
            <v>0</v>
          </cell>
          <cell r="M47">
            <v>20590.751445086706</v>
          </cell>
          <cell r="Q47">
            <v>15352.315846872889</v>
          </cell>
          <cell r="R47">
            <v>180808</v>
          </cell>
          <cell r="W47">
            <v>28</v>
          </cell>
          <cell r="X47">
            <v>118740</v>
          </cell>
          <cell r="Z47">
            <v>20</v>
          </cell>
          <cell r="CG47">
            <v>121.5</v>
          </cell>
          <cell r="CH47">
            <v>10</v>
          </cell>
          <cell r="CI47">
            <v>131.5</v>
          </cell>
        </row>
      </sheetData>
      <sheetData sheetId="2" refreshError="1"/>
      <sheetData sheetId="3" refreshError="1"/>
      <sheetData sheetId="4" refreshError="1"/>
      <sheetData sheetId="5" refreshError="1">
        <row r="68">
          <cell r="H68">
            <v>10000</v>
          </cell>
        </row>
        <row r="69">
          <cell r="H69">
            <v>10000</v>
          </cell>
        </row>
        <row r="70">
          <cell r="H70">
            <v>10000</v>
          </cell>
        </row>
        <row r="71">
          <cell r="H71">
            <v>10000</v>
          </cell>
        </row>
        <row r="72">
          <cell r="H72">
            <v>10000</v>
          </cell>
        </row>
        <row r="73">
          <cell r="H73">
            <v>10000</v>
          </cell>
        </row>
        <row r="74">
          <cell r="H74">
            <v>10000</v>
          </cell>
        </row>
        <row r="75">
          <cell r="H75">
            <v>10000</v>
          </cell>
        </row>
        <row r="76">
          <cell r="H76">
            <v>10000</v>
          </cell>
        </row>
        <row r="77">
          <cell r="H77">
            <v>10000</v>
          </cell>
        </row>
        <row r="78">
          <cell r="H78">
            <v>10000</v>
          </cell>
        </row>
        <row r="79">
          <cell r="H79">
            <v>10000</v>
          </cell>
        </row>
        <row r="80">
          <cell r="H80">
            <v>10000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RODUKSI"/>
      <sheetName val="PPH YANG HRS DI BAYAR"/>
      <sheetName val="EQUALISASI"/>
      <sheetName val="SPT PPH 21-SATU TAHUN"/>
      <sheetName val="Sheet1"/>
    </sheetNames>
    <sheetDataSet>
      <sheetData sheetId="0">
        <row r="27">
          <cell r="AA27">
            <v>4421499.4866599999</v>
          </cell>
        </row>
        <row r="28">
          <cell r="AA28">
            <v>3566416.83666</v>
          </cell>
        </row>
        <row r="29">
          <cell r="AA29">
            <v>3936952.9366600001</v>
          </cell>
        </row>
        <row r="30">
          <cell r="AA30">
            <v>3313294.08666</v>
          </cell>
        </row>
        <row r="31">
          <cell r="AA31">
            <v>5221078.2100600004</v>
          </cell>
        </row>
        <row r="32">
          <cell r="AA32">
            <v>4711818.5366600007</v>
          </cell>
        </row>
        <row r="33">
          <cell r="AA33">
            <v>4978452.1866600001</v>
          </cell>
        </row>
        <row r="34">
          <cell r="AA34">
            <v>4530644.0366600007</v>
          </cell>
        </row>
        <row r="35">
          <cell r="AA35">
            <v>8828827.3616599999</v>
          </cell>
        </row>
        <row r="36">
          <cell r="AA36">
            <v>4457787.5866600005</v>
          </cell>
        </row>
        <row r="37">
          <cell r="AA37">
            <v>4689626.5366600007</v>
          </cell>
        </row>
        <row r="38">
          <cell r="AA38">
            <v>4815121.0616600001</v>
          </cell>
        </row>
        <row r="39">
          <cell r="AA39">
            <v>4097489.6366600003</v>
          </cell>
        </row>
        <row r="40">
          <cell r="AA40">
            <v>5027362.9366600001</v>
          </cell>
        </row>
      </sheetData>
      <sheetData sheetId="1">
        <row r="45">
          <cell r="AF45">
            <v>64458.333333333336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zoomScale="80" zoomScaleNormal="80" workbookViewId="0">
      <selection activeCell="N20" sqref="N20"/>
    </sheetView>
  </sheetViews>
  <sheetFormatPr defaultColWidth="9.140625" defaultRowHeight="15" customHeight="1"/>
  <cols>
    <col min="1" max="1" width="4.85546875" style="148" customWidth="1"/>
    <col min="2" max="2" width="28.28515625" style="152" customWidth="1"/>
    <col min="3" max="3" width="19.7109375" style="152" customWidth="1"/>
    <col min="4" max="4" width="4.7109375" style="162" customWidth="1"/>
    <col min="5" max="5" width="18.7109375" style="152" customWidth="1"/>
    <col min="6" max="6" width="13.7109375" style="163" customWidth="1"/>
    <col min="7" max="7" width="11.7109375" style="164" customWidth="1"/>
    <col min="8" max="8" width="12.7109375" style="164" customWidth="1"/>
    <col min="9" max="9" width="11.28515625" style="164" customWidth="1"/>
    <col min="10" max="10" width="11.5703125" style="164" customWidth="1"/>
    <col min="11" max="11" width="10.7109375" style="163" customWidth="1"/>
    <col min="12" max="12" width="13.7109375" style="164" customWidth="1"/>
    <col min="13" max="13" width="13.7109375" style="163" customWidth="1"/>
    <col min="14" max="14" width="15.140625" style="164" customWidth="1"/>
    <col min="15" max="15" width="3.85546875" style="148" customWidth="1"/>
    <col min="16" max="17" width="13.85546875" style="148" bestFit="1" customWidth="1"/>
    <col min="18" max="18" width="13" style="148" bestFit="1" customWidth="1"/>
    <col min="19" max="19" width="13.85546875" style="148" bestFit="1" customWidth="1"/>
    <col min="20" max="20" width="10.85546875" style="148" bestFit="1" customWidth="1"/>
    <col min="21" max="21" width="15.42578125" style="148" bestFit="1" customWidth="1"/>
    <col min="22" max="22" width="16.42578125" style="148" bestFit="1" customWidth="1"/>
    <col min="23" max="23" width="12.140625" style="148" bestFit="1" customWidth="1"/>
    <col min="24" max="24" width="13.85546875" style="148" bestFit="1" customWidth="1"/>
    <col min="25" max="25" width="11.85546875" style="148" bestFit="1" customWidth="1"/>
    <col min="26" max="26" width="14.5703125" style="148" bestFit="1" customWidth="1"/>
    <col min="27" max="27" width="15.5703125" style="148" bestFit="1" customWidth="1"/>
    <col min="28" max="28" width="11.42578125" style="148" bestFit="1" customWidth="1"/>
    <col min="29" max="29" width="26.140625" style="148" bestFit="1" customWidth="1"/>
    <col min="30" max="30" width="12" style="148" bestFit="1" customWidth="1"/>
    <col min="31" max="31" width="10.7109375" style="148" bestFit="1" customWidth="1"/>
    <col min="32" max="32" width="11.85546875" style="148" bestFit="1" customWidth="1"/>
    <col min="33" max="33" width="12.5703125" style="148" bestFit="1" customWidth="1"/>
    <col min="34" max="34" width="3.85546875" style="148" bestFit="1" customWidth="1"/>
    <col min="35" max="35" width="12.140625" style="148" bestFit="1" customWidth="1"/>
    <col min="36" max="36" width="9.42578125" style="148" bestFit="1" customWidth="1"/>
    <col min="37" max="37" width="9.28515625" style="148" bestFit="1" customWidth="1"/>
    <col min="38" max="38" width="9.42578125" style="148" bestFit="1" customWidth="1"/>
    <col min="39" max="39" width="9.28515625" style="148" bestFit="1" customWidth="1"/>
    <col min="40" max="41" width="10.7109375" style="148" bestFit="1" customWidth="1"/>
    <col min="42" max="42" width="12" style="148" customWidth="1"/>
    <col min="43" max="43" width="13.85546875" style="148" bestFit="1" customWidth="1"/>
    <col min="44" max="44" width="13" style="148" bestFit="1" customWidth="1"/>
    <col min="45" max="45" width="9.85546875" style="148" bestFit="1" customWidth="1"/>
    <col min="46" max="46" width="10.85546875" style="148" bestFit="1" customWidth="1"/>
    <col min="47" max="47" width="15.140625" style="148" bestFit="1" customWidth="1"/>
    <col min="48" max="48" width="16.28515625" style="148" bestFit="1" customWidth="1"/>
    <col min="49" max="49" width="12.140625" style="148" bestFit="1" customWidth="1"/>
    <col min="50" max="50" width="13.85546875" style="148" bestFit="1" customWidth="1"/>
    <col min="51" max="51" width="11.85546875" style="148" bestFit="1" customWidth="1"/>
    <col min="52" max="53" width="9.42578125" style="148" bestFit="1" customWidth="1"/>
    <col min="54" max="54" width="9.140625" style="148"/>
    <col min="55" max="55" width="9.28515625" style="148" bestFit="1" customWidth="1"/>
    <col min="56" max="56" width="9.140625" style="148"/>
    <col min="57" max="59" width="10.140625" style="148" bestFit="1" customWidth="1"/>
    <col min="60" max="62" width="9.28515625" style="148" bestFit="1" customWidth="1"/>
    <col min="63" max="65" width="10.140625" style="148" bestFit="1" customWidth="1"/>
    <col min="66" max="71" width="9.140625" style="148"/>
    <col min="72" max="74" width="9.28515625" style="148" bestFit="1" customWidth="1"/>
    <col min="75" max="16384" width="9.140625" style="148"/>
  </cols>
  <sheetData>
    <row r="1" spans="1:15" ht="15" customHeight="1">
      <c r="A1" s="41" t="s">
        <v>243</v>
      </c>
      <c r="B1" s="41"/>
      <c r="C1" s="41"/>
      <c r="D1" s="41"/>
      <c r="E1" s="41"/>
      <c r="F1" s="41"/>
      <c r="G1" s="148"/>
      <c r="H1" s="148"/>
      <c r="I1" s="148"/>
      <c r="J1" s="148"/>
      <c r="K1" s="148"/>
      <c r="L1" s="148"/>
      <c r="M1" s="148"/>
      <c r="N1" s="148"/>
    </row>
    <row r="2" spans="1:15" ht="15" customHeight="1">
      <c r="A2" s="41" t="s">
        <v>234</v>
      </c>
      <c r="B2" s="41"/>
      <c r="C2" s="41"/>
      <c r="D2" s="41"/>
      <c r="E2" s="41"/>
      <c r="F2" s="41"/>
      <c r="G2" s="148"/>
      <c r="H2" s="148"/>
      <c r="I2" s="148"/>
      <c r="J2" s="148"/>
      <c r="K2" s="148"/>
      <c r="L2" s="148"/>
      <c r="M2" s="148"/>
      <c r="N2" s="148"/>
    </row>
    <row r="3" spans="1:15" ht="15" customHeight="1">
      <c r="A3" s="240" t="s">
        <v>364</v>
      </c>
      <c r="B3" s="240"/>
      <c r="C3" s="240"/>
      <c r="D3" s="240"/>
      <c r="E3" s="240"/>
      <c r="F3" s="240"/>
      <c r="G3" s="148"/>
      <c r="H3" s="148"/>
      <c r="I3" s="148"/>
      <c r="J3" s="148"/>
      <c r="K3" s="148"/>
      <c r="L3" s="148"/>
      <c r="M3" s="148"/>
      <c r="N3" s="148"/>
    </row>
    <row r="4" spans="1:15" ht="15" customHeight="1">
      <c r="A4" s="149"/>
      <c r="B4" s="150"/>
      <c r="C4" s="150"/>
      <c r="D4" s="149"/>
      <c r="E4" s="149"/>
      <c r="F4" s="151"/>
      <c r="G4" s="148"/>
      <c r="H4" s="148"/>
      <c r="I4" s="148"/>
      <c r="J4" s="148"/>
      <c r="K4" s="148"/>
      <c r="L4" s="148"/>
      <c r="M4" s="148"/>
      <c r="N4" s="148"/>
    </row>
    <row r="5" spans="1:15" s="152" customFormat="1" ht="15" customHeight="1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</row>
    <row r="6" spans="1:15" s="154" customFormat="1" ht="15" customHeight="1">
      <c r="A6" s="274" t="s">
        <v>82</v>
      </c>
      <c r="B6" s="274" t="s">
        <v>3</v>
      </c>
      <c r="C6" s="274" t="s">
        <v>97</v>
      </c>
      <c r="D6" s="274" t="s">
        <v>4</v>
      </c>
      <c r="E6" s="275" t="s">
        <v>251</v>
      </c>
      <c r="F6" s="276" t="s">
        <v>350</v>
      </c>
      <c r="G6" s="276" t="s">
        <v>103</v>
      </c>
      <c r="H6" s="276"/>
      <c r="I6" s="276"/>
      <c r="J6" s="276"/>
      <c r="K6" s="276" t="s">
        <v>146</v>
      </c>
      <c r="L6" s="276" t="s">
        <v>110</v>
      </c>
      <c r="M6" s="98"/>
      <c r="N6" s="276" t="s">
        <v>115</v>
      </c>
      <c r="O6" s="153"/>
    </row>
    <row r="7" spans="1:15" s="154" customFormat="1" ht="15" customHeight="1">
      <c r="A7" s="274"/>
      <c r="B7" s="274"/>
      <c r="C7" s="274"/>
      <c r="D7" s="274"/>
      <c r="E7" s="275"/>
      <c r="F7" s="276"/>
      <c r="G7" s="146" t="s">
        <v>106</v>
      </c>
      <c r="H7" s="146" t="s">
        <v>108</v>
      </c>
      <c r="I7" s="146" t="s">
        <v>107</v>
      </c>
      <c r="J7" s="146" t="s">
        <v>83</v>
      </c>
      <c r="K7" s="276"/>
      <c r="L7" s="276"/>
      <c r="M7" s="147" t="s">
        <v>1</v>
      </c>
      <c r="N7" s="276"/>
      <c r="O7" s="153"/>
    </row>
    <row r="8" spans="1:15" s="154" customFormat="1" ht="15" customHeight="1">
      <c r="A8" s="274"/>
      <c r="B8" s="274"/>
      <c r="C8" s="274"/>
      <c r="D8" s="274"/>
      <c r="E8" s="275"/>
      <c r="F8" s="276"/>
      <c r="G8" s="155">
        <v>1.1900000000000001E-2</v>
      </c>
      <c r="H8" s="155">
        <v>5.7000000000000002E-2</v>
      </c>
      <c r="I8" s="155">
        <v>0.02</v>
      </c>
      <c r="J8" s="156">
        <v>0.05</v>
      </c>
      <c r="K8" s="276"/>
      <c r="L8" s="276"/>
      <c r="M8" s="100"/>
      <c r="N8" s="276"/>
      <c r="O8" s="153"/>
    </row>
    <row r="9" spans="1:15" ht="15" customHeight="1">
      <c r="A9" s="157"/>
      <c r="B9" s="157"/>
      <c r="C9" s="157"/>
      <c r="D9" s="157"/>
      <c r="E9" s="157"/>
      <c r="F9" s="25"/>
      <c r="G9" s="158"/>
      <c r="H9" s="158"/>
      <c r="I9" s="158"/>
      <c r="J9" s="158"/>
      <c r="K9" s="158"/>
      <c r="L9" s="158"/>
      <c r="M9" s="158"/>
      <c r="N9" s="158"/>
    </row>
    <row r="10" spans="1:15" ht="15" customHeight="1">
      <c r="A10" s="17">
        <v>1</v>
      </c>
      <c r="B10" s="159" t="s">
        <v>187</v>
      </c>
      <c r="C10" s="18" t="s">
        <v>188</v>
      </c>
      <c r="D10" s="18" t="s">
        <v>7</v>
      </c>
      <c r="E10" s="242" t="s">
        <v>250</v>
      </c>
      <c r="F10" s="66">
        <f>270000000-5045000</f>
        <v>264955000</v>
      </c>
      <c r="G10" s="160">
        <v>595000</v>
      </c>
      <c r="H10" s="160">
        <v>2850000</v>
      </c>
      <c r="I10" s="160">
        <v>1000000</v>
      </c>
      <c r="J10" s="160">
        <v>600000</v>
      </c>
      <c r="K10" s="160">
        <f>SUM(G10:J10)</f>
        <v>5045000</v>
      </c>
      <c r="L10" s="160">
        <f>+F10+K10</f>
        <v>270000000</v>
      </c>
      <c r="M10" s="160">
        <v>75600000</v>
      </c>
      <c r="N10" s="160">
        <f>+F10-M10</f>
        <v>189355000</v>
      </c>
    </row>
    <row r="11" spans="1:15" ht="15" customHeight="1">
      <c r="A11" s="17"/>
      <c r="B11" s="161"/>
      <c r="C11" s="161"/>
      <c r="D11" s="17"/>
      <c r="E11" s="17"/>
      <c r="F11" s="66"/>
      <c r="G11" s="158"/>
      <c r="H11" s="158"/>
      <c r="I11" s="158"/>
      <c r="J11" s="158"/>
      <c r="K11" s="158"/>
      <c r="L11" s="158"/>
      <c r="M11" s="158"/>
      <c r="N11" s="158"/>
    </row>
    <row r="12" spans="1:15" ht="15" customHeight="1">
      <c r="A12" s="277" t="s">
        <v>11</v>
      </c>
      <c r="B12" s="277"/>
      <c r="C12" s="277"/>
      <c r="D12" s="277"/>
      <c r="E12" s="277"/>
      <c r="F12" s="40">
        <f t="shared" ref="F12:N12" si="0">SUM(F10:F11)</f>
        <v>264955000</v>
      </c>
      <c r="G12" s="40">
        <f t="shared" si="0"/>
        <v>595000</v>
      </c>
      <c r="H12" s="40">
        <f t="shared" si="0"/>
        <v>2850000</v>
      </c>
      <c r="I12" s="40">
        <f t="shared" si="0"/>
        <v>1000000</v>
      </c>
      <c r="J12" s="40">
        <f t="shared" si="0"/>
        <v>600000</v>
      </c>
      <c r="K12" s="40">
        <f t="shared" si="0"/>
        <v>5045000</v>
      </c>
      <c r="L12" s="40">
        <f t="shared" si="0"/>
        <v>270000000</v>
      </c>
      <c r="M12" s="40">
        <f t="shared" si="0"/>
        <v>75600000</v>
      </c>
      <c r="N12" s="40">
        <f t="shared" si="0"/>
        <v>189355000</v>
      </c>
    </row>
  </sheetData>
  <mergeCells count="11">
    <mergeCell ref="A12:E12"/>
    <mergeCell ref="G6:J6"/>
    <mergeCell ref="K6:K8"/>
    <mergeCell ref="L6:L8"/>
    <mergeCell ref="N6:N8"/>
    <mergeCell ref="A6:A8"/>
    <mergeCell ref="B6:B8"/>
    <mergeCell ref="C6:C8"/>
    <mergeCell ref="D6:D8"/>
    <mergeCell ref="E6:E8"/>
    <mergeCell ref="F6:F8"/>
  </mergeCells>
  <printOptions horizontalCentered="1"/>
  <pageMargins left="1.1811023622047245" right="0" top="1.1417322834645669" bottom="0.74803149606299213" header="0.31496062992125984" footer="0.31496062992125984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M39"/>
  <sheetViews>
    <sheetView showGridLines="0" zoomScale="80" zoomScaleNormal="80" workbookViewId="0">
      <selection activeCell="AD10" sqref="AD10"/>
    </sheetView>
  </sheetViews>
  <sheetFormatPr defaultColWidth="9.140625" defaultRowHeight="15" customHeight="1"/>
  <cols>
    <col min="1" max="1" width="4.85546875" style="44" customWidth="1"/>
    <col min="2" max="2" width="28.28515625" style="45" customWidth="1"/>
    <col min="3" max="3" width="7.28515625" style="45" hidden="1" customWidth="1"/>
    <col min="4" max="4" width="15.42578125" style="46" customWidth="1"/>
    <col min="5" max="5" width="4.7109375" style="46" customWidth="1"/>
    <col min="6" max="6" width="20.5703125" style="6" customWidth="1"/>
    <col min="7" max="7" width="14.7109375" style="6" customWidth="1"/>
    <col min="8" max="8" width="12.7109375" style="4" hidden="1" customWidth="1"/>
    <col min="9" max="9" width="12.5703125" style="4" customWidth="1"/>
    <col min="10" max="13" width="10.7109375" style="4" hidden="1" customWidth="1"/>
    <col min="14" max="14" width="14.7109375" style="22" customWidth="1"/>
    <col min="15" max="16" width="11.85546875" style="4" customWidth="1"/>
    <col min="17" max="17" width="11.85546875" style="22" customWidth="1"/>
    <col min="18" max="18" width="11.85546875" style="4" customWidth="1"/>
    <col min="19" max="19" width="12.7109375" style="22" customWidth="1"/>
    <col min="20" max="20" width="13.7109375" style="22" customWidth="1"/>
    <col min="21" max="24" width="11.7109375" style="4" customWidth="1"/>
    <col min="25" max="25" width="11.7109375" style="22" customWidth="1"/>
    <col min="26" max="26" width="13.5703125" style="22" customWidth="1"/>
    <col min="27" max="27" width="14.7109375" style="22" customWidth="1"/>
    <col min="28" max="28" width="11.7109375" style="4" customWidth="1"/>
    <col min="29" max="29" width="8.28515625" style="3" customWidth="1"/>
    <col min="30" max="30" width="12.7109375" style="15" customWidth="1"/>
    <col min="31" max="31" width="14.28515625" style="5" customWidth="1"/>
    <col min="32" max="32" width="14.28515625" style="3" bestFit="1" customWidth="1"/>
    <col min="33" max="34" width="11.7109375" style="3" customWidth="1"/>
    <col min="35" max="35" width="15.140625" style="3" bestFit="1" customWidth="1"/>
    <col min="36" max="37" width="12.28515625" style="3" bestFit="1" customWidth="1"/>
    <col min="38" max="39" width="11.7109375" style="3" customWidth="1"/>
    <col min="40" max="40" width="16.42578125" style="3" bestFit="1" customWidth="1"/>
    <col min="41" max="41" width="12.140625" style="3" bestFit="1" customWidth="1"/>
    <col min="42" max="42" width="13.85546875" style="3" bestFit="1" customWidth="1"/>
    <col min="43" max="43" width="11.85546875" style="3" bestFit="1" customWidth="1"/>
    <col min="44" max="44" width="14.5703125" style="3" bestFit="1" customWidth="1"/>
    <col min="45" max="45" width="15.5703125" style="3" bestFit="1" customWidth="1"/>
    <col min="46" max="46" width="11.42578125" style="3" bestFit="1" customWidth="1"/>
    <col min="47" max="47" width="26.140625" style="3" bestFit="1" customWidth="1"/>
    <col min="48" max="48" width="12" style="3" bestFit="1" customWidth="1"/>
    <col min="49" max="49" width="10.7109375" style="3" bestFit="1" customWidth="1"/>
    <col min="50" max="50" width="11.85546875" style="3" bestFit="1" customWidth="1"/>
    <col min="51" max="51" width="12.5703125" style="3" bestFit="1" customWidth="1"/>
    <col min="52" max="52" width="3.85546875" style="3" bestFit="1" customWidth="1"/>
    <col min="53" max="53" width="12.140625" style="3" bestFit="1" customWidth="1"/>
    <col min="54" max="54" width="9.42578125" style="3" bestFit="1" customWidth="1"/>
    <col min="55" max="55" width="9.28515625" style="3" bestFit="1" customWidth="1"/>
    <col min="56" max="56" width="9.42578125" style="3" bestFit="1" customWidth="1"/>
    <col min="57" max="57" width="9.28515625" style="3" bestFit="1" customWidth="1"/>
    <col min="58" max="59" width="10.7109375" style="3" bestFit="1" customWidth="1"/>
    <col min="60" max="60" width="12" style="3" customWidth="1"/>
    <col min="61" max="61" width="13.85546875" style="3" bestFit="1" customWidth="1"/>
    <col min="62" max="62" width="13" style="3" bestFit="1" customWidth="1"/>
    <col min="63" max="63" width="9.85546875" style="3" bestFit="1" customWidth="1"/>
    <col min="64" max="64" width="10.85546875" style="3" bestFit="1" customWidth="1"/>
    <col min="65" max="65" width="15.140625" style="3" bestFit="1" customWidth="1"/>
    <col min="66" max="66" width="16.28515625" style="3" bestFit="1" customWidth="1"/>
    <col min="67" max="67" width="12.140625" style="3" bestFit="1" customWidth="1"/>
    <col min="68" max="68" width="13.85546875" style="3" bestFit="1" customWidth="1"/>
    <col min="69" max="69" width="11.85546875" style="3" bestFit="1" customWidth="1"/>
    <col min="70" max="71" width="9.42578125" style="3" bestFit="1" customWidth="1"/>
    <col min="72" max="72" width="9.140625" style="3"/>
    <col min="73" max="73" width="9.28515625" style="3" bestFit="1" customWidth="1"/>
    <col min="74" max="74" width="9.140625" style="3"/>
    <col min="75" max="77" width="10.140625" style="3" bestFit="1" customWidth="1"/>
    <col min="78" max="80" width="9.28515625" style="3" bestFit="1" customWidth="1"/>
    <col min="81" max="83" width="10.140625" style="3" bestFit="1" customWidth="1"/>
    <col min="84" max="89" width="9.140625" style="3"/>
    <col min="90" max="92" width="9.28515625" style="3" bestFit="1" customWidth="1"/>
    <col min="93" max="16384" width="9.140625" style="3"/>
  </cols>
  <sheetData>
    <row r="1" spans="1:39" ht="15" customHeight="1">
      <c r="A1" s="41" t="s">
        <v>351</v>
      </c>
      <c r="B1" s="41"/>
      <c r="C1" s="41"/>
      <c r="D1" s="47"/>
      <c r="E1" s="4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2"/>
      <c r="V1" s="2"/>
      <c r="W1" s="1"/>
      <c r="X1" s="1"/>
      <c r="Y1" s="2"/>
      <c r="Z1" s="1"/>
      <c r="AA1" s="2"/>
      <c r="AB1" s="31"/>
      <c r="AC1" s="22"/>
      <c r="AD1" s="20"/>
      <c r="AE1" s="21"/>
      <c r="AF1" s="26"/>
      <c r="AG1" s="21"/>
      <c r="AH1" s="21"/>
      <c r="AI1" s="21"/>
      <c r="AJ1" s="21"/>
      <c r="AK1" s="21"/>
      <c r="AL1" s="4"/>
    </row>
    <row r="2" spans="1:39" ht="15" customHeight="1">
      <c r="A2" s="41" t="s">
        <v>172</v>
      </c>
      <c r="B2" s="41"/>
      <c r="C2" s="41"/>
      <c r="D2" s="47"/>
      <c r="E2" s="4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2"/>
      <c r="V2" s="2"/>
      <c r="W2" s="1"/>
      <c r="X2" s="1"/>
      <c r="Y2" s="2"/>
      <c r="Z2" s="1"/>
      <c r="AA2" s="2"/>
      <c r="AB2" s="31"/>
      <c r="AC2" s="22"/>
      <c r="AD2" s="20"/>
      <c r="AE2" s="21"/>
      <c r="AF2" s="26"/>
      <c r="AG2" s="21"/>
      <c r="AH2" s="21"/>
      <c r="AI2" s="21"/>
      <c r="AJ2" s="21"/>
      <c r="AK2" s="21"/>
      <c r="AL2" s="4"/>
    </row>
    <row r="3" spans="1:39" ht="15" customHeight="1">
      <c r="A3" s="240" t="s">
        <v>364</v>
      </c>
      <c r="B3" s="240"/>
      <c r="C3" s="240"/>
      <c r="D3" s="240"/>
      <c r="E3" s="240"/>
      <c r="F3" s="240"/>
      <c r="G3" s="2"/>
      <c r="H3" s="2"/>
      <c r="I3" s="2"/>
      <c r="J3" s="2"/>
      <c r="K3" s="2"/>
      <c r="L3" s="2"/>
      <c r="M3" s="2"/>
      <c r="N3" s="2"/>
      <c r="O3" s="32"/>
      <c r="P3" s="2"/>
      <c r="Q3" s="2"/>
      <c r="R3" s="2"/>
      <c r="S3" s="2"/>
      <c r="T3" s="1"/>
      <c r="U3" s="2"/>
      <c r="V3" s="2"/>
      <c r="W3" s="1"/>
      <c r="X3" s="1"/>
      <c r="Y3" s="2"/>
      <c r="Z3" s="1"/>
      <c r="AA3" s="2"/>
      <c r="AB3" s="31"/>
      <c r="AC3" s="22"/>
      <c r="AD3" s="20"/>
      <c r="AE3" s="21"/>
      <c r="AF3" s="26"/>
      <c r="AG3" s="21"/>
      <c r="AH3" s="21"/>
      <c r="AI3" s="21"/>
      <c r="AJ3" s="21"/>
      <c r="AK3" s="21"/>
      <c r="AL3" s="4"/>
    </row>
    <row r="4" spans="1:39" s="6" customFormat="1" ht="15" customHeight="1">
      <c r="A4" s="105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10"/>
      <c r="AC4" s="27"/>
      <c r="AD4" s="26"/>
      <c r="AE4" s="26"/>
      <c r="AF4" s="26"/>
      <c r="AG4" s="26"/>
      <c r="AH4" s="26"/>
      <c r="AI4" s="26"/>
      <c r="AJ4" s="26"/>
      <c r="AK4" s="26"/>
      <c r="AL4" s="15"/>
    </row>
    <row r="5" spans="1:39" s="54" customFormat="1" ht="15" customHeight="1">
      <c r="A5" s="282" t="s">
        <v>82</v>
      </c>
      <c r="B5" s="282" t="s">
        <v>3</v>
      </c>
      <c r="C5" s="235" t="s">
        <v>173</v>
      </c>
      <c r="D5" s="282" t="s">
        <v>47</v>
      </c>
      <c r="E5" s="282" t="s">
        <v>4</v>
      </c>
      <c r="F5" s="283" t="s">
        <v>251</v>
      </c>
      <c r="G5" s="284" t="s">
        <v>111</v>
      </c>
      <c r="H5" s="284" t="s">
        <v>5</v>
      </c>
      <c r="I5" s="284" t="s">
        <v>0</v>
      </c>
      <c r="J5" s="284"/>
      <c r="K5" s="284"/>
      <c r="L5" s="284"/>
      <c r="M5" s="284"/>
      <c r="N5" s="276" t="s">
        <v>110</v>
      </c>
      <c r="O5" s="276" t="s">
        <v>103</v>
      </c>
      <c r="P5" s="276"/>
      <c r="Q5" s="276"/>
      <c r="R5" s="276"/>
      <c r="S5" s="276" t="s">
        <v>146</v>
      </c>
      <c r="T5" s="276" t="s">
        <v>114</v>
      </c>
      <c r="U5" s="276" t="s">
        <v>102</v>
      </c>
      <c r="V5" s="276"/>
      <c r="W5" s="276"/>
      <c r="X5" s="276"/>
      <c r="Y5" s="276" t="s">
        <v>113</v>
      </c>
      <c r="Z5" s="276"/>
      <c r="AA5" s="276" t="s">
        <v>2</v>
      </c>
      <c r="AB5" s="53"/>
      <c r="AD5" s="288" t="s">
        <v>167</v>
      </c>
      <c r="AE5" s="289" t="s">
        <v>168</v>
      </c>
      <c r="AF5" s="288" t="s">
        <v>114</v>
      </c>
      <c r="AG5" s="285" t="s">
        <v>164</v>
      </c>
      <c r="AH5" s="288" t="s">
        <v>153</v>
      </c>
      <c r="AI5" s="285" t="s">
        <v>169</v>
      </c>
      <c r="AJ5" s="288" t="s">
        <v>165</v>
      </c>
      <c r="AK5" s="289" t="s">
        <v>166</v>
      </c>
      <c r="AL5" s="291" t="s">
        <v>171</v>
      </c>
      <c r="AM5" s="285" t="s">
        <v>170</v>
      </c>
    </row>
    <row r="6" spans="1:39" s="54" customFormat="1" ht="15" customHeight="1">
      <c r="A6" s="282"/>
      <c r="B6" s="282"/>
      <c r="C6" s="235" t="s">
        <v>174</v>
      </c>
      <c r="D6" s="282"/>
      <c r="E6" s="282"/>
      <c r="F6" s="283"/>
      <c r="G6" s="284"/>
      <c r="H6" s="284"/>
      <c r="I6" s="276" t="s">
        <v>109</v>
      </c>
      <c r="J6" s="284" t="s">
        <v>84</v>
      </c>
      <c r="K6" s="284" t="s">
        <v>89</v>
      </c>
      <c r="L6" s="236" t="s">
        <v>86</v>
      </c>
      <c r="M6" s="236" t="s">
        <v>88</v>
      </c>
      <c r="N6" s="276"/>
      <c r="O6" s="236" t="s">
        <v>106</v>
      </c>
      <c r="P6" s="236" t="s">
        <v>108</v>
      </c>
      <c r="Q6" s="236" t="s">
        <v>107</v>
      </c>
      <c r="R6" s="236" t="s">
        <v>83</v>
      </c>
      <c r="S6" s="276"/>
      <c r="T6" s="276"/>
      <c r="U6" s="236" t="s">
        <v>108</v>
      </c>
      <c r="V6" s="236" t="s">
        <v>107</v>
      </c>
      <c r="W6" s="236" t="s">
        <v>83</v>
      </c>
      <c r="X6" s="236" t="s">
        <v>104</v>
      </c>
      <c r="Y6" s="234" t="s">
        <v>105</v>
      </c>
      <c r="Z6" s="276" t="s">
        <v>1</v>
      </c>
      <c r="AA6" s="276"/>
      <c r="AB6" s="53"/>
      <c r="AD6" s="288"/>
      <c r="AE6" s="289"/>
      <c r="AF6" s="288"/>
      <c r="AG6" s="286"/>
      <c r="AH6" s="288"/>
      <c r="AI6" s="286"/>
      <c r="AJ6" s="288"/>
      <c r="AK6" s="289"/>
      <c r="AL6" s="292"/>
      <c r="AM6" s="286"/>
    </row>
    <row r="7" spans="1:39" s="54" customFormat="1" ht="15" customHeight="1">
      <c r="A7" s="282"/>
      <c r="B7" s="282"/>
      <c r="C7" s="235"/>
      <c r="D7" s="282"/>
      <c r="E7" s="282"/>
      <c r="F7" s="283"/>
      <c r="G7" s="284"/>
      <c r="H7" s="284"/>
      <c r="I7" s="276"/>
      <c r="J7" s="284"/>
      <c r="K7" s="284"/>
      <c r="L7" s="236" t="s">
        <v>87</v>
      </c>
      <c r="M7" s="236" t="s">
        <v>89</v>
      </c>
      <c r="N7" s="276"/>
      <c r="O7" s="33">
        <v>1.1900000000000001E-2</v>
      </c>
      <c r="P7" s="33">
        <v>0.02</v>
      </c>
      <c r="Q7" s="33">
        <v>0.02</v>
      </c>
      <c r="R7" s="77">
        <v>0.04</v>
      </c>
      <c r="S7" s="276"/>
      <c r="T7" s="276"/>
      <c r="U7" s="33">
        <v>0.02</v>
      </c>
      <c r="V7" s="33">
        <v>0.01</v>
      </c>
      <c r="W7" s="33">
        <v>0.01</v>
      </c>
      <c r="X7" s="33">
        <v>0.01</v>
      </c>
      <c r="Y7" s="234" t="s">
        <v>112</v>
      </c>
      <c r="Z7" s="276"/>
      <c r="AA7" s="236" t="s">
        <v>6</v>
      </c>
      <c r="AB7" s="53"/>
      <c r="AD7" s="288"/>
      <c r="AE7" s="289"/>
      <c r="AF7" s="288"/>
      <c r="AG7" s="102">
        <v>0.05</v>
      </c>
      <c r="AH7" s="288"/>
      <c r="AI7" s="103">
        <v>12</v>
      </c>
      <c r="AJ7" s="288"/>
      <c r="AK7" s="289"/>
      <c r="AL7" s="293"/>
      <c r="AM7" s="287"/>
    </row>
    <row r="8" spans="1:39" s="54" customFormat="1" ht="15" customHeight="1">
      <c r="A8" s="89"/>
      <c r="B8" s="89"/>
      <c r="C8" s="89"/>
      <c r="D8" s="90"/>
      <c r="E8" s="89"/>
      <c r="F8" s="51"/>
      <c r="G8" s="52"/>
      <c r="H8" s="52"/>
      <c r="I8" s="52"/>
      <c r="J8" s="52"/>
      <c r="K8" s="52"/>
      <c r="L8" s="52"/>
      <c r="M8" s="52"/>
      <c r="N8" s="52"/>
      <c r="O8" s="92"/>
      <c r="P8" s="52"/>
      <c r="Q8" s="76"/>
      <c r="R8" s="52"/>
      <c r="S8" s="52"/>
      <c r="T8" s="52"/>
      <c r="U8" s="76"/>
      <c r="V8" s="76"/>
      <c r="W8" s="76"/>
      <c r="X8" s="76"/>
      <c r="Y8" s="52"/>
      <c r="Z8" s="52"/>
      <c r="AA8" s="52"/>
      <c r="AB8" s="53"/>
      <c r="AD8" s="101"/>
      <c r="AE8" s="101"/>
      <c r="AF8" s="101"/>
      <c r="AG8" s="101"/>
      <c r="AH8" s="101"/>
      <c r="AI8" s="101"/>
      <c r="AJ8" s="101"/>
      <c r="AK8" s="101"/>
      <c r="AL8" s="101"/>
      <c r="AM8" s="101"/>
    </row>
    <row r="9" spans="1:39" s="54" customFormat="1" ht="15" customHeight="1">
      <c r="A9" s="72">
        <v>1</v>
      </c>
      <c r="B9" s="239" t="s">
        <v>58</v>
      </c>
      <c r="C9" s="72">
        <v>12</v>
      </c>
      <c r="D9" s="239" t="s">
        <v>59</v>
      </c>
      <c r="E9" s="72" t="s">
        <v>9</v>
      </c>
      <c r="F9" s="242" t="s">
        <v>252</v>
      </c>
      <c r="G9" s="66">
        <v>8500000</v>
      </c>
      <c r="H9" s="66"/>
      <c r="I9" s="66">
        <v>0</v>
      </c>
      <c r="J9" s="160">
        <v>0</v>
      </c>
      <c r="K9" s="160">
        <v>0</v>
      </c>
      <c r="L9" s="160">
        <v>0</v>
      </c>
      <c r="M9" s="66"/>
      <c r="N9" s="121">
        <f>SUM(G9:M9)</f>
        <v>8500000</v>
      </c>
      <c r="O9" s="66">
        <v>0</v>
      </c>
      <c r="P9" s="66">
        <v>0</v>
      </c>
      <c r="Q9" s="66">
        <v>0</v>
      </c>
      <c r="R9" s="66">
        <f>+AE9*$R$7</f>
        <v>340000</v>
      </c>
      <c r="S9" s="121">
        <f>SUM(O9:R9)</f>
        <v>340000</v>
      </c>
      <c r="T9" s="121">
        <f t="shared" ref="T9:T26" si="0">+N9+S9</f>
        <v>8840000</v>
      </c>
      <c r="U9" s="66">
        <v>0</v>
      </c>
      <c r="V9" s="66">
        <v>0</v>
      </c>
      <c r="W9" s="66">
        <f>+AE9*$W$7</f>
        <v>85000</v>
      </c>
      <c r="X9" s="116">
        <v>0</v>
      </c>
      <c r="Y9" s="121">
        <f t="shared" ref="Y9:Y26" si="1">SUM(U9:X9)</f>
        <v>85000</v>
      </c>
      <c r="Z9" s="24">
        <v>88400</v>
      </c>
      <c r="AA9" s="121">
        <f>+N9-Y9-Z9</f>
        <v>8326600</v>
      </c>
      <c r="AB9" s="53" t="s">
        <v>244</v>
      </c>
      <c r="AD9" s="24">
        <v>0</v>
      </c>
      <c r="AE9" s="24">
        <f>+N9</f>
        <v>8500000</v>
      </c>
      <c r="AF9" s="101">
        <f>+N9+O9+R9</f>
        <v>8840000</v>
      </c>
      <c r="AG9" s="101">
        <f>IF(AF9*$AG$7&gt;500000,500000,AF9*$AG$7)</f>
        <v>442000</v>
      </c>
      <c r="AH9" s="101">
        <f>+AF9-AG9-U9-V9</f>
        <v>8398000</v>
      </c>
      <c r="AI9" s="101">
        <f>+AH9*$AI$7</f>
        <v>100776000</v>
      </c>
      <c r="AJ9" s="101">
        <f>IF(E9="TK",54000000,(IF(OR(E9="TK1",E9="K"),58500000,(IF(OR(E9="TK2",E9="K1"),63000000,(IF(OR(OR(E9="TK3",E9="TK4"),E9="K2"),67500000,72000000)))))))</f>
        <v>63000000</v>
      </c>
      <c r="AK9" s="113">
        <f t="shared" ref="AK9" si="2">IF((+AI9-AJ9)&lt;=0,0,TRUNC((AI9-AJ9)/1000)*1000)</f>
        <v>37776000</v>
      </c>
      <c r="AL9" s="113">
        <f t="shared" ref="AL9" si="3">IF(AK9&lt;=60000000,AK9*5%,IF(AK9&lt;=250000000,3000000+((AK9-60000000)*15%),IF(AK9&lt;=500000000,31500000+((AK9-250000000)*25%),IF(AND(AK9&gt;=500000000,AK9&lt;=5000000000),94000000+((AK9-500000000)*30%),IF(AK9&gt;5000000000,(1444000000+(AK9-5000000000)*35%))))))</f>
        <v>1888800</v>
      </c>
      <c r="AM9" s="38">
        <f>+AL9/12</f>
        <v>157400</v>
      </c>
    </row>
    <row r="10" spans="1:39" s="54" customFormat="1" ht="15" customHeight="1">
      <c r="A10" s="72">
        <v>2</v>
      </c>
      <c r="B10" s="239" t="s">
        <v>60</v>
      </c>
      <c r="C10" s="72">
        <v>12</v>
      </c>
      <c r="D10" s="239" t="s">
        <v>41</v>
      </c>
      <c r="E10" s="72" t="s">
        <v>10</v>
      </c>
      <c r="F10" s="242" t="s">
        <v>253</v>
      </c>
      <c r="G10" s="66">
        <v>9450558</v>
      </c>
      <c r="H10" s="66"/>
      <c r="I10" s="66">
        <v>500000</v>
      </c>
      <c r="J10" s="66">
        <v>0</v>
      </c>
      <c r="K10" s="66">
        <v>0</v>
      </c>
      <c r="L10" s="66">
        <v>0</v>
      </c>
      <c r="M10" s="66"/>
      <c r="N10" s="121">
        <f>SUM(G10:M10)</f>
        <v>9950558</v>
      </c>
      <c r="O10" s="66">
        <f>+AD10*$O$7</f>
        <v>112461.64020000001</v>
      </c>
      <c r="P10" s="66">
        <f>+AD10*$P$7</f>
        <v>189011.16</v>
      </c>
      <c r="Q10" s="66">
        <f>+AD10*$Q$7</f>
        <v>189011.16</v>
      </c>
      <c r="R10" s="66">
        <f>+AE10*$R$7</f>
        <v>398022.32</v>
      </c>
      <c r="S10" s="121">
        <f>SUM(O10:R10)</f>
        <v>888506.28019999992</v>
      </c>
      <c r="T10" s="121">
        <f>+N10+S10</f>
        <v>10839064.280200001</v>
      </c>
      <c r="U10" s="66">
        <f>+AD10*$U$7</f>
        <v>189011.16</v>
      </c>
      <c r="V10" s="66">
        <f>+AD10*$V$7</f>
        <v>94505.58</v>
      </c>
      <c r="W10" s="66">
        <f>+AE10*$W$7</f>
        <v>99505.58</v>
      </c>
      <c r="X10" s="116">
        <v>0</v>
      </c>
      <c r="Y10" s="121">
        <f t="shared" si="1"/>
        <v>383022.32</v>
      </c>
      <c r="Z10" s="24">
        <v>261526</v>
      </c>
      <c r="AA10" s="121">
        <f t="shared" ref="AA10:AA25" si="4">+N10-Y10-Z10</f>
        <v>9306009.6799999997</v>
      </c>
      <c r="AB10" s="53"/>
      <c r="AD10" s="24">
        <f>+G10</f>
        <v>9450558</v>
      </c>
      <c r="AE10" s="24">
        <f t="shared" ref="AE10:AE26" si="5">+N10</f>
        <v>9950558</v>
      </c>
      <c r="AF10" s="101">
        <f>+N10+O10+R10</f>
        <v>10461041.960200001</v>
      </c>
      <c r="AG10" s="101">
        <f t="shared" ref="AG10:AG25" si="6">IF(AF10*$AG$7&gt;500000,500000,AF10*$AG$7)</f>
        <v>500000</v>
      </c>
      <c r="AH10" s="101">
        <f t="shared" ref="AH10:AH26" si="7">+AF10-AG10-U10-V10</f>
        <v>9677525.2202000003</v>
      </c>
      <c r="AI10" s="101">
        <f t="shared" ref="AI10:AI26" si="8">+AH10*$AI$7</f>
        <v>116130302.6424</v>
      </c>
      <c r="AJ10" s="101">
        <f t="shared" ref="AJ10:AJ26" si="9">IF(E10="TK",54000000,(IF(OR(E10="TK1",E10="K"),58500000,(IF(OR(E10="TK2",E10="K1"),63000000,(IF(OR(OR(E10="TK3",E10="TK4"),E10="K2"),67500000,72000000)))))))</f>
        <v>54000000</v>
      </c>
      <c r="AK10" s="113">
        <f t="shared" ref="AK10:AK16" si="10">IF((+AI10-AJ10)&lt;=0,0,TRUNC((AI10-AJ10)/1000)*1000)</f>
        <v>62130000</v>
      </c>
      <c r="AL10" s="113">
        <f t="shared" ref="AL10:AL16" si="11">IF(AK10&lt;=60000000,AK10*5%,IF(AK10&lt;=250000000,3000000+((AK10-60000000)*15%),IF(AK10&lt;=500000000,31500000+((AK10-250000000)*25%),IF(AND(AK10&gt;=500000000,AK10&lt;=5000000000),94000000+((AK10-500000000)*30%),IF(AK10&gt;5000000000,(1444000000+(AK10-5000000000)*35%))))))</f>
        <v>3319500</v>
      </c>
      <c r="AM10" s="38">
        <f t="shared" ref="AM10:AM26" si="12">+AL10/12</f>
        <v>276625</v>
      </c>
    </row>
    <row r="11" spans="1:39" s="54" customFormat="1" ht="15" customHeight="1">
      <c r="A11" s="72">
        <v>3</v>
      </c>
      <c r="B11" s="239" t="s">
        <v>61</v>
      </c>
      <c r="C11" s="72">
        <v>12</v>
      </c>
      <c r="D11" s="239" t="s">
        <v>41</v>
      </c>
      <c r="E11" s="72" t="s">
        <v>10</v>
      </c>
      <c r="F11" s="242" t="s">
        <v>254</v>
      </c>
      <c r="G11" s="66">
        <v>7845749</v>
      </c>
      <c r="H11" s="66"/>
      <c r="I11" s="66">
        <v>300000</v>
      </c>
      <c r="J11" s="66">
        <v>0</v>
      </c>
      <c r="K11" s="66">
        <v>0</v>
      </c>
      <c r="L11" s="66">
        <v>0</v>
      </c>
      <c r="M11" s="66"/>
      <c r="N11" s="121">
        <f t="shared" ref="N11:N25" si="13">SUM(G11:M11)</f>
        <v>8145749</v>
      </c>
      <c r="O11" s="66">
        <f t="shared" ref="O11:O26" si="14">+AD11*$O$7</f>
        <v>93364.413100000005</v>
      </c>
      <c r="P11" s="66">
        <f t="shared" ref="P11:P26" si="15">+AD11*$P$7</f>
        <v>156914.98000000001</v>
      </c>
      <c r="Q11" s="66">
        <f t="shared" ref="Q11:Q26" si="16">+AD11*$Q$7</f>
        <v>156914.98000000001</v>
      </c>
      <c r="R11" s="66">
        <f t="shared" ref="R11:R26" si="17">+AE11*$R$7</f>
        <v>325829.96000000002</v>
      </c>
      <c r="S11" s="121">
        <f t="shared" ref="S11:S26" si="18">SUM(O11:R11)</f>
        <v>733024.33310000005</v>
      </c>
      <c r="T11" s="121">
        <f t="shared" si="0"/>
        <v>8878773.3331000004</v>
      </c>
      <c r="U11" s="66">
        <f t="shared" ref="U11:U26" si="19">+AD11*$U$7</f>
        <v>156914.98000000001</v>
      </c>
      <c r="V11" s="66">
        <f t="shared" ref="V11:V26" si="20">+AD11*$V$7</f>
        <v>78457.490000000005</v>
      </c>
      <c r="W11" s="66">
        <f t="shared" ref="W11:W26" si="21">+AE11*$W$7</f>
        <v>81457.490000000005</v>
      </c>
      <c r="X11" s="116">
        <f>+W11*1</f>
        <v>81457.490000000005</v>
      </c>
      <c r="Y11" s="121">
        <f t="shared" si="1"/>
        <v>398287.45</v>
      </c>
      <c r="Z11" s="24">
        <v>149887</v>
      </c>
      <c r="AA11" s="121">
        <f t="shared" si="4"/>
        <v>7597574.5499999998</v>
      </c>
      <c r="AB11" s="53"/>
      <c r="AD11" s="24">
        <f t="shared" ref="AD11:AD26" si="22">+G11</f>
        <v>7845749</v>
      </c>
      <c r="AE11" s="24">
        <f t="shared" si="5"/>
        <v>8145749</v>
      </c>
      <c r="AF11" s="101">
        <f t="shared" ref="AF11:AF22" si="23">+N11+O11+R11</f>
        <v>8564943.3731000014</v>
      </c>
      <c r="AG11" s="101">
        <f t="shared" si="6"/>
        <v>428247.1686550001</v>
      </c>
      <c r="AH11" s="101">
        <f t="shared" si="7"/>
        <v>7901323.734445001</v>
      </c>
      <c r="AI11" s="101">
        <f t="shared" si="8"/>
        <v>94815884.813340008</v>
      </c>
      <c r="AJ11" s="101">
        <f t="shared" si="9"/>
        <v>54000000</v>
      </c>
      <c r="AK11" s="113">
        <f t="shared" si="10"/>
        <v>40815000</v>
      </c>
      <c r="AL11" s="113">
        <f t="shared" si="11"/>
        <v>2040750</v>
      </c>
      <c r="AM11" s="38">
        <f t="shared" si="12"/>
        <v>170062.5</v>
      </c>
    </row>
    <row r="12" spans="1:39" ht="15" customHeight="1">
      <c r="A12" s="72">
        <v>4</v>
      </c>
      <c r="B12" s="239" t="s">
        <v>62</v>
      </c>
      <c r="C12" s="72">
        <v>12</v>
      </c>
      <c r="D12" s="239" t="s">
        <v>43</v>
      </c>
      <c r="E12" s="72" t="s">
        <v>10</v>
      </c>
      <c r="F12" s="243" t="s">
        <v>255</v>
      </c>
      <c r="G12" s="66">
        <v>10106032</v>
      </c>
      <c r="H12" s="66"/>
      <c r="I12" s="66">
        <v>700000</v>
      </c>
      <c r="J12" s="66">
        <v>0</v>
      </c>
      <c r="K12" s="66">
        <v>0</v>
      </c>
      <c r="L12" s="66">
        <v>0</v>
      </c>
      <c r="M12" s="66"/>
      <c r="N12" s="121">
        <f t="shared" si="13"/>
        <v>10806032</v>
      </c>
      <c r="O12" s="66">
        <f t="shared" si="14"/>
        <v>120261.78080000001</v>
      </c>
      <c r="P12" s="66">
        <f t="shared" si="15"/>
        <v>202120.64</v>
      </c>
      <c r="Q12" s="66">
        <f t="shared" si="16"/>
        <v>202120.64</v>
      </c>
      <c r="R12" s="66">
        <f t="shared" si="17"/>
        <v>432241.28</v>
      </c>
      <c r="S12" s="121">
        <f t="shared" si="18"/>
        <v>956744.34080000012</v>
      </c>
      <c r="T12" s="121">
        <f t="shared" si="0"/>
        <v>11762776.3408</v>
      </c>
      <c r="U12" s="66">
        <f>+AD12*$U$7-95931</f>
        <v>106189.64000000001</v>
      </c>
      <c r="V12" s="66">
        <f t="shared" si="20"/>
        <v>101060.32</v>
      </c>
      <c r="W12" s="66">
        <f t="shared" si="21"/>
        <v>108060.32</v>
      </c>
      <c r="X12" s="116">
        <f>+W12*1</f>
        <v>108060.32</v>
      </c>
      <c r="Y12" s="121">
        <f t="shared" si="1"/>
        <v>423370.60000000003</v>
      </c>
      <c r="Z12" s="24">
        <v>397549</v>
      </c>
      <c r="AA12" s="121">
        <f t="shared" si="4"/>
        <v>9985112.4000000004</v>
      </c>
      <c r="AB12" s="53"/>
      <c r="AD12" s="24">
        <f t="shared" si="22"/>
        <v>10106032</v>
      </c>
      <c r="AE12" s="24">
        <f t="shared" si="5"/>
        <v>10806032</v>
      </c>
      <c r="AF12" s="101">
        <f t="shared" si="23"/>
        <v>11358535.060799999</v>
      </c>
      <c r="AG12" s="101">
        <f t="shared" si="6"/>
        <v>500000</v>
      </c>
      <c r="AH12" s="101">
        <f t="shared" si="7"/>
        <v>10651285.100799998</v>
      </c>
      <c r="AI12" s="101">
        <f t="shared" si="8"/>
        <v>127815421.20959997</v>
      </c>
      <c r="AJ12" s="101">
        <f t="shared" si="9"/>
        <v>54000000</v>
      </c>
      <c r="AK12" s="113">
        <f t="shared" si="10"/>
        <v>73815000</v>
      </c>
      <c r="AL12" s="113">
        <f t="shared" si="11"/>
        <v>5072250</v>
      </c>
      <c r="AM12" s="38">
        <f t="shared" si="12"/>
        <v>422687.5</v>
      </c>
    </row>
    <row r="13" spans="1:39" ht="15" customHeight="1">
      <c r="A13" s="72">
        <v>5</v>
      </c>
      <c r="B13" s="239" t="s">
        <v>63</v>
      </c>
      <c r="C13" s="72">
        <v>12</v>
      </c>
      <c r="D13" s="239" t="s">
        <v>45</v>
      </c>
      <c r="E13" s="72" t="s">
        <v>7</v>
      </c>
      <c r="F13" s="242" t="s">
        <v>256</v>
      </c>
      <c r="G13" s="66">
        <v>7970090</v>
      </c>
      <c r="H13" s="66"/>
      <c r="I13" s="66">
        <v>500000</v>
      </c>
      <c r="J13" s="160">
        <v>0</v>
      </c>
      <c r="K13" s="160">
        <v>0</v>
      </c>
      <c r="L13" s="160">
        <v>0</v>
      </c>
      <c r="M13" s="66"/>
      <c r="N13" s="121">
        <f t="shared" si="13"/>
        <v>8470090</v>
      </c>
      <c r="O13" s="66">
        <f t="shared" si="14"/>
        <v>94844.071000000011</v>
      </c>
      <c r="P13" s="66">
        <f t="shared" si="15"/>
        <v>159401.80000000002</v>
      </c>
      <c r="Q13" s="66">
        <f t="shared" si="16"/>
        <v>159401.80000000002</v>
      </c>
      <c r="R13" s="66">
        <f t="shared" si="17"/>
        <v>338803.60000000003</v>
      </c>
      <c r="S13" s="121">
        <f t="shared" si="18"/>
        <v>752451.27100000018</v>
      </c>
      <c r="T13" s="121">
        <f t="shared" si="0"/>
        <v>9222541.2709999997</v>
      </c>
      <c r="U13" s="66">
        <f t="shared" si="19"/>
        <v>159401.80000000002</v>
      </c>
      <c r="V13" s="66">
        <f t="shared" si="20"/>
        <v>79700.900000000009</v>
      </c>
      <c r="W13" s="66">
        <f t="shared" si="21"/>
        <v>84700.900000000009</v>
      </c>
      <c r="X13" s="116">
        <f>+W13*2+2920+15</f>
        <v>172336.80000000002</v>
      </c>
      <c r="Y13" s="121">
        <f t="shared" si="1"/>
        <v>496140.4</v>
      </c>
      <c r="Z13" s="24">
        <v>89037</v>
      </c>
      <c r="AA13" s="121">
        <f t="shared" si="4"/>
        <v>7884912.5999999996</v>
      </c>
      <c r="AB13" s="53"/>
      <c r="AD13" s="24">
        <f t="shared" si="22"/>
        <v>7970090</v>
      </c>
      <c r="AE13" s="24">
        <f t="shared" si="5"/>
        <v>8470090</v>
      </c>
      <c r="AF13" s="101">
        <f t="shared" si="23"/>
        <v>8903737.6710000001</v>
      </c>
      <c r="AG13" s="101">
        <f t="shared" si="6"/>
        <v>445186.88355000003</v>
      </c>
      <c r="AH13" s="101">
        <f t="shared" si="7"/>
        <v>8219448.0874500005</v>
      </c>
      <c r="AI13" s="101">
        <f t="shared" si="8"/>
        <v>98633377.049400002</v>
      </c>
      <c r="AJ13" s="101">
        <f t="shared" si="9"/>
        <v>67500000</v>
      </c>
      <c r="AK13" s="113">
        <f t="shared" si="10"/>
        <v>31133000</v>
      </c>
      <c r="AL13" s="113">
        <f t="shared" si="11"/>
        <v>1556650</v>
      </c>
      <c r="AM13" s="38">
        <f t="shared" si="12"/>
        <v>129720.83333333333</v>
      </c>
    </row>
    <row r="14" spans="1:39" ht="15" customHeight="1">
      <c r="A14" s="72">
        <v>6</v>
      </c>
      <c r="B14" s="239" t="s">
        <v>64</v>
      </c>
      <c r="C14" s="72">
        <v>12</v>
      </c>
      <c r="D14" s="239" t="s">
        <v>76</v>
      </c>
      <c r="E14" s="72" t="s">
        <v>9</v>
      </c>
      <c r="F14" s="246" t="s">
        <v>257</v>
      </c>
      <c r="G14" s="66">
        <v>8321247</v>
      </c>
      <c r="H14" s="66"/>
      <c r="I14" s="66">
        <v>300000</v>
      </c>
      <c r="J14" s="66">
        <v>0</v>
      </c>
      <c r="K14" s="66">
        <v>0</v>
      </c>
      <c r="L14" s="66">
        <v>0</v>
      </c>
      <c r="M14" s="66"/>
      <c r="N14" s="121">
        <f t="shared" si="13"/>
        <v>8621247</v>
      </c>
      <c r="O14" s="66">
        <f t="shared" si="14"/>
        <v>99022.839300000007</v>
      </c>
      <c r="P14" s="66">
        <f t="shared" si="15"/>
        <v>166424.94</v>
      </c>
      <c r="Q14" s="66">
        <f t="shared" si="16"/>
        <v>166424.94</v>
      </c>
      <c r="R14" s="66">
        <f t="shared" si="17"/>
        <v>344849.88</v>
      </c>
      <c r="S14" s="121">
        <f t="shared" si="18"/>
        <v>776722.5993</v>
      </c>
      <c r="T14" s="121">
        <f t="shared" si="0"/>
        <v>9397969.5993000008</v>
      </c>
      <c r="U14" s="66">
        <f t="shared" si="19"/>
        <v>166424.94</v>
      </c>
      <c r="V14" s="66">
        <f t="shared" si="20"/>
        <v>83212.47</v>
      </c>
      <c r="W14" s="66">
        <f t="shared" si="21"/>
        <v>86212.47</v>
      </c>
      <c r="X14" s="116">
        <f>+W14*1</f>
        <v>86212.47</v>
      </c>
      <c r="Y14" s="121">
        <f t="shared" si="1"/>
        <v>422062.35</v>
      </c>
      <c r="Z14" s="24">
        <v>90651</v>
      </c>
      <c r="AA14" s="121">
        <f t="shared" si="4"/>
        <v>8108533.6500000004</v>
      </c>
      <c r="AB14" s="53"/>
      <c r="AD14" s="24">
        <f t="shared" si="22"/>
        <v>8321247</v>
      </c>
      <c r="AE14" s="24">
        <f t="shared" si="5"/>
        <v>8621247</v>
      </c>
      <c r="AF14" s="101">
        <f t="shared" si="23"/>
        <v>9065119.7193</v>
      </c>
      <c r="AG14" s="101">
        <f t="shared" si="6"/>
        <v>453255.985965</v>
      </c>
      <c r="AH14" s="101">
        <f t="shared" si="7"/>
        <v>8362226.3233350003</v>
      </c>
      <c r="AI14" s="101">
        <f t="shared" si="8"/>
        <v>100346715.88002001</v>
      </c>
      <c r="AJ14" s="101">
        <f t="shared" si="9"/>
        <v>63000000</v>
      </c>
      <c r="AK14" s="113">
        <f t="shared" si="10"/>
        <v>37346000</v>
      </c>
      <c r="AL14" s="113">
        <f t="shared" si="11"/>
        <v>1867300</v>
      </c>
      <c r="AM14" s="38">
        <f t="shared" si="12"/>
        <v>155608.33333333334</v>
      </c>
    </row>
    <row r="15" spans="1:39" ht="15" customHeight="1">
      <c r="A15" s="72">
        <v>7</v>
      </c>
      <c r="B15" s="239" t="s">
        <v>245</v>
      </c>
      <c r="C15" s="72">
        <v>12</v>
      </c>
      <c r="D15" s="239" t="s">
        <v>77</v>
      </c>
      <c r="E15" s="72" t="s">
        <v>7</v>
      </c>
      <c r="F15" s="242" t="s">
        <v>258</v>
      </c>
      <c r="G15" s="66">
        <v>8700359</v>
      </c>
      <c r="H15" s="66"/>
      <c r="I15" s="66">
        <v>500000</v>
      </c>
      <c r="J15" s="66">
        <v>0</v>
      </c>
      <c r="K15" s="66">
        <v>0</v>
      </c>
      <c r="L15" s="66">
        <v>0</v>
      </c>
      <c r="M15" s="66"/>
      <c r="N15" s="121">
        <f t="shared" si="13"/>
        <v>9200359</v>
      </c>
      <c r="O15" s="66">
        <f t="shared" si="14"/>
        <v>103534.2721</v>
      </c>
      <c r="P15" s="66">
        <f t="shared" si="15"/>
        <v>174007.18</v>
      </c>
      <c r="Q15" s="66">
        <f t="shared" si="16"/>
        <v>174007.18</v>
      </c>
      <c r="R15" s="66">
        <f t="shared" si="17"/>
        <v>368014.36</v>
      </c>
      <c r="S15" s="121">
        <f t="shared" si="18"/>
        <v>819562.99209999992</v>
      </c>
      <c r="T15" s="121">
        <f t="shared" si="0"/>
        <v>10019921.9921</v>
      </c>
      <c r="U15" s="66">
        <f t="shared" si="19"/>
        <v>174007.18</v>
      </c>
      <c r="V15" s="66">
        <f t="shared" si="20"/>
        <v>87003.59</v>
      </c>
      <c r="W15" s="66">
        <f t="shared" si="21"/>
        <v>92003.59</v>
      </c>
      <c r="X15" s="116">
        <v>0</v>
      </c>
      <c r="Y15" s="121">
        <f t="shared" si="1"/>
        <v>353014.36</v>
      </c>
      <c r="Z15" s="24">
        <v>145079</v>
      </c>
      <c r="AA15" s="121">
        <f t="shared" si="4"/>
        <v>8702265.6400000006</v>
      </c>
      <c r="AB15" s="53"/>
      <c r="AD15" s="24">
        <f t="shared" si="22"/>
        <v>8700359</v>
      </c>
      <c r="AE15" s="24">
        <f t="shared" si="5"/>
        <v>9200359</v>
      </c>
      <c r="AF15" s="101">
        <f t="shared" si="23"/>
        <v>9671907.6320999991</v>
      </c>
      <c r="AG15" s="101">
        <f t="shared" si="6"/>
        <v>483595.381605</v>
      </c>
      <c r="AH15" s="101">
        <f t="shared" si="7"/>
        <v>8927301.4804950003</v>
      </c>
      <c r="AI15" s="101">
        <f t="shared" si="8"/>
        <v>107127617.76594001</v>
      </c>
      <c r="AJ15" s="101">
        <f t="shared" si="9"/>
        <v>67500000</v>
      </c>
      <c r="AK15" s="113">
        <f t="shared" si="10"/>
        <v>39627000</v>
      </c>
      <c r="AL15" s="113">
        <f t="shared" si="11"/>
        <v>1981350</v>
      </c>
      <c r="AM15" s="38">
        <f t="shared" si="12"/>
        <v>165112.5</v>
      </c>
    </row>
    <row r="16" spans="1:39" ht="15" customHeight="1">
      <c r="A16" s="72">
        <v>8</v>
      </c>
      <c r="B16" s="239" t="s">
        <v>246</v>
      </c>
      <c r="C16" s="72">
        <v>12</v>
      </c>
      <c r="D16" s="239" t="s">
        <v>77</v>
      </c>
      <c r="E16" s="72" t="s">
        <v>9</v>
      </c>
      <c r="F16" s="242" t="s">
        <v>259</v>
      </c>
      <c r="G16" s="66">
        <v>8700359</v>
      </c>
      <c r="H16" s="66"/>
      <c r="I16" s="66">
        <v>500000</v>
      </c>
      <c r="J16" s="66">
        <v>0</v>
      </c>
      <c r="K16" s="66">
        <v>0</v>
      </c>
      <c r="L16" s="66">
        <v>0</v>
      </c>
      <c r="M16" s="66"/>
      <c r="N16" s="121">
        <f t="shared" si="13"/>
        <v>9200359</v>
      </c>
      <c r="O16" s="66">
        <f t="shared" si="14"/>
        <v>103534.2721</v>
      </c>
      <c r="P16" s="66">
        <f t="shared" si="15"/>
        <v>174007.18</v>
      </c>
      <c r="Q16" s="66">
        <f t="shared" si="16"/>
        <v>174007.18</v>
      </c>
      <c r="R16" s="66">
        <f t="shared" si="17"/>
        <v>368014.36</v>
      </c>
      <c r="S16" s="121">
        <f t="shared" si="18"/>
        <v>819562.99209999992</v>
      </c>
      <c r="T16" s="121">
        <f t="shared" si="0"/>
        <v>10019921.9921</v>
      </c>
      <c r="U16" s="66">
        <f t="shared" si="19"/>
        <v>174007.18</v>
      </c>
      <c r="V16" s="66">
        <f t="shared" si="20"/>
        <v>87003.59</v>
      </c>
      <c r="W16" s="66">
        <f t="shared" si="21"/>
        <v>92003.59</v>
      </c>
      <c r="X16" s="116">
        <v>0</v>
      </c>
      <c r="Y16" s="121">
        <f t="shared" si="1"/>
        <v>353014.36</v>
      </c>
      <c r="Z16" s="24">
        <v>145079</v>
      </c>
      <c r="AA16" s="121">
        <f t="shared" si="4"/>
        <v>8702265.6400000006</v>
      </c>
      <c r="AB16" s="53"/>
      <c r="AD16" s="24">
        <f t="shared" si="22"/>
        <v>8700359</v>
      </c>
      <c r="AE16" s="24">
        <f t="shared" si="5"/>
        <v>9200359</v>
      </c>
      <c r="AF16" s="101">
        <f t="shared" si="23"/>
        <v>9671907.6320999991</v>
      </c>
      <c r="AG16" s="101">
        <f t="shared" si="6"/>
        <v>483595.381605</v>
      </c>
      <c r="AH16" s="101">
        <f t="shared" si="7"/>
        <v>8927301.4804950003</v>
      </c>
      <c r="AI16" s="101">
        <f t="shared" si="8"/>
        <v>107127617.76594001</v>
      </c>
      <c r="AJ16" s="101">
        <f t="shared" si="9"/>
        <v>63000000</v>
      </c>
      <c r="AK16" s="113">
        <f t="shared" si="10"/>
        <v>44127000</v>
      </c>
      <c r="AL16" s="113">
        <f t="shared" si="11"/>
        <v>2206350</v>
      </c>
      <c r="AM16" s="38">
        <f t="shared" si="12"/>
        <v>183862.5</v>
      </c>
    </row>
    <row r="17" spans="1:39" ht="15" customHeight="1">
      <c r="A17" s="72">
        <v>9</v>
      </c>
      <c r="B17" s="239" t="s">
        <v>247</v>
      </c>
      <c r="C17" s="72">
        <v>12</v>
      </c>
      <c r="D17" s="239" t="s">
        <v>78</v>
      </c>
      <c r="E17" s="72" t="s">
        <v>7</v>
      </c>
      <c r="F17" s="242" t="s">
        <v>260</v>
      </c>
      <c r="G17" s="66">
        <v>6519752</v>
      </c>
      <c r="H17" s="66"/>
      <c r="I17" s="66">
        <v>300000</v>
      </c>
      <c r="J17" s="160">
        <v>0</v>
      </c>
      <c r="K17" s="160">
        <v>0</v>
      </c>
      <c r="L17" s="160">
        <v>0</v>
      </c>
      <c r="M17" s="66"/>
      <c r="N17" s="121">
        <f t="shared" si="13"/>
        <v>6819752</v>
      </c>
      <c r="O17" s="66">
        <f t="shared" si="14"/>
        <v>77585.048800000004</v>
      </c>
      <c r="P17" s="66">
        <f t="shared" si="15"/>
        <v>130395.04000000001</v>
      </c>
      <c r="Q17" s="66">
        <f t="shared" si="16"/>
        <v>130395.04000000001</v>
      </c>
      <c r="R17" s="66">
        <f t="shared" si="17"/>
        <v>272790.08</v>
      </c>
      <c r="S17" s="121">
        <f t="shared" si="18"/>
        <v>611165.20880000014</v>
      </c>
      <c r="T17" s="121">
        <f t="shared" si="0"/>
        <v>7430917.2088000001</v>
      </c>
      <c r="U17" s="66">
        <f t="shared" si="19"/>
        <v>130395.04000000001</v>
      </c>
      <c r="V17" s="66">
        <f t="shared" si="20"/>
        <v>65197.520000000004</v>
      </c>
      <c r="W17" s="66">
        <f t="shared" si="21"/>
        <v>68197.52</v>
      </c>
      <c r="X17" s="116">
        <v>0</v>
      </c>
      <c r="Y17" s="121">
        <f t="shared" si="1"/>
        <v>263790.08000000002</v>
      </c>
      <c r="Z17" s="24">
        <v>53776</v>
      </c>
      <c r="AA17" s="121">
        <f t="shared" si="4"/>
        <v>6502185.9199999999</v>
      </c>
      <c r="AB17" s="53"/>
      <c r="AD17" s="24">
        <f t="shared" si="22"/>
        <v>6519752</v>
      </c>
      <c r="AE17" s="24">
        <f t="shared" si="5"/>
        <v>6819752</v>
      </c>
      <c r="AF17" s="101">
        <f t="shared" si="23"/>
        <v>7170127.1288000001</v>
      </c>
      <c r="AG17" s="101">
        <f t="shared" si="6"/>
        <v>358506.35644</v>
      </c>
      <c r="AH17" s="101">
        <f t="shared" si="7"/>
        <v>6616028.2123600002</v>
      </c>
      <c r="AI17" s="101">
        <f t="shared" si="8"/>
        <v>79392338.548319995</v>
      </c>
      <c r="AJ17" s="101">
        <f t="shared" si="9"/>
        <v>67500000</v>
      </c>
      <c r="AK17" s="113">
        <f t="shared" ref="AK17:AK26" si="24">IF((+AI17-AJ17)&lt;=0,0,TRUNC((AI17-AJ17)/1000)*1000)</f>
        <v>11892000</v>
      </c>
      <c r="AL17" s="113">
        <f t="shared" ref="AL17:AL26" si="25">IF(AK17&lt;=60000000,AK17*5%,IF(AK17&lt;=250000000,3000000+((AK17-60000000)*15%),IF(AK17&lt;=500000000,31500000+((AK17-250000000)*25%),IF(AND(AK17&gt;=500000000,AK17&lt;=5000000000),94000000+((AK17-500000000)*30%),IF(AK17&gt;5000000000,(1444000000+(AK17-5000000000)*35%))))))</f>
        <v>594600</v>
      </c>
      <c r="AM17" s="38">
        <f t="shared" si="12"/>
        <v>49550</v>
      </c>
    </row>
    <row r="18" spans="1:39" ht="15" customHeight="1">
      <c r="A18" s="72">
        <v>10</v>
      </c>
      <c r="B18" s="239" t="s">
        <v>248</v>
      </c>
      <c r="C18" s="72">
        <v>12</v>
      </c>
      <c r="D18" s="239" t="s">
        <v>42</v>
      </c>
      <c r="E18" s="72" t="s">
        <v>9</v>
      </c>
      <c r="F18" s="242" t="s">
        <v>261</v>
      </c>
      <c r="G18" s="66">
        <v>6009388</v>
      </c>
      <c r="H18" s="66"/>
      <c r="I18" s="66">
        <v>200000</v>
      </c>
      <c r="J18" s="66">
        <v>0</v>
      </c>
      <c r="K18" s="66">
        <v>0</v>
      </c>
      <c r="L18" s="66">
        <v>0</v>
      </c>
      <c r="M18" s="66"/>
      <c r="N18" s="121">
        <f t="shared" si="13"/>
        <v>6209388</v>
      </c>
      <c r="O18" s="66">
        <f t="shared" si="14"/>
        <v>71511.717199999999</v>
      </c>
      <c r="P18" s="66">
        <f t="shared" si="15"/>
        <v>120187.76000000001</v>
      </c>
      <c r="Q18" s="66">
        <f t="shared" si="16"/>
        <v>120187.76000000001</v>
      </c>
      <c r="R18" s="66">
        <f t="shared" si="17"/>
        <v>248375.52000000002</v>
      </c>
      <c r="S18" s="121">
        <f t="shared" si="18"/>
        <v>560262.75720000011</v>
      </c>
      <c r="T18" s="121">
        <f t="shared" si="0"/>
        <v>6769650.7571999999</v>
      </c>
      <c r="U18" s="66">
        <f t="shared" si="19"/>
        <v>120187.76000000001</v>
      </c>
      <c r="V18" s="66">
        <f t="shared" si="20"/>
        <v>60093.880000000005</v>
      </c>
      <c r="W18" s="66">
        <f t="shared" si="21"/>
        <v>62093.880000000005</v>
      </c>
      <c r="X18" s="116">
        <v>0</v>
      </c>
      <c r="Y18" s="121">
        <f t="shared" si="1"/>
        <v>242375.52000000002</v>
      </c>
      <c r="Z18" s="24">
        <v>32646</v>
      </c>
      <c r="AA18" s="121">
        <f t="shared" si="4"/>
        <v>5934366.4800000004</v>
      </c>
      <c r="AB18" s="53"/>
      <c r="AD18" s="24">
        <f t="shared" si="22"/>
        <v>6009388</v>
      </c>
      <c r="AE18" s="24">
        <f t="shared" si="5"/>
        <v>6209388</v>
      </c>
      <c r="AF18" s="101">
        <f t="shared" si="23"/>
        <v>6529275.2371999994</v>
      </c>
      <c r="AG18" s="101">
        <f t="shared" si="6"/>
        <v>326463.76185999997</v>
      </c>
      <c r="AH18" s="101">
        <f t="shared" si="7"/>
        <v>6022529.8353399998</v>
      </c>
      <c r="AI18" s="101">
        <f t="shared" si="8"/>
        <v>72270358.024079993</v>
      </c>
      <c r="AJ18" s="101">
        <f t="shared" si="9"/>
        <v>63000000</v>
      </c>
      <c r="AK18" s="113">
        <f t="shared" si="24"/>
        <v>9270000</v>
      </c>
      <c r="AL18" s="113">
        <f t="shared" si="25"/>
        <v>463500</v>
      </c>
      <c r="AM18" s="38">
        <f t="shared" si="12"/>
        <v>38625</v>
      </c>
    </row>
    <row r="19" spans="1:39" ht="15" customHeight="1">
      <c r="A19" s="72">
        <v>11</v>
      </c>
      <c r="B19" s="239" t="s">
        <v>249</v>
      </c>
      <c r="C19" s="72">
        <v>12</v>
      </c>
      <c r="D19" s="239" t="s">
        <v>78</v>
      </c>
      <c r="E19" s="72" t="s">
        <v>8</v>
      </c>
      <c r="F19" s="242" t="s">
        <v>262</v>
      </c>
      <c r="G19" s="66">
        <v>6244338</v>
      </c>
      <c r="H19" s="66"/>
      <c r="I19" s="66">
        <v>200000</v>
      </c>
      <c r="J19" s="66">
        <v>0</v>
      </c>
      <c r="K19" s="66">
        <v>0</v>
      </c>
      <c r="L19" s="66">
        <v>0</v>
      </c>
      <c r="M19" s="66"/>
      <c r="N19" s="121">
        <f t="shared" si="13"/>
        <v>6444338</v>
      </c>
      <c r="O19" s="66">
        <f t="shared" si="14"/>
        <v>74307.622200000013</v>
      </c>
      <c r="P19" s="66">
        <f t="shared" si="15"/>
        <v>124886.76000000001</v>
      </c>
      <c r="Q19" s="66">
        <f t="shared" si="16"/>
        <v>124886.76000000001</v>
      </c>
      <c r="R19" s="66">
        <f t="shared" si="17"/>
        <v>257773.52000000002</v>
      </c>
      <c r="S19" s="121">
        <f t="shared" si="18"/>
        <v>581854.66220000002</v>
      </c>
      <c r="T19" s="121">
        <f t="shared" si="0"/>
        <v>7026192.6622000001</v>
      </c>
      <c r="U19" s="66">
        <f t="shared" si="19"/>
        <v>124886.76000000001</v>
      </c>
      <c r="V19" s="66">
        <f t="shared" si="20"/>
        <v>62443.380000000005</v>
      </c>
      <c r="W19" s="66">
        <f t="shared" si="21"/>
        <v>64443.380000000005</v>
      </c>
      <c r="X19" s="116">
        <v>0</v>
      </c>
      <c r="Y19" s="121">
        <f t="shared" si="1"/>
        <v>251773.52000000002</v>
      </c>
      <c r="Z19" s="24">
        <v>16941</v>
      </c>
      <c r="AA19" s="121">
        <f t="shared" si="4"/>
        <v>6175623.4800000004</v>
      </c>
      <c r="AB19" s="53"/>
      <c r="AD19" s="24">
        <f t="shared" si="22"/>
        <v>6244338</v>
      </c>
      <c r="AE19" s="24">
        <f t="shared" si="5"/>
        <v>6444338</v>
      </c>
      <c r="AF19" s="101">
        <f t="shared" si="23"/>
        <v>6776419.1422000006</v>
      </c>
      <c r="AG19" s="101">
        <f t="shared" si="6"/>
        <v>338820.95711000008</v>
      </c>
      <c r="AH19" s="101">
        <f t="shared" si="7"/>
        <v>6250268.0450900011</v>
      </c>
      <c r="AI19" s="101">
        <f t="shared" si="8"/>
        <v>75003216.541080013</v>
      </c>
      <c r="AJ19" s="101">
        <f t="shared" si="9"/>
        <v>72000000</v>
      </c>
      <c r="AK19" s="113">
        <f t="shared" si="24"/>
        <v>3003000</v>
      </c>
      <c r="AL19" s="113">
        <f t="shared" si="25"/>
        <v>150150</v>
      </c>
      <c r="AM19" s="38">
        <f t="shared" ref="AM19:AM22" si="26">+AL19/12</f>
        <v>12512.5</v>
      </c>
    </row>
    <row r="20" spans="1:39" ht="15" customHeight="1">
      <c r="A20" s="72">
        <v>12</v>
      </c>
      <c r="B20" s="239" t="s">
        <v>65</v>
      </c>
      <c r="C20" s="72">
        <v>12</v>
      </c>
      <c r="D20" s="239" t="s">
        <v>44</v>
      </c>
      <c r="E20" s="72" t="s">
        <v>10</v>
      </c>
      <c r="F20" s="242" t="s">
        <v>263</v>
      </c>
      <c r="G20" s="66">
        <v>6340220</v>
      </c>
      <c r="H20" s="66"/>
      <c r="I20" s="66">
        <v>200000</v>
      </c>
      <c r="J20" s="66">
        <v>0</v>
      </c>
      <c r="K20" s="66">
        <v>0</v>
      </c>
      <c r="L20" s="66">
        <v>0</v>
      </c>
      <c r="M20" s="66"/>
      <c r="N20" s="121">
        <f t="shared" si="13"/>
        <v>6540220</v>
      </c>
      <c r="O20" s="66">
        <f t="shared" si="14"/>
        <v>75448.618000000002</v>
      </c>
      <c r="P20" s="66">
        <f t="shared" si="15"/>
        <v>126804.40000000001</v>
      </c>
      <c r="Q20" s="66">
        <f t="shared" si="16"/>
        <v>126804.40000000001</v>
      </c>
      <c r="R20" s="66">
        <f t="shared" si="17"/>
        <v>261608.80000000002</v>
      </c>
      <c r="S20" s="121">
        <f t="shared" si="18"/>
        <v>590666.21799999999</v>
      </c>
      <c r="T20" s="121">
        <f t="shared" si="0"/>
        <v>7130886.2180000003</v>
      </c>
      <c r="U20" s="66">
        <f t="shared" si="19"/>
        <v>126804.40000000001</v>
      </c>
      <c r="V20" s="66">
        <f t="shared" si="20"/>
        <v>63402.200000000004</v>
      </c>
      <c r="W20" s="66">
        <f t="shared" si="21"/>
        <v>65402.200000000004</v>
      </c>
      <c r="X20" s="116">
        <f>+W20*2</f>
        <v>130804.40000000001</v>
      </c>
      <c r="Y20" s="121">
        <f t="shared" si="1"/>
        <v>386413.2</v>
      </c>
      <c r="Z20" s="24">
        <v>85966</v>
      </c>
      <c r="AA20" s="121">
        <f t="shared" si="4"/>
        <v>6067840.7999999998</v>
      </c>
      <c r="AB20" s="53"/>
      <c r="AD20" s="24">
        <f t="shared" si="22"/>
        <v>6340220</v>
      </c>
      <c r="AE20" s="24">
        <f t="shared" si="5"/>
        <v>6540220</v>
      </c>
      <c r="AF20" s="101">
        <f t="shared" si="23"/>
        <v>6877277.4179999996</v>
      </c>
      <c r="AG20" s="101">
        <f t="shared" si="6"/>
        <v>343863.87089999998</v>
      </c>
      <c r="AH20" s="101">
        <f t="shared" si="7"/>
        <v>6343206.9470999995</v>
      </c>
      <c r="AI20" s="101">
        <f t="shared" si="8"/>
        <v>76118483.365199998</v>
      </c>
      <c r="AJ20" s="101">
        <f t="shared" si="9"/>
        <v>54000000</v>
      </c>
      <c r="AK20" s="113">
        <f t="shared" ref="AK20:AK22" si="27">IF((+AI20-AJ20)&lt;=0,0,TRUNC((AI20-AJ20)/1000)*1000)</f>
        <v>22118000</v>
      </c>
      <c r="AL20" s="113">
        <f t="shared" ref="AL20:AL22" si="28">IF(AK20&lt;=60000000,AK20*5%,IF(AK20&lt;=250000000,3000000+((AK20-60000000)*15%),IF(AK20&lt;=500000000,31500000+((AK20-250000000)*25%),IF(AND(AK20&gt;=500000000,AK20&lt;=5000000000),94000000+((AK20-500000000)*30%),IF(AK20&gt;5000000000,(1444000000+(AK20-5000000000)*35%))))))</f>
        <v>1105900</v>
      </c>
      <c r="AM20" s="38">
        <f t="shared" si="26"/>
        <v>92158.333333333328</v>
      </c>
    </row>
    <row r="21" spans="1:39" ht="15" customHeight="1">
      <c r="A21" s="72">
        <v>13</v>
      </c>
      <c r="B21" s="239" t="s">
        <v>74</v>
      </c>
      <c r="C21" s="72">
        <v>12</v>
      </c>
      <c r="D21" s="239" t="s">
        <v>42</v>
      </c>
      <c r="E21" s="72" t="s">
        <v>7</v>
      </c>
      <c r="F21" s="242" t="s">
        <v>264</v>
      </c>
      <c r="G21" s="66">
        <v>6046413</v>
      </c>
      <c r="H21" s="66"/>
      <c r="I21" s="66">
        <v>300000</v>
      </c>
      <c r="J21" s="160">
        <v>0</v>
      </c>
      <c r="K21" s="160">
        <v>0</v>
      </c>
      <c r="L21" s="160">
        <v>0</v>
      </c>
      <c r="M21" s="66"/>
      <c r="N21" s="121">
        <f t="shared" si="13"/>
        <v>6346413</v>
      </c>
      <c r="O21" s="66">
        <f t="shared" si="14"/>
        <v>71952.314700000003</v>
      </c>
      <c r="P21" s="66">
        <f t="shared" si="15"/>
        <v>120928.26000000001</v>
      </c>
      <c r="Q21" s="66">
        <f t="shared" si="16"/>
        <v>120928.26000000001</v>
      </c>
      <c r="R21" s="66">
        <f t="shared" si="17"/>
        <v>253856.52000000002</v>
      </c>
      <c r="S21" s="121">
        <f t="shared" si="18"/>
        <v>567665.35470000003</v>
      </c>
      <c r="T21" s="121">
        <f t="shared" si="0"/>
        <v>6914078.3547</v>
      </c>
      <c r="U21" s="66">
        <f t="shared" si="19"/>
        <v>120928.26000000001</v>
      </c>
      <c r="V21" s="66">
        <f t="shared" si="20"/>
        <v>60464.130000000005</v>
      </c>
      <c r="W21" s="66">
        <f t="shared" si="21"/>
        <v>63464.130000000005</v>
      </c>
      <c r="X21" s="116">
        <v>0</v>
      </c>
      <c r="Y21" s="121">
        <f t="shared" si="1"/>
        <v>244856.52000000002</v>
      </c>
      <c r="Z21" s="24">
        <v>66722</v>
      </c>
      <c r="AA21" s="121">
        <f t="shared" si="4"/>
        <v>6034834.4800000004</v>
      </c>
      <c r="AB21" s="53"/>
      <c r="AC21" s="4"/>
      <c r="AD21" s="24">
        <f t="shared" si="22"/>
        <v>6046413</v>
      </c>
      <c r="AE21" s="24">
        <f t="shared" si="5"/>
        <v>6346413</v>
      </c>
      <c r="AF21" s="101">
        <f t="shared" si="23"/>
        <v>6672221.8346999995</v>
      </c>
      <c r="AG21" s="101">
        <f t="shared" si="6"/>
        <v>333611.09173500002</v>
      </c>
      <c r="AH21" s="101">
        <f t="shared" si="7"/>
        <v>6157218.3529650001</v>
      </c>
      <c r="AI21" s="101">
        <f t="shared" si="8"/>
        <v>73886620.235579997</v>
      </c>
      <c r="AJ21" s="101">
        <f>IF(E21="TK",54000000,(IF(OR(E21="TK1",E21="K"),58500000,(IF(OR(E21="TK2",E21="K1"),63000000,(IF(OR(OR(E21="TK3",E21="TK4"),E21="K2"),67500000,72000000)))))))</f>
        <v>67500000</v>
      </c>
      <c r="AK21" s="113">
        <f t="shared" si="27"/>
        <v>6386000</v>
      </c>
      <c r="AL21" s="113">
        <f t="shared" si="28"/>
        <v>319300</v>
      </c>
      <c r="AM21" s="38">
        <f t="shared" si="26"/>
        <v>26608.333333333332</v>
      </c>
    </row>
    <row r="22" spans="1:39" ht="15" customHeight="1">
      <c r="A22" s="72">
        <v>14</v>
      </c>
      <c r="B22" s="239" t="s">
        <v>75</v>
      </c>
      <c r="C22" s="72">
        <v>12</v>
      </c>
      <c r="D22" s="239" t="s">
        <v>46</v>
      </c>
      <c r="E22" s="72" t="s">
        <v>10</v>
      </c>
      <c r="F22" s="242" t="s">
        <v>265</v>
      </c>
      <c r="G22" s="66">
        <v>5353160</v>
      </c>
      <c r="H22" s="66"/>
      <c r="I22" s="66">
        <v>200000</v>
      </c>
      <c r="J22" s="66">
        <v>0</v>
      </c>
      <c r="K22" s="66">
        <v>0</v>
      </c>
      <c r="L22" s="66">
        <v>0</v>
      </c>
      <c r="M22" s="66"/>
      <c r="N22" s="121">
        <f t="shared" si="13"/>
        <v>5553160</v>
      </c>
      <c r="O22" s="66">
        <f t="shared" si="14"/>
        <v>63702.604000000007</v>
      </c>
      <c r="P22" s="66">
        <f t="shared" si="15"/>
        <v>107063.2</v>
      </c>
      <c r="Q22" s="66">
        <f t="shared" si="16"/>
        <v>107063.2</v>
      </c>
      <c r="R22" s="66">
        <f t="shared" si="17"/>
        <v>222126.4</v>
      </c>
      <c r="S22" s="121">
        <f t="shared" si="18"/>
        <v>499955.40399999998</v>
      </c>
      <c r="T22" s="121">
        <f t="shared" si="0"/>
        <v>6053115.4040000001</v>
      </c>
      <c r="U22" s="66">
        <f t="shared" si="19"/>
        <v>107063.2</v>
      </c>
      <c r="V22" s="66">
        <f t="shared" si="20"/>
        <v>53531.6</v>
      </c>
      <c r="W22" s="66">
        <f t="shared" si="21"/>
        <v>55531.6</v>
      </c>
      <c r="X22" s="116">
        <v>0</v>
      </c>
      <c r="Y22" s="121">
        <f t="shared" si="1"/>
        <v>216126.4</v>
      </c>
      <c r="Z22" s="24">
        <v>29195</v>
      </c>
      <c r="AA22" s="121">
        <f t="shared" si="4"/>
        <v>5307838.5999999996</v>
      </c>
      <c r="AB22" s="53"/>
      <c r="AD22" s="24">
        <f t="shared" si="22"/>
        <v>5353160</v>
      </c>
      <c r="AE22" s="24">
        <f t="shared" si="5"/>
        <v>5553160</v>
      </c>
      <c r="AF22" s="101">
        <f t="shared" si="23"/>
        <v>5838989.0040000007</v>
      </c>
      <c r="AG22" s="101">
        <f t="shared" si="6"/>
        <v>291949.45020000002</v>
      </c>
      <c r="AH22" s="101">
        <f t="shared" si="7"/>
        <v>5386444.753800001</v>
      </c>
      <c r="AI22" s="101">
        <f t="shared" si="8"/>
        <v>64637337.045600012</v>
      </c>
      <c r="AJ22" s="101">
        <f t="shared" si="9"/>
        <v>54000000</v>
      </c>
      <c r="AK22" s="113">
        <f t="shared" si="27"/>
        <v>10637000</v>
      </c>
      <c r="AL22" s="113">
        <f t="shared" si="28"/>
        <v>531850</v>
      </c>
      <c r="AM22" s="38">
        <f t="shared" si="26"/>
        <v>44320.833333333336</v>
      </c>
    </row>
    <row r="23" spans="1:39" ht="15" customHeight="1">
      <c r="A23" s="72">
        <v>15</v>
      </c>
      <c r="B23" s="239" t="s">
        <v>66</v>
      </c>
      <c r="C23" s="72">
        <v>12</v>
      </c>
      <c r="D23" s="239" t="s">
        <v>79</v>
      </c>
      <c r="E23" s="72" t="s">
        <v>10</v>
      </c>
      <c r="F23" s="242" t="s">
        <v>266</v>
      </c>
      <c r="G23" s="66">
        <v>4877211</v>
      </c>
      <c r="H23" s="66"/>
      <c r="I23" s="66">
        <v>200000</v>
      </c>
      <c r="J23" s="66">
        <v>0</v>
      </c>
      <c r="K23" s="66">
        <v>0</v>
      </c>
      <c r="L23" s="66">
        <v>0</v>
      </c>
      <c r="M23" s="66"/>
      <c r="N23" s="121">
        <f t="shared" si="13"/>
        <v>5077211</v>
      </c>
      <c r="O23" s="66">
        <f t="shared" si="14"/>
        <v>58038.810900000004</v>
      </c>
      <c r="P23" s="66">
        <f t="shared" si="15"/>
        <v>97544.22</v>
      </c>
      <c r="Q23" s="66">
        <f t="shared" si="16"/>
        <v>97544.22</v>
      </c>
      <c r="R23" s="66">
        <f t="shared" si="17"/>
        <v>203088.44</v>
      </c>
      <c r="S23" s="121">
        <f t="shared" si="18"/>
        <v>456215.69090000005</v>
      </c>
      <c r="T23" s="121">
        <f t="shared" si="0"/>
        <v>5533426.6908999998</v>
      </c>
      <c r="U23" s="66">
        <f t="shared" si="19"/>
        <v>97544.22</v>
      </c>
      <c r="V23" s="66">
        <f t="shared" si="20"/>
        <v>48772.11</v>
      </c>
      <c r="W23" s="66">
        <f t="shared" si="21"/>
        <v>50772.11</v>
      </c>
      <c r="X23" s="116">
        <v>0</v>
      </c>
      <c r="Y23" s="121">
        <f t="shared" si="1"/>
        <v>197088.44</v>
      </c>
      <c r="Z23" s="24">
        <v>0</v>
      </c>
      <c r="AA23" s="121">
        <f t="shared" si="4"/>
        <v>4880122.5599999996</v>
      </c>
      <c r="AB23" s="53"/>
      <c r="AD23" s="24">
        <f t="shared" si="22"/>
        <v>4877211</v>
      </c>
      <c r="AE23" s="24">
        <f t="shared" si="5"/>
        <v>5077211</v>
      </c>
      <c r="AF23" s="101">
        <f>+N23+O23+R23</f>
        <v>5338338.2509000003</v>
      </c>
      <c r="AG23" s="101">
        <f t="shared" si="6"/>
        <v>266916.91254500003</v>
      </c>
      <c r="AH23" s="101">
        <f t="shared" si="7"/>
        <v>4925105.0083550001</v>
      </c>
      <c r="AI23" s="101">
        <f t="shared" si="8"/>
        <v>59101260.100260004</v>
      </c>
      <c r="AJ23" s="101">
        <f t="shared" si="9"/>
        <v>54000000</v>
      </c>
      <c r="AK23" s="113">
        <f t="shared" si="24"/>
        <v>5101000</v>
      </c>
      <c r="AL23" s="113">
        <f t="shared" si="25"/>
        <v>255050</v>
      </c>
      <c r="AM23" s="38">
        <f t="shared" si="12"/>
        <v>21254.166666666668</v>
      </c>
    </row>
    <row r="24" spans="1:39" ht="15" customHeight="1">
      <c r="A24" s="72">
        <v>16</v>
      </c>
      <c r="B24" s="239" t="s">
        <v>34</v>
      </c>
      <c r="C24" s="72">
        <v>12</v>
      </c>
      <c r="D24" s="239" t="s">
        <v>80</v>
      </c>
      <c r="E24" s="72" t="s">
        <v>10</v>
      </c>
      <c r="F24" s="242" t="s">
        <v>267</v>
      </c>
      <c r="G24" s="66">
        <v>4877211</v>
      </c>
      <c r="H24" s="66"/>
      <c r="I24" s="66">
        <v>200000</v>
      </c>
      <c r="J24" s="66">
        <v>0</v>
      </c>
      <c r="K24" s="66">
        <v>0</v>
      </c>
      <c r="L24" s="66">
        <v>0</v>
      </c>
      <c r="M24" s="66"/>
      <c r="N24" s="121">
        <f t="shared" si="13"/>
        <v>5077211</v>
      </c>
      <c r="O24" s="66">
        <f t="shared" si="14"/>
        <v>58038.810900000004</v>
      </c>
      <c r="P24" s="66">
        <f t="shared" si="15"/>
        <v>97544.22</v>
      </c>
      <c r="Q24" s="66">
        <f t="shared" si="16"/>
        <v>97544.22</v>
      </c>
      <c r="R24" s="66">
        <f t="shared" si="17"/>
        <v>203088.44</v>
      </c>
      <c r="S24" s="121">
        <f t="shared" si="18"/>
        <v>456215.69090000005</v>
      </c>
      <c r="T24" s="121">
        <f t="shared" si="0"/>
        <v>5533426.6908999998</v>
      </c>
      <c r="U24" s="66">
        <f t="shared" si="19"/>
        <v>97544.22</v>
      </c>
      <c r="V24" s="66">
        <f t="shared" si="20"/>
        <v>48772.11</v>
      </c>
      <c r="W24" s="66">
        <f t="shared" si="21"/>
        <v>50772.11</v>
      </c>
      <c r="X24" s="116">
        <v>0</v>
      </c>
      <c r="Y24" s="121">
        <f t="shared" si="1"/>
        <v>197088.44</v>
      </c>
      <c r="Z24" s="24">
        <v>0</v>
      </c>
      <c r="AA24" s="121">
        <f t="shared" si="4"/>
        <v>4880122.5599999996</v>
      </c>
      <c r="AB24" s="53"/>
      <c r="AD24" s="24">
        <f t="shared" si="22"/>
        <v>4877211</v>
      </c>
      <c r="AE24" s="24">
        <f t="shared" si="5"/>
        <v>5077211</v>
      </c>
      <c r="AF24" s="101">
        <f t="shared" ref="AF24:AF26" si="29">+N24+O24+R24</f>
        <v>5338338.2509000003</v>
      </c>
      <c r="AG24" s="101">
        <f t="shared" si="6"/>
        <v>266916.91254500003</v>
      </c>
      <c r="AH24" s="101">
        <f t="shared" si="7"/>
        <v>4925105.0083550001</v>
      </c>
      <c r="AI24" s="101">
        <f t="shared" si="8"/>
        <v>59101260.100260004</v>
      </c>
      <c r="AJ24" s="101">
        <f t="shared" si="9"/>
        <v>54000000</v>
      </c>
      <c r="AK24" s="113">
        <f t="shared" si="24"/>
        <v>5101000</v>
      </c>
      <c r="AL24" s="113">
        <f t="shared" si="25"/>
        <v>255050</v>
      </c>
      <c r="AM24" s="38">
        <f t="shared" si="12"/>
        <v>21254.166666666668</v>
      </c>
    </row>
    <row r="25" spans="1:39" ht="15" customHeight="1">
      <c r="A25" s="72">
        <v>17</v>
      </c>
      <c r="B25" s="239" t="s">
        <v>67</v>
      </c>
      <c r="C25" s="72">
        <v>12</v>
      </c>
      <c r="D25" s="239" t="s">
        <v>81</v>
      </c>
      <c r="E25" s="72" t="s">
        <v>10</v>
      </c>
      <c r="F25" s="242" t="s">
        <v>268</v>
      </c>
      <c r="G25" s="66">
        <v>4877211</v>
      </c>
      <c r="H25" s="66"/>
      <c r="I25" s="66">
        <v>200000</v>
      </c>
      <c r="J25" s="160">
        <v>0</v>
      </c>
      <c r="K25" s="160">
        <v>0</v>
      </c>
      <c r="L25" s="160">
        <v>0</v>
      </c>
      <c r="M25" s="66"/>
      <c r="N25" s="121">
        <f t="shared" si="13"/>
        <v>5077211</v>
      </c>
      <c r="O25" s="66">
        <f t="shared" si="14"/>
        <v>58038.810900000004</v>
      </c>
      <c r="P25" s="66">
        <f t="shared" si="15"/>
        <v>97544.22</v>
      </c>
      <c r="Q25" s="66">
        <f t="shared" si="16"/>
        <v>97544.22</v>
      </c>
      <c r="R25" s="66">
        <f t="shared" si="17"/>
        <v>203088.44</v>
      </c>
      <c r="S25" s="121">
        <f t="shared" si="18"/>
        <v>456215.69090000005</v>
      </c>
      <c r="T25" s="121">
        <f t="shared" si="0"/>
        <v>5533426.6908999998</v>
      </c>
      <c r="U25" s="66">
        <f t="shared" si="19"/>
        <v>97544.22</v>
      </c>
      <c r="V25" s="66">
        <f t="shared" si="20"/>
        <v>48772.11</v>
      </c>
      <c r="W25" s="66">
        <f t="shared" si="21"/>
        <v>50772.11</v>
      </c>
      <c r="X25" s="116">
        <v>0</v>
      </c>
      <c r="Y25" s="121">
        <f t="shared" si="1"/>
        <v>197088.44</v>
      </c>
      <c r="Z25" s="24">
        <v>0</v>
      </c>
      <c r="AA25" s="121">
        <f t="shared" si="4"/>
        <v>4880122.5599999996</v>
      </c>
      <c r="AB25" s="53"/>
      <c r="AD25" s="24">
        <f t="shared" si="22"/>
        <v>4877211</v>
      </c>
      <c r="AE25" s="24">
        <f t="shared" si="5"/>
        <v>5077211</v>
      </c>
      <c r="AF25" s="101">
        <f t="shared" si="29"/>
        <v>5338338.2509000003</v>
      </c>
      <c r="AG25" s="101">
        <f t="shared" si="6"/>
        <v>266916.91254500003</v>
      </c>
      <c r="AH25" s="101">
        <f t="shared" si="7"/>
        <v>4925105.0083550001</v>
      </c>
      <c r="AI25" s="101">
        <f t="shared" si="8"/>
        <v>59101260.100260004</v>
      </c>
      <c r="AJ25" s="101">
        <f t="shared" si="9"/>
        <v>54000000</v>
      </c>
      <c r="AK25" s="113">
        <f t="shared" si="24"/>
        <v>5101000</v>
      </c>
      <c r="AL25" s="113">
        <f t="shared" si="25"/>
        <v>255050</v>
      </c>
      <c r="AM25" s="38">
        <f t="shared" si="12"/>
        <v>21254.166666666668</v>
      </c>
    </row>
    <row r="26" spans="1:39" ht="15" customHeight="1">
      <c r="A26" s="72">
        <v>18</v>
      </c>
      <c r="B26" s="239" t="s">
        <v>143</v>
      </c>
      <c r="C26" s="72">
        <v>12</v>
      </c>
      <c r="D26" s="239" t="s">
        <v>81</v>
      </c>
      <c r="E26" s="72" t="s">
        <v>10</v>
      </c>
      <c r="F26" s="245" t="s">
        <v>269</v>
      </c>
      <c r="G26" s="66">
        <v>4877211</v>
      </c>
      <c r="H26" s="66"/>
      <c r="I26" s="66">
        <v>200000</v>
      </c>
      <c r="J26" s="66">
        <v>0</v>
      </c>
      <c r="K26" s="66">
        <v>0</v>
      </c>
      <c r="L26" s="66">
        <v>0</v>
      </c>
      <c r="M26" s="66"/>
      <c r="N26" s="121">
        <f>SUM(G26:M26)</f>
        <v>5077211</v>
      </c>
      <c r="O26" s="66">
        <f t="shared" si="14"/>
        <v>58038.810900000004</v>
      </c>
      <c r="P26" s="66">
        <f t="shared" si="15"/>
        <v>97544.22</v>
      </c>
      <c r="Q26" s="66">
        <f t="shared" si="16"/>
        <v>97544.22</v>
      </c>
      <c r="R26" s="66">
        <f t="shared" si="17"/>
        <v>203088.44</v>
      </c>
      <c r="S26" s="121">
        <f t="shared" si="18"/>
        <v>456215.69090000005</v>
      </c>
      <c r="T26" s="121">
        <f t="shared" si="0"/>
        <v>5533426.6908999998</v>
      </c>
      <c r="U26" s="66">
        <f t="shared" si="19"/>
        <v>97544.22</v>
      </c>
      <c r="V26" s="66">
        <f t="shared" si="20"/>
        <v>48772.11</v>
      </c>
      <c r="W26" s="66">
        <f t="shared" si="21"/>
        <v>50772.11</v>
      </c>
      <c r="X26" s="116">
        <v>0</v>
      </c>
      <c r="Y26" s="121">
        <f t="shared" si="1"/>
        <v>197088.44</v>
      </c>
      <c r="Z26" s="24">
        <v>0</v>
      </c>
      <c r="AA26" s="121">
        <f>+N26-Y26-Z26</f>
        <v>4880122.5599999996</v>
      </c>
      <c r="AB26" s="53"/>
      <c r="AD26" s="24">
        <f t="shared" si="22"/>
        <v>4877211</v>
      </c>
      <c r="AE26" s="24">
        <f t="shared" si="5"/>
        <v>5077211</v>
      </c>
      <c r="AF26" s="101">
        <f t="shared" si="29"/>
        <v>5338338.2509000003</v>
      </c>
      <c r="AG26" s="101">
        <f>IF(AF26*$AG$7&gt;500000,500000,AF26*$AG$7)</f>
        <v>266916.91254500003</v>
      </c>
      <c r="AH26" s="101">
        <f t="shared" si="7"/>
        <v>4925105.0083550001</v>
      </c>
      <c r="AI26" s="101">
        <f t="shared" si="8"/>
        <v>59101260.100260004</v>
      </c>
      <c r="AJ26" s="101">
        <f t="shared" si="9"/>
        <v>54000000</v>
      </c>
      <c r="AK26" s="113">
        <f t="shared" si="24"/>
        <v>5101000</v>
      </c>
      <c r="AL26" s="113">
        <f t="shared" si="25"/>
        <v>255050</v>
      </c>
      <c r="AM26" s="38">
        <f t="shared" si="12"/>
        <v>21254.166666666668</v>
      </c>
    </row>
    <row r="27" spans="1:39" ht="15" customHeight="1">
      <c r="A27" s="42"/>
      <c r="B27" s="43"/>
      <c r="C27" s="43"/>
      <c r="D27" s="43"/>
      <c r="E27" s="42"/>
      <c r="F27" s="35"/>
      <c r="G27" s="36"/>
      <c r="H27" s="36"/>
      <c r="I27" s="36"/>
      <c r="J27" s="36"/>
      <c r="K27" s="36"/>
      <c r="L27" s="36"/>
      <c r="M27" s="36"/>
      <c r="N27" s="37"/>
      <c r="O27" s="36"/>
      <c r="P27" s="36"/>
      <c r="Q27" s="37"/>
      <c r="R27" s="36"/>
      <c r="S27" s="37"/>
      <c r="T27" s="37"/>
      <c r="U27" s="36"/>
      <c r="V27" s="36"/>
      <c r="W27" s="36">
        <f ca="1">SUM(W9:W27)</f>
        <v>0</v>
      </c>
      <c r="X27" s="36"/>
      <c r="Y27" s="37"/>
      <c r="Z27" s="37"/>
      <c r="AA27" s="37"/>
    </row>
    <row r="28" spans="1:39" ht="15" customHeight="1">
      <c r="A28" s="277" t="s">
        <v>11</v>
      </c>
      <c r="B28" s="277"/>
      <c r="C28" s="277"/>
      <c r="D28" s="277"/>
      <c r="E28" s="277"/>
      <c r="F28" s="277"/>
      <c r="G28" s="119">
        <f>SUM(G9:G27)</f>
        <v>125616509</v>
      </c>
      <c r="H28" s="119">
        <f>SUM(H9:H27)</f>
        <v>0</v>
      </c>
      <c r="I28" s="119">
        <f>SUM(I9:I27)</f>
        <v>5500000</v>
      </c>
      <c r="J28" s="119">
        <f>SUM(J10:J27)</f>
        <v>0</v>
      </c>
      <c r="K28" s="119">
        <f>SUM(K8:K27)</f>
        <v>0</v>
      </c>
      <c r="L28" s="119">
        <f t="shared" ref="L28:Y28" si="30">SUM(L9:L27)</f>
        <v>0</v>
      </c>
      <c r="M28" s="119">
        <f t="shared" si="30"/>
        <v>0</v>
      </c>
      <c r="N28" s="119">
        <f t="shared" si="30"/>
        <v>131116509</v>
      </c>
      <c r="O28" s="119">
        <f>SUM(O9:O27)</f>
        <v>1393686.4570999998</v>
      </c>
      <c r="P28" s="119">
        <f>SUM(P9:P27)</f>
        <v>2342330.1800000002</v>
      </c>
      <c r="Q28" s="119">
        <f t="shared" si="30"/>
        <v>2342330.1800000002</v>
      </c>
      <c r="R28" s="119">
        <f>SUM(R9:R27)</f>
        <v>5244660.3600000013</v>
      </c>
      <c r="S28" s="119">
        <f t="shared" si="30"/>
        <v>11323007.177099999</v>
      </c>
      <c r="T28" s="119">
        <f t="shared" si="30"/>
        <v>142439516.1771</v>
      </c>
      <c r="U28" s="119">
        <f t="shared" si="30"/>
        <v>2246399.1800000002</v>
      </c>
      <c r="V28" s="119">
        <f t="shared" si="30"/>
        <v>1171165.0900000001</v>
      </c>
      <c r="W28" s="119">
        <f>SUM(W9:W26)</f>
        <v>1311165.0900000003</v>
      </c>
      <c r="X28" s="119">
        <f t="shared" si="30"/>
        <v>578871.48</v>
      </c>
      <c r="Y28" s="119">
        <f t="shared" si="30"/>
        <v>5307600.8400000017</v>
      </c>
      <c r="Z28" s="119">
        <f>SUM(Z9:Z27)</f>
        <v>1652454</v>
      </c>
      <c r="AA28" s="119">
        <f>SUM(AA9:AA27)</f>
        <v>124156454.16000001</v>
      </c>
    </row>
    <row r="29" spans="1:39" ht="15" customHeight="1">
      <c r="A29" s="278"/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80"/>
      <c r="N29" s="40">
        <f>+T28</f>
        <v>142439516.1771</v>
      </c>
      <c r="O29" s="278"/>
      <c r="P29" s="279"/>
      <c r="Q29" s="279"/>
      <c r="R29" s="280"/>
      <c r="S29" s="118">
        <f>+O28+P28+Q28+U28+V28</f>
        <v>9495911.0870999992</v>
      </c>
      <c r="T29" s="40">
        <f>+R28+W28+X28</f>
        <v>7134696.9300000016</v>
      </c>
      <c r="U29" s="281"/>
      <c r="V29" s="281"/>
      <c r="W29" s="281"/>
      <c r="X29" s="281"/>
      <c r="Y29" s="40"/>
      <c r="Z29" s="40">
        <f>+Z28</f>
        <v>1652454</v>
      </c>
      <c r="AA29" s="40">
        <f>+AA28</f>
        <v>124156454.16000001</v>
      </c>
    </row>
    <row r="32" spans="1:39" ht="15" customHeight="1">
      <c r="R32" s="165"/>
      <c r="AB32" s="94"/>
    </row>
    <row r="33" spans="18:28" ht="15" customHeight="1">
      <c r="R33" s="290"/>
      <c r="S33" s="290"/>
      <c r="AB33" s="94"/>
    </row>
    <row r="34" spans="18:28" ht="15" customHeight="1">
      <c r="AB34" s="94"/>
    </row>
    <row r="35" spans="18:28" ht="15" customHeight="1">
      <c r="AB35" s="94"/>
    </row>
    <row r="36" spans="18:28" ht="15" customHeight="1">
      <c r="T36" s="141"/>
      <c r="AB36" s="94"/>
    </row>
    <row r="37" spans="18:28" ht="15" customHeight="1">
      <c r="AB37" s="94"/>
    </row>
    <row r="38" spans="18:28" ht="15" customHeight="1">
      <c r="AB38" s="94"/>
    </row>
    <row r="39" spans="18:28" ht="15" customHeight="1">
      <c r="AB39" s="94"/>
    </row>
  </sheetData>
  <mergeCells count="34">
    <mergeCell ref="R33:S33"/>
    <mergeCell ref="AI5:AI6"/>
    <mergeCell ref="AJ5:AJ7"/>
    <mergeCell ref="AK5:AK7"/>
    <mergeCell ref="AL5:AL7"/>
    <mergeCell ref="Y5:Z5"/>
    <mergeCell ref="AA5:AA6"/>
    <mergeCell ref="Z6:Z7"/>
    <mergeCell ref="I5:M5"/>
    <mergeCell ref="N5:N7"/>
    <mergeCell ref="O5:R5"/>
    <mergeCell ref="I6:I7"/>
    <mergeCell ref="AM5:AM7"/>
    <mergeCell ref="AD5:AD7"/>
    <mergeCell ref="AE5:AE7"/>
    <mergeCell ref="AF5:AF7"/>
    <mergeCell ref="AG5:AG6"/>
    <mergeCell ref="AH5:AH7"/>
    <mergeCell ref="A28:F28"/>
    <mergeCell ref="A29:M29"/>
    <mergeCell ref="O29:R29"/>
    <mergeCell ref="U29:X29"/>
    <mergeCell ref="S5:S7"/>
    <mergeCell ref="T5:T7"/>
    <mergeCell ref="U5:X5"/>
    <mergeCell ref="A5:A7"/>
    <mergeCell ref="B5:B7"/>
    <mergeCell ref="D5:D7"/>
    <mergeCell ref="E5:E7"/>
    <mergeCell ref="F5:F7"/>
    <mergeCell ref="J6:J7"/>
    <mergeCell ref="K6:K7"/>
    <mergeCell ref="G5:G7"/>
    <mergeCell ref="H5:H7"/>
  </mergeCells>
  <printOptions horizontalCentered="1"/>
  <pageMargins left="1.1811023622047245" right="0" top="0.98425196850393704" bottom="0.19685039370078741" header="0.31496062992125984" footer="0.31496062992125984"/>
  <pageSetup paperSize="5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544"/>
  <sheetViews>
    <sheetView topLeftCell="A151" zoomScaleNormal="100" workbookViewId="0">
      <selection activeCell="H160" sqref="H160"/>
    </sheetView>
  </sheetViews>
  <sheetFormatPr defaultRowHeight="15"/>
  <cols>
    <col min="1" max="1" width="3" style="210" customWidth="1"/>
    <col min="2" max="2" width="17.7109375" style="210" customWidth="1"/>
    <col min="3" max="3" width="2.28515625" style="210" customWidth="1"/>
    <col min="4" max="4" width="6.42578125" style="210" customWidth="1"/>
    <col min="5" max="5" width="4.5703125" style="210" customWidth="1"/>
    <col min="6" max="6" width="2.85546875" style="210" customWidth="1"/>
    <col min="7" max="7" width="7.85546875" style="210" customWidth="1"/>
    <col min="8" max="8" width="9.7109375" style="210" customWidth="1"/>
    <col min="9" max="9" width="3.28515625" style="210" customWidth="1"/>
    <col min="10" max="10" width="3.7109375" style="210" customWidth="1"/>
    <col min="11" max="11" width="3" style="210" customWidth="1"/>
    <col min="12" max="12" width="17.5703125" style="210" customWidth="1"/>
    <col min="13" max="13" width="2.85546875" style="210" customWidth="1"/>
    <col min="14" max="14" width="7" style="210" customWidth="1"/>
    <col min="15" max="15" width="4.5703125" style="210" customWidth="1"/>
    <col min="16" max="16" width="2.85546875" style="210" customWidth="1"/>
    <col min="17" max="17" width="8.42578125" style="210" customWidth="1"/>
    <col min="18" max="18" width="10.42578125" style="210" customWidth="1"/>
    <col min="19" max="19" width="3.28515625" style="210" customWidth="1"/>
  </cols>
  <sheetData>
    <row r="1" spans="1:19">
      <c r="A1" s="166"/>
      <c r="B1" s="167"/>
      <c r="C1" s="167"/>
      <c r="D1" s="167"/>
      <c r="E1" s="167"/>
      <c r="F1" s="167"/>
      <c r="G1" s="167"/>
      <c r="H1" s="167"/>
      <c r="I1" s="168"/>
      <c r="J1" s="169"/>
      <c r="K1" s="166"/>
      <c r="L1" s="167"/>
      <c r="M1" s="167"/>
      <c r="N1" s="167"/>
      <c r="O1" s="167"/>
      <c r="P1" s="167"/>
      <c r="Q1" s="167"/>
      <c r="R1" s="167"/>
      <c r="S1" s="168"/>
    </row>
    <row r="2" spans="1:19">
      <c r="A2" s="170"/>
      <c r="B2" s="169"/>
      <c r="C2" s="169"/>
      <c r="D2" s="169"/>
      <c r="E2" s="169"/>
      <c r="F2" s="169"/>
      <c r="G2" s="169"/>
      <c r="H2" s="169"/>
      <c r="I2" s="171"/>
      <c r="J2" s="169"/>
      <c r="K2" s="170"/>
      <c r="L2" s="169"/>
      <c r="M2" s="169"/>
      <c r="N2" s="169"/>
      <c r="O2" s="169"/>
      <c r="P2" s="169"/>
      <c r="Q2" s="169"/>
      <c r="R2" s="169"/>
      <c r="S2" s="171"/>
    </row>
    <row r="3" spans="1:19">
      <c r="A3" s="170"/>
      <c r="B3" s="169"/>
      <c r="C3" s="169"/>
      <c r="D3" s="169"/>
      <c r="E3" s="169"/>
      <c r="F3" s="169"/>
      <c r="G3" s="169"/>
      <c r="H3" s="169"/>
      <c r="I3" s="171"/>
      <c r="J3" s="169"/>
      <c r="K3" s="170"/>
      <c r="L3" s="169"/>
      <c r="M3" s="169"/>
      <c r="N3" s="169"/>
      <c r="O3" s="169"/>
      <c r="P3" s="169"/>
      <c r="Q3" s="169"/>
      <c r="R3" s="169"/>
      <c r="S3" s="171"/>
    </row>
    <row r="4" spans="1:19" ht="15" customHeight="1">
      <c r="A4" s="170"/>
      <c r="B4" s="169"/>
      <c r="C4" s="169"/>
      <c r="D4" s="169"/>
      <c r="E4" s="169"/>
      <c r="F4" s="169"/>
      <c r="G4" s="169"/>
      <c r="H4" s="169"/>
      <c r="I4" s="171"/>
      <c r="J4" s="169"/>
      <c r="K4" s="170"/>
      <c r="L4" s="169"/>
      <c r="M4" s="169"/>
      <c r="N4" s="169"/>
      <c r="O4" s="169"/>
      <c r="P4" s="169"/>
      <c r="Q4" s="169"/>
      <c r="R4" s="169"/>
      <c r="S4" s="171"/>
    </row>
    <row r="5" spans="1:19">
      <c r="A5" s="170"/>
      <c r="B5" s="294" t="s">
        <v>196</v>
      </c>
      <c r="C5" s="294"/>
      <c r="D5" s="294"/>
      <c r="E5" s="294"/>
      <c r="F5" s="294"/>
      <c r="G5" s="294"/>
      <c r="H5" s="294"/>
      <c r="I5" s="295"/>
      <c r="J5" s="169"/>
      <c r="K5" s="170"/>
      <c r="L5" s="294" t="s">
        <v>196</v>
      </c>
      <c r="M5" s="294"/>
      <c r="N5" s="294"/>
      <c r="O5" s="294"/>
      <c r="P5" s="294"/>
      <c r="Q5" s="294"/>
      <c r="R5" s="294"/>
      <c r="S5" s="295"/>
    </row>
    <row r="6" spans="1:19" ht="15" customHeight="1">
      <c r="A6" s="172"/>
      <c r="B6" s="173" t="s">
        <v>197</v>
      </c>
      <c r="C6" s="174" t="s">
        <v>198</v>
      </c>
      <c r="D6" s="175">
        <f>'[2]G-STAFF'!A8</f>
        <v>1</v>
      </c>
      <c r="E6" s="173"/>
      <c r="F6" s="173"/>
      <c r="G6" s="173"/>
      <c r="H6" s="173"/>
      <c r="I6" s="176"/>
      <c r="J6" s="173"/>
      <c r="K6" s="172"/>
      <c r="L6" s="173" t="s">
        <v>197</v>
      </c>
      <c r="M6" s="174" t="s">
        <v>198</v>
      </c>
      <c r="N6" s="175">
        <f>'[2]G-STAFF'!A9</f>
        <v>2</v>
      </c>
      <c r="O6" s="175"/>
      <c r="P6" s="173"/>
      <c r="Q6" s="173"/>
      <c r="R6" s="173"/>
      <c r="S6" s="176"/>
    </row>
    <row r="7" spans="1:19" ht="15" customHeight="1">
      <c r="A7" s="172"/>
      <c r="B7" s="173" t="s">
        <v>199</v>
      </c>
      <c r="C7" s="174" t="s">
        <v>198</v>
      </c>
      <c r="D7" s="177" t="str">
        <f>'[2]G-STAFF'!A3</f>
        <v>01 JANUARI  S/D  31 JANUARI  2025</v>
      </c>
      <c r="E7" s="173"/>
      <c r="F7" s="173"/>
      <c r="G7" s="173"/>
      <c r="H7" s="173"/>
      <c r="I7" s="176"/>
      <c r="J7" s="173"/>
      <c r="K7" s="172"/>
      <c r="L7" s="173" t="s">
        <v>199</v>
      </c>
      <c r="M7" s="174" t="s">
        <v>198</v>
      </c>
      <c r="N7" s="178" t="str">
        <f>'[2]G-STAFF'!A3</f>
        <v>01 JANUARI  S/D  31 JANUARI  2025</v>
      </c>
      <c r="O7" s="179"/>
      <c r="P7" s="173"/>
      <c r="Q7" s="173"/>
      <c r="R7" s="173"/>
      <c r="S7" s="176"/>
    </row>
    <row r="8" spans="1:19" ht="15" customHeight="1">
      <c r="A8" s="172"/>
      <c r="B8" s="173" t="s">
        <v>200</v>
      </c>
      <c r="C8" s="174" t="s">
        <v>198</v>
      </c>
      <c r="D8" s="180" t="str">
        <f>'[2]G-STAFF'!B8</f>
        <v>EDDY SILALAHI, SE</v>
      </c>
      <c r="E8" s="173"/>
      <c r="F8" s="173"/>
      <c r="G8" s="173"/>
      <c r="H8" s="173"/>
      <c r="I8" s="176"/>
      <c r="J8" s="173"/>
      <c r="K8" s="172"/>
      <c r="L8" s="173" t="s">
        <v>200</v>
      </c>
      <c r="M8" s="174" t="s">
        <v>198</v>
      </c>
      <c r="N8" s="181" t="str">
        <f>'[2]G-STAFF'!B9</f>
        <v>KUSUMA DWI PRABASARI</v>
      </c>
      <c r="O8" s="173"/>
      <c r="P8" s="173"/>
      <c r="Q8" s="173"/>
      <c r="R8" s="173"/>
      <c r="S8" s="176"/>
    </row>
    <row r="9" spans="1:19" ht="15" customHeight="1" thickBot="1">
      <c r="A9" s="172"/>
      <c r="B9" s="173" t="s">
        <v>201</v>
      </c>
      <c r="C9" s="174" t="s">
        <v>198</v>
      </c>
      <c r="D9" s="177" t="str">
        <f>'[2]G-STAFF'!H8</f>
        <v>CHIEF ACC.</v>
      </c>
      <c r="E9" s="173"/>
      <c r="F9" s="173"/>
      <c r="G9" s="173"/>
      <c r="H9" s="173"/>
      <c r="I9" s="176"/>
      <c r="J9" s="173"/>
      <c r="K9" s="172"/>
      <c r="L9" s="173" t="s">
        <v>201</v>
      </c>
      <c r="M9" s="174" t="s">
        <v>198</v>
      </c>
      <c r="N9" s="178" t="str">
        <f>'[2]G-STAFF'!H9</f>
        <v>PPIC/MARKETING</v>
      </c>
      <c r="O9" s="179"/>
      <c r="P9" s="173"/>
      <c r="Q9" s="173"/>
      <c r="R9" s="173"/>
      <c r="S9" s="176"/>
    </row>
    <row r="10" spans="1:19" ht="15" customHeight="1" thickTop="1">
      <c r="A10" s="170"/>
      <c r="B10" s="182"/>
      <c r="C10" s="182"/>
      <c r="D10" s="182"/>
      <c r="E10" s="182"/>
      <c r="F10" s="182"/>
      <c r="G10" s="182"/>
      <c r="H10" s="182"/>
      <c r="I10" s="183"/>
      <c r="J10" s="169"/>
      <c r="K10" s="170"/>
      <c r="L10" s="182"/>
      <c r="M10" s="182"/>
      <c r="N10" s="182"/>
      <c r="O10" s="182"/>
      <c r="P10" s="182"/>
      <c r="Q10" s="182"/>
      <c r="R10" s="182"/>
      <c r="S10" s="183"/>
    </row>
    <row r="11" spans="1:19">
      <c r="A11" s="170"/>
      <c r="B11" s="184" t="s">
        <v>202</v>
      </c>
      <c r="C11" s="185"/>
      <c r="D11" s="185"/>
      <c r="E11" s="185"/>
      <c r="F11" s="185"/>
      <c r="G11" s="185"/>
      <c r="H11" s="185"/>
      <c r="I11" s="183"/>
      <c r="J11" s="169"/>
      <c r="K11" s="170"/>
      <c r="L11" s="184" t="s">
        <v>202</v>
      </c>
      <c r="M11" s="184"/>
      <c r="N11" s="185"/>
      <c r="O11" s="185"/>
      <c r="P11" s="185"/>
      <c r="Q11" s="185"/>
      <c r="R11" s="185"/>
      <c r="S11" s="183"/>
    </row>
    <row r="12" spans="1:19" ht="15" customHeight="1">
      <c r="A12" s="170"/>
      <c r="B12" s="186" t="s">
        <v>111</v>
      </c>
      <c r="C12" s="186"/>
      <c r="D12" s="186"/>
      <c r="E12" s="186"/>
      <c r="F12" s="186"/>
      <c r="G12" s="187"/>
      <c r="H12" s="187">
        <f>'[2]G-STAFF'!J8</f>
        <v>8500000</v>
      </c>
      <c r="I12" s="188"/>
      <c r="J12" s="187"/>
      <c r="K12" s="170"/>
      <c r="L12" s="186" t="s">
        <v>111</v>
      </c>
      <c r="M12" s="186"/>
      <c r="N12" s="186"/>
      <c r="O12" s="186"/>
      <c r="P12" s="186"/>
      <c r="Q12" s="187"/>
      <c r="R12" s="187">
        <f>+STAFF!G10</f>
        <v>9450558</v>
      </c>
      <c r="S12" s="188"/>
    </row>
    <row r="13" spans="1:19" ht="15" customHeight="1">
      <c r="A13" s="170"/>
      <c r="B13" s="186" t="s">
        <v>203</v>
      </c>
      <c r="C13" s="186"/>
      <c r="D13" s="186"/>
      <c r="E13" s="186"/>
      <c r="F13" s="186"/>
      <c r="G13" s="187"/>
      <c r="H13" s="187">
        <f>+STAFF!I9</f>
        <v>0</v>
      </c>
      <c r="I13" s="188"/>
      <c r="J13" s="187"/>
      <c r="K13" s="170"/>
      <c r="L13" s="186" t="s">
        <v>203</v>
      </c>
      <c r="M13" s="186"/>
      <c r="N13" s="186"/>
      <c r="O13" s="186"/>
      <c r="P13" s="186"/>
      <c r="Q13" s="187"/>
      <c r="R13" s="187">
        <f>+STAFF!I10</f>
        <v>500000</v>
      </c>
      <c r="S13" s="188"/>
    </row>
    <row r="14" spans="1:19" ht="15" customHeight="1">
      <c r="A14" s="170"/>
      <c r="B14" s="186" t="s">
        <v>224</v>
      </c>
      <c r="C14" s="186"/>
      <c r="D14" s="186"/>
      <c r="E14" s="186"/>
      <c r="F14" s="186"/>
      <c r="G14" s="187"/>
      <c r="H14" s="187">
        <f>+STAFF!S9</f>
        <v>340000</v>
      </c>
      <c r="I14" s="188"/>
      <c r="J14" s="187"/>
      <c r="K14" s="170"/>
      <c r="L14" s="186" t="s">
        <v>224</v>
      </c>
      <c r="M14" s="186"/>
      <c r="N14" s="186"/>
      <c r="O14" s="186"/>
      <c r="P14" s="186"/>
      <c r="Q14" s="187"/>
      <c r="R14" s="187">
        <f>+STAFF!S10</f>
        <v>888506.28019999992</v>
      </c>
      <c r="S14" s="188"/>
    </row>
    <row r="15" spans="1:19" ht="15" customHeight="1">
      <c r="A15" s="170"/>
      <c r="B15" s="186" t="s">
        <v>195</v>
      </c>
      <c r="C15" s="186"/>
      <c r="D15" s="187">
        <v>0</v>
      </c>
      <c r="E15" s="186" t="s">
        <v>204</v>
      </c>
      <c r="F15" s="186" t="s">
        <v>205</v>
      </c>
      <c r="G15" s="187">
        <v>0</v>
      </c>
      <c r="H15" s="187">
        <f>G15*D15</f>
        <v>0</v>
      </c>
      <c r="I15" s="188"/>
      <c r="J15" s="187"/>
      <c r="K15" s="170"/>
      <c r="L15" s="186" t="s">
        <v>195</v>
      </c>
      <c r="M15" s="186"/>
      <c r="N15" s="187">
        <v>0</v>
      </c>
      <c r="O15" s="186" t="s">
        <v>204</v>
      </c>
      <c r="P15" s="186" t="s">
        <v>205</v>
      </c>
      <c r="Q15" s="187">
        <v>0</v>
      </c>
      <c r="R15" s="187">
        <f>Q15*N15</f>
        <v>0</v>
      </c>
      <c r="S15" s="188"/>
    </row>
    <row r="16" spans="1:19" ht="15" customHeight="1">
      <c r="A16" s="170"/>
      <c r="B16" s="186" t="s">
        <v>206</v>
      </c>
      <c r="C16" s="186"/>
      <c r="D16" s="189">
        <f>'[2]G-STAFF'!CH8</f>
        <v>0</v>
      </c>
      <c r="E16" s="186" t="s">
        <v>207</v>
      </c>
      <c r="F16" s="186" t="s">
        <v>205</v>
      </c>
      <c r="G16" s="187">
        <f>'[2]G-STAFF'!M8</f>
        <v>0</v>
      </c>
      <c r="H16" s="187">
        <f>G16*D16</f>
        <v>0</v>
      </c>
      <c r="I16" s="188"/>
      <c r="J16" s="187"/>
      <c r="K16" s="170"/>
      <c r="L16" s="186" t="s">
        <v>206</v>
      </c>
      <c r="M16" s="186"/>
      <c r="N16" s="189">
        <f>'[2]G-STAFF'!CO8</f>
        <v>0</v>
      </c>
      <c r="O16" s="186" t="s">
        <v>207</v>
      </c>
      <c r="P16" s="186" t="s">
        <v>205</v>
      </c>
      <c r="Q16" s="187">
        <f>'[2]G-STAFF'!M9</f>
        <v>0</v>
      </c>
      <c r="R16" s="187">
        <f>Q16*N16</f>
        <v>0</v>
      </c>
      <c r="S16" s="188"/>
    </row>
    <row r="17" spans="1:19" ht="15" customHeight="1" thickBot="1">
      <c r="A17" s="170"/>
      <c r="B17" s="186" t="s">
        <v>208</v>
      </c>
      <c r="C17" s="186"/>
      <c r="D17" s="189">
        <f>'[2]G-STAFF'!CG8</f>
        <v>0</v>
      </c>
      <c r="E17" s="186" t="s">
        <v>207</v>
      </c>
      <c r="F17" s="186" t="s">
        <v>205</v>
      </c>
      <c r="G17" s="187">
        <f>G16</f>
        <v>0</v>
      </c>
      <c r="H17" s="187">
        <f>G17*D17</f>
        <v>0</v>
      </c>
      <c r="I17" s="188"/>
      <c r="J17" s="187"/>
      <c r="K17" s="170"/>
      <c r="L17" s="190" t="s">
        <v>208</v>
      </c>
      <c r="M17" s="190"/>
      <c r="N17" s="191">
        <f>'[2]G-STAFF'!CN8</f>
        <v>0</v>
      </c>
      <c r="O17" s="190" t="s">
        <v>207</v>
      </c>
      <c r="P17" s="190" t="s">
        <v>205</v>
      </c>
      <c r="Q17" s="192">
        <f>Q16</f>
        <v>0</v>
      </c>
      <c r="R17" s="192">
        <f>Q17*N17</f>
        <v>0</v>
      </c>
      <c r="S17" s="188"/>
    </row>
    <row r="18" spans="1:19" ht="15" customHeight="1" thickBot="1">
      <c r="A18" s="170"/>
      <c r="B18" s="193" t="s">
        <v>110</v>
      </c>
      <c r="C18" s="193"/>
      <c r="D18" s="194">
        <f>'[2]G-STAFF'!CI8</f>
        <v>0</v>
      </c>
      <c r="E18" s="193"/>
      <c r="F18" s="193"/>
      <c r="G18" s="195"/>
      <c r="H18" s="195">
        <f>SUM(H12:H17)</f>
        <v>8840000</v>
      </c>
      <c r="I18" s="188"/>
      <c r="J18" s="187"/>
      <c r="K18" s="170"/>
      <c r="L18" s="190" t="s">
        <v>110</v>
      </c>
      <c r="M18" s="190"/>
      <c r="N18" s="191">
        <f>'[2]G-STAFF'!CP8</f>
        <v>0</v>
      </c>
      <c r="O18" s="190"/>
      <c r="P18" s="190"/>
      <c r="Q18" s="192"/>
      <c r="R18" s="192">
        <f>SUM(R12:R17)</f>
        <v>10839064.280200001</v>
      </c>
      <c r="S18" s="188"/>
    </row>
    <row r="19" spans="1:19">
      <c r="A19" s="170"/>
      <c r="B19" s="186"/>
      <c r="C19" s="186"/>
      <c r="D19" s="189"/>
      <c r="E19" s="186"/>
      <c r="F19" s="186"/>
      <c r="G19" s="187"/>
      <c r="H19" s="187"/>
      <c r="I19" s="188"/>
      <c r="J19" s="187"/>
      <c r="K19" s="170"/>
      <c r="L19" s="186"/>
      <c r="M19" s="186"/>
      <c r="N19" s="189"/>
      <c r="O19" s="186"/>
      <c r="P19" s="186"/>
      <c r="Q19" s="187"/>
      <c r="R19" s="187"/>
      <c r="S19" s="188"/>
    </row>
    <row r="20" spans="1:19" ht="14.25" customHeight="1">
      <c r="A20" s="170"/>
      <c r="B20" s="196" t="s">
        <v>113</v>
      </c>
      <c r="C20" s="186"/>
      <c r="D20" s="186"/>
      <c r="E20" s="186"/>
      <c r="F20" s="186"/>
      <c r="G20" s="187"/>
      <c r="H20" s="187"/>
      <c r="I20" s="188"/>
      <c r="J20" s="187"/>
      <c r="K20" s="170"/>
      <c r="L20" s="196" t="s">
        <v>113</v>
      </c>
      <c r="M20" s="186"/>
      <c r="N20" s="186"/>
      <c r="O20" s="186"/>
      <c r="P20" s="186"/>
      <c r="Q20" s="187"/>
      <c r="R20" s="187"/>
      <c r="S20" s="188"/>
    </row>
    <row r="21" spans="1:19" ht="15" customHeight="1">
      <c r="A21" s="170"/>
      <c r="B21" s="186" t="s">
        <v>209</v>
      </c>
      <c r="C21" s="186"/>
      <c r="D21" s="197"/>
      <c r="E21" s="186"/>
      <c r="F21" s="186"/>
      <c r="G21" s="198" t="str">
        <f>'[2]G-STAFF'!C8</f>
        <v>K1</v>
      </c>
      <c r="H21" s="187">
        <f>+STAFF!Z9</f>
        <v>88400</v>
      </c>
      <c r="I21" s="188"/>
      <c r="J21" s="187"/>
      <c r="K21" s="170"/>
      <c r="L21" s="186" t="s">
        <v>209</v>
      </c>
      <c r="M21" s="186"/>
      <c r="N21" s="197"/>
      <c r="O21" s="186"/>
      <c r="P21" s="186"/>
      <c r="Q21" s="198" t="str">
        <f>'[2]G-STAFF'!C9</f>
        <v>TK</v>
      </c>
      <c r="R21" s="187">
        <f>+STAFF!Z10</f>
        <v>261526</v>
      </c>
      <c r="S21" s="188"/>
    </row>
    <row r="22" spans="1:19" ht="15" customHeight="1">
      <c r="A22" s="170"/>
      <c r="B22" s="186" t="s">
        <v>225</v>
      </c>
      <c r="C22" s="186"/>
      <c r="D22" s="197"/>
      <c r="E22" s="186"/>
      <c r="F22" s="186"/>
      <c r="G22" s="198"/>
      <c r="H22" s="187">
        <f>+STAFF!W9+STAFF!X9</f>
        <v>85000</v>
      </c>
      <c r="I22" s="188"/>
      <c r="J22" s="187"/>
      <c r="K22" s="170"/>
      <c r="L22" s="186" t="s">
        <v>225</v>
      </c>
      <c r="M22" s="186"/>
      <c r="N22" s="197"/>
      <c r="O22" s="186"/>
      <c r="P22" s="186"/>
      <c r="Q22" s="198"/>
      <c r="R22" s="187">
        <f>+STAFF!X10+STAFF!W10</f>
        <v>99505.58</v>
      </c>
      <c r="S22" s="188"/>
    </row>
    <row r="23" spans="1:19" ht="15" customHeight="1">
      <c r="A23" s="170"/>
      <c r="B23" s="186" t="s">
        <v>226</v>
      </c>
      <c r="C23" s="186"/>
      <c r="D23" s="197"/>
      <c r="E23" s="186"/>
      <c r="F23" s="186"/>
      <c r="G23" s="198"/>
      <c r="H23" s="187">
        <f>+STAFF!U9+STAFF!V9</f>
        <v>0</v>
      </c>
      <c r="I23" s="188"/>
      <c r="J23" s="187"/>
      <c r="K23" s="170"/>
      <c r="L23" s="186" t="s">
        <v>226</v>
      </c>
      <c r="M23" s="186"/>
      <c r="N23" s="197"/>
      <c r="O23" s="186"/>
      <c r="P23" s="186"/>
      <c r="Q23" s="198"/>
      <c r="R23" s="187">
        <f>+STAFF!U10+STAFF!V10</f>
        <v>283516.74</v>
      </c>
      <c r="S23" s="188"/>
    </row>
    <row r="24" spans="1:19" ht="15" customHeight="1">
      <c r="A24" s="170"/>
      <c r="B24" s="186" t="s">
        <v>103</v>
      </c>
      <c r="C24" s="186"/>
      <c r="D24" s="186"/>
      <c r="E24" s="186"/>
      <c r="F24" s="186"/>
      <c r="G24" s="187"/>
      <c r="H24" s="187">
        <f>+H14</f>
        <v>340000</v>
      </c>
      <c r="I24" s="188"/>
      <c r="J24" s="187"/>
      <c r="K24" s="170"/>
      <c r="L24" s="186" t="s">
        <v>103</v>
      </c>
      <c r="M24" s="186"/>
      <c r="N24" s="186"/>
      <c r="O24" s="186"/>
      <c r="P24" s="186"/>
      <c r="Q24" s="187"/>
      <c r="R24" s="187">
        <f>+R14</f>
        <v>888506.28019999992</v>
      </c>
      <c r="S24" s="188"/>
    </row>
    <row r="25" spans="1:19" ht="15" customHeight="1" thickBot="1">
      <c r="A25" s="170"/>
      <c r="B25" s="199" t="s">
        <v>211</v>
      </c>
      <c r="C25" s="190"/>
      <c r="D25" s="190"/>
      <c r="E25" s="190"/>
      <c r="F25" s="190"/>
      <c r="G25" s="192"/>
      <c r="H25" s="192">
        <f>SUM(H21:H24)</f>
        <v>513400</v>
      </c>
      <c r="I25" s="188"/>
      <c r="J25" s="187"/>
      <c r="K25" s="170"/>
      <c r="L25" s="199" t="s">
        <v>211</v>
      </c>
      <c r="M25" s="190"/>
      <c r="N25" s="190"/>
      <c r="O25" s="190"/>
      <c r="P25" s="190"/>
      <c r="Q25" s="192"/>
      <c r="R25" s="192">
        <f>SUM(R21:R24)</f>
        <v>1533054.6002</v>
      </c>
      <c r="S25" s="188"/>
    </row>
    <row r="26" spans="1:19" ht="15" customHeight="1" thickBot="1">
      <c r="A26" s="170"/>
      <c r="B26" s="200" t="s">
        <v>212</v>
      </c>
      <c r="C26" s="200"/>
      <c r="D26" s="200"/>
      <c r="E26" s="200"/>
      <c r="F26" s="200"/>
      <c r="G26" s="201"/>
      <c r="H26" s="201">
        <f>SUM(H18-H25)</f>
        <v>8326600</v>
      </c>
      <c r="I26" s="188"/>
      <c r="J26" s="187"/>
      <c r="K26" s="170"/>
      <c r="L26" s="200" t="s">
        <v>212</v>
      </c>
      <c r="M26" s="200"/>
      <c r="N26" s="200"/>
      <c r="O26" s="200"/>
      <c r="P26" s="200"/>
      <c r="Q26" s="201"/>
      <c r="R26" s="201">
        <f>SUM(R18-R25)</f>
        <v>9306009.6800000016</v>
      </c>
      <c r="S26" s="188"/>
    </row>
    <row r="27" spans="1:19" ht="15.75" thickTop="1">
      <c r="A27" s="170"/>
      <c r="B27" s="202" t="s">
        <v>213</v>
      </c>
      <c r="C27" s="186"/>
      <c r="D27" s="186"/>
      <c r="E27" s="186"/>
      <c r="F27" s="186"/>
      <c r="G27" s="296" t="s">
        <v>214</v>
      </c>
      <c r="H27" s="296"/>
      <c r="I27" s="188"/>
      <c r="J27" s="187"/>
      <c r="K27" s="170"/>
      <c r="L27" s="202" t="s">
        <v>213</v>
      </c>
      <c r="M27" s="186"/>
      <c r="N27" s="186"/>
      <c r="O27" s="186"/>
      <c r="P27" s="186"/>
      <c r="Q27" s="296" t="s">
        <v>214</v>
      </c>
      <c r="R27" s="296"/>
      <c r="S27" s="188"/>
    </row>
    <row r="28" spans="1:19" ht="14.25" customHeight="1">
      <c r="A28" s="170"/>
      <c r="B28" s="186"/>
      <c r="C28" s="186"/>
      <c r="D28" s="186"/>
      <c r="E28" s="186"/>
      <c r="F28" s="186"/>
      <c r="G28" s="187"/>
      <c r="H28" s="187"/>
      <c r="I28" s="188"/>
      <c r="J28" s="187"/>
      <c r="K28" s="170"/>
      <c r="L28" s="186"/>
      <c r="M28" s="186"/>
      <c r="N28" s="186"/>
      <c r="O28" s="186"/>
      <c r="P28" s="186"/>
      <c r="Q28" s="187"/>
      <c r="R28" s="187"/>
      <c r="S28" s="188"/>
    </row>
    <row r="29" spans="1:19" ht="14.25" customHeight="1">
      <c r="A29" s="170"/>
      <c r="B29" s="186"/>
      <c r="C29" s="186"/>
      <c r="D29" s="186"/>
      <c r="E29" s="186"/>
      <c r="F29" s="186"/>
      <c r="G29" s="187"/>
      <c r="H29" s="187"/>
      <c r="I29" s="188"/>
      <c r="J29" s="187"/>
      <c r="K29" s="170"/>
      <c r="L29" s="186"/>
      <c r="M29" s="186"/>
      <c r="N29" s="186"/>
      <c r="O29" s="186"/>
      <c r="P29" s="186"/>
      <c r="Q29" s="187"/>
      <c r="R29" s="187"/>
      <c r="S29" s="188"/>
    </row>
    <row r="30" spans="1:19">
      <c r="A30" s="170"/>
      <c r="B30" s="203" t="s">
        <v>215</v>
      </c>
      <c r="C30" s="186"/>
      <c r="D30" s="186"/>
      <c r="E30" s="186"/>
      <c r="F30" s="186"/>
      <c r="G30" s="297" t="s">
        <v>216</v>
      </c>
      <c r="H30" s="297"/>
      <c r="I30" s="188"/>
      <c r="J30" s="187"/>
      <c r="K30" s="170"/>
      <c r="L30" s="203" t="s">
        <v>215</v>
      </c>
      <c r="M30" s="186"/>
      <c r="N30" s="186"/>
      <c r="O30" s="186"/>
      <c r="P30" s="186"/>
      <c r="Q30" s="297" t="s">
        <v>216</v>
      </c>
      <c r="R30" s="297"/>
      <c r="S30" s="188"/>
    </row>
    <row r="31" spans="1:19" ht="15" customHeight="1">
      <c r="A31" s="204"/>
      <c r="B31" s="205"/>
      <c r="C31" s="206"/>
      <c r="D31" s="206"/>
      <c r="E31" s="206"/>
      <c r="F31" s="206"/>
      <c r="G31" s="207"/>
      <c r="H31" s="205"/>
      <c r="I31" s="208"/>
      <c r="J31" s="187"/>
      <c r="K31" s="204"/>
      <c r="L31" s="205"/>
      <c r="M31" s="206"/>
      <c r="N31" s="206"/>
      <c r="O31" s="206"/>
      <c r="P31" s="206"/>
      <c r="Q31" s="207"/>
      <c r="R31" s="205"/>
      <c r="S31" s="208"/>
    </row>
    <row r="32" spans="1:19">
      <c r="A32" s="169"/>
      <c r="B32" s="186"/>
      <c r="C32" s="186"/>
      <c r="D32" s="186"/>
      <c r="E32" s="186"/>
      <c r="F32" s="186"/>
      <c r="G32" s="187"/>
      <c r="H32" s="186"/>
      <c r="I32" s="187"/>
      <c r="J32" s="187"/>
      <c r="K32" s="169"/>
      <c r="L32" s="186"/>
      <c r="M32" s="186"/>
      <c r="N32" s="186"/>
      <c r="O32" s="186"/>
      <c r="P32" s="186"/>
      <c r="Q32" s="187"/>
      <c r="R32" s="187"/>
      <c r="S32" s="187"/>
    </row>
    <row r="33" spans="1:19">
      <c r="A33" s="166"/>
      <c r="B33" s="167"/>
      <c r="C33" s="167"/>
      <c r="D33" s="167"/>
      <c r="E33" s="167"/>
      <c r="F33" s="167"/>
      <c r="G33" s="167"/>
      <c r="H33" s="167"/>
      <c r="I33" s="168"/>
      <c r="J33" s="169"/>
      <c r="K33" s="166"/>
      <c r="L33" s="167"/>
      <c r="M33" s="167"/>
      <c r="N33" s="167"/>
      <c r="O33" s="167"/>
      <c r="P33" s="167"/>
      <c r="Q33" s="167"/>
      <c r="R33" s="167"/>
      <c r="S33" s="168"/>
    </row>
    <row r="34" spans="1:19">
      <c r="A34" s="170"/>
      <c r="B34" s="169"/>
      <c r="C34" s="169"/>
      <c r="D34" s="169"/>
      <c r="E34" s="169"/>
      <c r="F34" s="169"/>
      <c r="G34" s="169"/>
      <c r="H34" s="169"/>
      <c r="I34" s="171"/>
      <c r="J34" s="169"/>
      <c r="K34" s="170"/>
      <c r="L34" s="169"/>
      <c r="M34" s="169"/>
      <c r="N34" s="169"/>
      <c r="O34" s="169"/>
      <c r="P34" s="169"/>
      <c r="Q34" s="169"/>
      <c r="R34" s="169"/>
      <c r="S34" s="171"/>
    </row>
    <row r="35" spans="1:19">
      <c r="A35" s="170"/>
      <c r="B35" s="169"/>
      <c r="C35" s="169"/>
      <c r="D35" s="169"/>
      <c r="E35" s="169"/>
      <c r="F35" s="169"/>
      <c r="G35" s="169"/>
      <c r="H35" s="169"/>
      <c r="I35" s="171"/>
      <c r="J35" s="169"/>
      <c r="K35" s="170"/>
      <c r="L35" s="169"/>
      <c r="M35" s="169"/>
      <c r="N35" s="169"/>
      <c r="O35" s="169"/>
      <c r="P35" s="169"/>
      <c r="Q35" s="169"/>
      <c r="R35" s="169"/>
      <c r="S35" s="171"/>
    </row>
    <row r="36" spans="1:19" ht="15" customHeight="1">
      <c r="A36" s="170"/>
      <c r="B36" s="169"/>
      <c r="C36" s="169"/>
      <c r="D36" s="169"/>
      <c r="E36" s="169"/>
      <c r="F36" s="169"/>
      <c r="G36" s="169"/>
      <c r="H36" s="169"/>
      <c r="I36" s="171"/>
      <c r="J36" s="169"/>
      <c r="K36" s="170"/>
      <c r="L36" s="169"/>
      <c r="M36" s="169"/>
      <c r="N36" s="169"/>
      <c r="O36" s="169"/>
      <c r="P36" s="169"/>
      <c r="Q36" s="169"/>
      <c r="R36" s="169"/>
      <c r="S36" s="171"/>
    </row>
    <row r="37" spans="1:19">
      <c r="A37" s="170"/>
      <c r="B37" s="294" t="s">
        <v>196</v>
      </c>
      <c r="C37" s="294"/>
      <c r="D37" s="294"/>
      <c r="E37" s="294"/>
      <c r="F37" s="294"/>
      <c r="G37" s="294"/>
      <c r="H37" s="294"/>
      <c r="I37" s="295"/>
      <c r="J37" s="169"/>
      <c r="K37" s="170"/>
      <c r="L37" s="294" t="s">
        <v>196</v>
      </c>
      <c r="M37" s="294"/>
      <c r="N37" s="294"/>
      <c r="O37" s="294"/>
      <c r="P37" s="294"/>
      <c r="Q37" s="294"/>
      <c r="R37" s="294"/>
      <c r="S37" s="295"/>
    </row>
    <row r="38" spans="1:19" ht="15" customHeight="1">
      <c r="A38" s="172"/>
      <c r="B38" s="173" t="s">
        <v>197</v>
      </c>
      <c r="C38" s="174" t="s">
        <v>198</v>
      </c>
      <c r="D38" s="175">
        <f>'[2]G-STAFF'!A10</f>
        <v>3</v>
      </c>
      <c r="E38" s="173"/>
      <c r="F38" s="173"/>
      <c r="G38" s="173"/>
      <c r="H38" s="173"/>
      <c r="I38" s="176"/>
      <c r="J38" s="173"/>
      <c r="K38" s="172"/>
      <c r="L38" s="173" t="s">
        <v>197</v>
      </c>
      <c r="M38" s="174" t="s">
        <v>198</v>
      </c>
      <c r="N38" s="175">
        <f>'[2]G-STAFF'!A11</f>
        <v>4</v>
      </c>
      <c r="O38" s="175"/>
      <c r="P38" s="173"/>
      <c r="Q38" s="173"/>
      <c r="R38" s="173"/>
      <c r="S38" s="176"/>
    </row>
    <row r="39" spans="1:19" ht="15" customHeight="1">
      <c r="A39" s="172"/>
      <c r="B39" s="173" t="s">
        <v>199</v>
      </c>
      <c r="C39" s="174" t="s">
        <v>198</v>
      </c>
      <c r="D39" s="177" t="str">
        <f>'[2]G-STAFF'!A3</f>
        <v>01 JANUARI  S/D  31 JANUARI  2025</v>
      </c>
      <c r="E39" s="173"/>
      <c r="F39" s="173"/>
      <c r="G39" s="173"/>
      <c r="H39" s="173"/>
      <c r="I39" s="176"/>
      <c r="J39" s="173"/>
      <c r="K39" s="172"/>
      <c r="L39" s="173" t="s">
        <v>199</v>
      </c>
      <c r="M39" s="174" t="s">
        <v>198</v>
      </c>
      <c r="N39" s="177" t="str">
        <f>'[2]G-STAFF'!A3</f>
        <v>01 JANUARI  S/D  31 JANUARI  2025</v>
      </c>
      <c r="O39" s="179"/>
      <c r="P39" s="173"/>
      <c r="Q39" s="173"/>
      <c r="R39" s="173"/>
      <c r="S39" s="176"/>
    </row>
    <row r="40" spans="1:19" ht="15" customHeight="1">
      <c r="A40" s="172"/>
      <c r="B40" s="173" t="s">
        <v>200</v>
      </c>
      <c r="C40" s="174" t="s">
        <v>198</v>
      </c>
      <c r="D40" s="180" t="str">
        <f>'[2]G-STAFF'!B10</f>
        <v>ERNI NURAENI</v>
      </c>
      <c r="E40" s="173"/>
      <c r="F40" s="173"/>
      <c r="G40" s="173"/>
      <c r="H40" s="173"/>
      <c r="I40" s="176"/>
      <c r="J40" s="173"/>
      <c r="K40" s="172"/>
      <c r="L40" s="173" t="s">
        <v>200</v>
      </c>
      <c r="M40" s="174" t="s">
        <v>198</v>
      </c>
      <c r="N40" s="181" t="str">
        <f>'[2]G-STAFF'!B11</f>
        <v>SRI WAHYUNI</v>
      </c>
      <c r="O40" s="173"/>
      <c r="P40" s="173"/>
      <c r="Q40" s="173"/>
      <c r="R40" s="173"/>
      <c r="S40" s="176"/>
    </row>
    <row r="41" spans="1:19" ht="15" customHeight="1" thickBot="1">
      <c r="A41" s="172"/>
      <c r="B41" s="173" t="s">
        <v>201</v>
      </c>
      <c r="C41" s="174" t="s">
        <v>198</v>
      </c>
      <c r="D41" s="177" t="str">
        <f>'[2]G-STAFF'!H10</f>
        <v>PPIC/MARKETING</v>
      </c>
      <c r="E41" s="173"/>
      <c r="F41" s="173"/>
      <c r="G41" s="173"/>
      <c r="H41" s="173"/>
      <c r="I41" s="176"/>
      <c r="J41" s="173"/>
      <c r="K41" s="172"/>
      <c r="L41" s="173" t="s">
        <v>201</v>
      </c>
      <c r="M41" s="174" t="s">
        <v>198</v>
      </c>
      <c r="N41" s="178" t="str">
        <f>'[2]G-STAFF'!H11</f>
        <v>PERSONALIA</v>
      </c>
      <c r="O41" s="179"/>
      <c r="P41" s="173"/>
      <c r="Q41" s="173"/>
      <c r="R41" s="173"/>
      <c r="S41" s="176"/>
    </row>
    <row r="42" spans="1:19" ht="15" customHeight="1" thickTop="1">
      <c r="A42" s="170"/>
      <c r="B42" s="182"/>
      <c r="C42" s="182"/>
      <c r="D42" s="182"/>
      <c r="E42" s="182"/>
      <c r="F42" s="182"/>
      <c r="G42" s="182"/>
      <c r="H42" s="182"/>
      <c r="I42" s="183"/>
      <c r="J42" s="169"/>
      <c r="K42" s="170"/>
      <c r="L42" s="182"/>
      <c r="M42" s="182"/>
      <c r="N42" s="182"/>
      <c r="O42" s="182"/>
      <c r="P42" s="182"/>
      <c r="Q42" s="182"/>
      <c r="R42" s="182"/>
      <c r="S42" s="183"/>
    </row>
    <row r="43" spans="1:19">
      <c r="A43" s="170"/>
      <c r="B43" s="184" t="s">
        <v>202</v>
      </c>
      <c r="C43" s="185"/>
      <c r="D43" s="185"/>
      <c r="E43" s="185"/>
      <c r="F43" s="185"/>
      <c r="G43" s="185"/>
      <c r="H43" s="185"/>
      <c r="I43" s="183"/>
      <c r="J43" s="169"/>
      <c r="K43" s="170"/>
      <c r="L43" s="184" t="s">
        <v>202</v>
      </c>
      <c r="M43" s="184"/>
      <c r="N43" s="185"/>
      <c r="O43" s="185"/>
      <c r="P43" s="185"/>
      <c r="Q43" s="185"/>
      <c r="R43" s="185"/>
      <c r="S43" s="183"/>
    </row>
    <row r="44" spans="1:19" ht="15" customHeight="1">
      <c r="A44" s="170"/>
      <c r="B44" s="186" t="s">
        <v>111</v>
      </c>
      <c r="C44" s="186"/>
      <c r="D44" s="186"/>
      <c r="E44" s="186"/>
      <c r="F44" s="186"/>
      <c r="G44" s="187"/>
      <c r="H44" s="187">
        <f>+STAFF!G11</f>
        <v>7845749</v>
      </c>
      <c r="I44" s="188"/>
      <c r="J44" s="187"/>
      <c r="K44" s="170"/>
      <c r="L44" s="186" t="s">
        <v>111</v>
      </c>
      <c r="M44" s="186"/>
      <c r="N44" s="186"/>
      <c r="O44" s="186"/>
      <c r="P44" s="186"/>
      <c r="Q44" s="187"/>
      <c r="R44" s="187">
        <f>+STAFF!G12</f>
        <v>10106032</v>
      </c>
      <c r="S44" s="188"/>
    </row>
    <row r="45" spans="1:19" ht="15" customHeight="1">
      <c r="A45" s="170"/>
      <c r="B45" s="186" t="s">
        <v>203</v>
      </c>
      <c r="C45" s="186"/>
      <c r="D45" s="186"/>
      <c r="E45" s="186"/>
      <c r="F45" s="186"/>
      <c r="G45" s="187"/>
      <c r="H45" s="187">
        <f>+STAFF!I11</f>
        <v>300000</v>
      </c>
      <c r="I45" s="188"/>
      <c r="J45" s="209"/>
      <c r="K45" s="170"/>
      <c r="L45" s="186" t="s">
        <v>203</v>
      </c>
      <c r="M45" s="186"/>
      <c r="N45" s="186"/>
      <c r="O45" s="186"/>
      <c r="P45" s="186"/>
      <c r="Q45" s="187"/>
      <c r="R45" s="187">
        <f>+STAFF!I12</f>
        <v>700000</v>
      </c>
      <c r="S45" s="188"/>
    </row>
    <row r="46" spans="1:19" ht="15" customHeight="1">
      <c r="A46" s="170"/>
      <c r="B46" s="186" t="s">
        <v>224</v>
      </c>
      <c r="C46" s="186"/>
      <c r="D46" s="186"/>
      <c r="E46" s="186"/>
      <c r="F46" s="186"/>
      <c r="G46" s="187"/>
      <c r="H46" s="187">
        <f>+STAFF!S11</f>
        <v>733024.33310000005</v>
      </c>
      <c r="I46" s="188"/>
      <c r="J46" s="187"/>
      <c r="K46" s="170"/>
      <c r="L46" s="186" t="s">
        <v>224</v>
      </c>
      <c r="M46" s="186"/>
      <c r="N46" s="186"/>
      <c r="O46" s="186"/>
      <c r="P46" s="186"/>
      <c r="Q46" s="187"/>
      <c r="R46" s="187">
        <f>+STAFF!S12</f>
        <v>956744.34080000012</v>
      </c>
      <c r="S46" s="188"/>
    </row>
    <row r="47" spans="1:19" ht="15" customHeight="1">
      <c r="A47" s="170"/>
      <c r="B47" s="186" t="s">
        <v>195</v>
      </c>
      <c r="C47" s="186"/>
      <c r="D47" s="187">
        <v>0</v>
      </c>
      <c r="E47" s="186" t="s">
        <v>204</v>
      </c>
      <c r="F47" s="186" t="s">
        <v>205</v>
      </c>
      <c r="G47" s="187">
        <v>0</v>
      </c>
      <c r="H47" s="187"/>
      <c r="I47" s="188"/>
      <c r="J47" s="187"/>
      <c r="K47" s="170"/>
      <c r="L47" s="186" t="s">
        <v>195</v>
      </c>
      <c r="M47" s="186"/>
      <c r="N47" s="187">
        <v>0</v>
      </c>
      <c r="O47" s="186" t="s">
        <v>204</v>
      </c>
      <c r="P47" s="186" t="s">
        <v>205</v>
      </c>
      <c r="Q47" s="187">
        <v>0</v>
      </c>
      <c r="R47" s="187">
        <f>Q47*N47</f>
        <v>0</v>
      </c>
      <c r="S47" s="188"/>
    </row>
    <row r="48" spans="1:19" ht="15" customHeight="1">
      <c r="A48" s="170"/>
      <c r="B48" s="186" t="s">
        <v>206</v>
      </c>
      <c r="C48" s="186"/>
      <c r="D48" s="189">
        <f>'[2]G-STAFF'!CH9</f>
        <v>0</v>
      </c>
      <c r="E48" s="186" t="s">
        <v>207</v>
      </c>
      <c r="F48" s="186" t="s">
        <v>205</v>
      </c>
      <c r="G48" s="187">
        <f>'[2]G-STAFF'!M10</f>
        <v>0</v>
      </c>
      <c r="H48" s="187">
        <f>G48*D48</f>
        <v>0</v>
      </c>
      <c r="I48" s="188"/>
      <c r="J48" s="209"/>
      <c r="K48" s="170"/>
      <c r="L48" s="186" t="s">
        <v>206</v>
      </c>
      <c r="M48" s="186"/>
      <c r="N48" s="189">
        <f>'[2]G-STAFF'!CH10</f>
        <v>0</v>
      </c>
      <c r="O48" s="186" t="s">
        <v>207</v>
      </c>
      <c r="P48" s="186" t="s">
        <v>205</v>
      </c>
      <c r="Q48" s="187">
        <f>'[2]G-STAFF'!M11</f>
        <v>0</v>
      </c>
      <c r="R48" s="187">
        <f>Q48*N48</f>
        <v>0</v>
      </c>
      <c r="S48" s="188"/>
    </row>
    <row r="49" spans="1:19" ht="15" customHeight="1" thickBot="1">
      <c r="A49" s="170"/>
      <c r="B49" s="190" t="s">
        <v>208</v>
      </c>
      <c r="C49" s="190"/>
      <c r="D49" s="191">
        <f>'[2]G-STAFF'!CG9</f>
        <v>0</v>
      </c>
      <c r="E49" s="190" t="s">
        <v>207</v>
      </c>
      <c r="F49" s="190" t="s">
        <v>205</v>
      </c>
      <c r="G49" s="192">
        <f>G48</f>
        <v>0</v>
      </c>
      <c r="H49" s="192">
        <f>G49*D49</f>
        <v>0</v>
      </c>
      <c r="I49" s="188"/>
      <c r="J49" s="187"/>
      <c r="K49" s="170"/>
      <c r="L49" s="190" t="s">
        <v>208</v>
      </c>
      <c r="M49" s="190"/>
      <c r="N49" s="191">
        <f>'[2]G-STAFF'!CG10</f>
        <v>0</v>
      </c>
      <c r="O49" s="190" t="s">
        <v>207</v>
      </c>
      <c r="P49" s="190" t="s">
        <v>205</v>
      </c>
      <c r="Q49" s="192">
        <f>Q48</f>
        <v>0</v>
      </c>
      <c r="R49" s="192">
        <f>Q49*N49</f>
        <v>0</v>
      </c>
      <c r="S49" s="188"/>
    </row>
    <row r="50" spans="1:19" ht="15" customHeight="1" thickBot="1">
      <c r="A50" s="170"/>
      <c r="B50" s="190" t="s">
        <v>110</v>
      </c>
      <c r="C50" s="190"/>
      <c r="D50" s="191">
        <f>SUM(D47:D49)</f>
        <v>0</v>
      </c>
      <c r="E50" s="190"/>
      <c r="F50" s="190"/>
      <c r="G50" s="192"/>
      <c r="H50" s="192">
        <f>SUM(H44:H49)</f>
        <v>8878773.3331000004</v>
      </c>
      <c r="I50" s="188"/>
      <c r="J50" s="187"/>
      <c r="K50" s="170"/>
      <c r="L50" s="190" t="s">
        <v>110</v>
      </c>
      <c r="M50" s="190"/>
      <c r="N50" s="191">
        <f>SUM(N48:N49)</f>
        <v>0</v>
      </c>
      <c r="O50" s="190"/>
      <c r="P50" s="190"/>
      <c r="Q50" s="192"/>
      <c r="R50" s="192">
        <f>SUM(R44:R49)</f>
        <v>11762776.3408</v>
      </c>
      <c r="S50" s="188"/>
    </row>
    <row r="51" spans="1:19">
      <c r="A51" s="170"/>
      <c r="B51" s="186"/>
      <c r="C51" s="186"/>
      <c r="D51" s="189"/>
      <c r="E51" s="186"/>
      <c r="F51" s="186"/>
      <c r="G51" s="187"/>
      <c r="H51" s="187"/>
      <c r="I51" s="188"/>
      <c r="J51" s="187"/>
      <c r="K51" s="170"/>
      <c r="L51" s="186"/>
      <c r="M51" s="186"/>
      <c r="N51" s="189"/>
      <c r="O51" s="186"/>
      <c r="P51" s="186"/>
      <c r="Q51" s="187"/>
      <c r="R51" s="187"/>
      <c r="S51" s="188"/>
    </row>
    <row r="52" spans="1:19" ht="15" customHeight="1">
      <c r="A52" s="170"/>
      <c r="B52" s="196" t="s">
        <v>113</v>
      </c>
      <c r="C52" s="186"/>
      <c r="D52" s="186"/>
      <c r="E52" s="186"/>
      <c r="F52" s="186"/>
      <c r="G52" s="187"/>
      <c r="H52" s="187"/>
      <c r="I52" s="188"/>
      <c r="J52" s="209"/>
      <c r="K52" s="170"/>
      <c r="L52" s="186" t="s">
        <v>113</v>
      </c>
      <c r="M52" s="186"/>
      <c r="N52" s="186"/>
      <c r="O52" s="186"/>
      <c r="P52" s="186"/>
      <c r="Q52" s="187"/>
      <c r="R52" s="187"/>
      <c r="S52" s="188"/>
    </row>
    <row r="53" spans="1:19" ht="15" customHeight="1">
      <c r="A53" s="170"/>
      <c r="B53" s="186" t="s">
        <v>209</v>
      </c>
      <c r="C53" s="186"/>
      <c r="D53" s="197"/>
      <c r="E53" s="186"/>
      <c r="F53" s="186"/>
      <c r="G53" s="198" t="str">
        <f>'[2]G-STAFF'!C10</f>
        <v>TK</v>
      </c>
      <c r="H53" s="187">
        <f>+STAFF!Z11</f>
        <v>149887</v>
      </c>
      <c r="I53" s="188"/>
      <c r="J53" s="209"/>
      <c r="K53" s="170"/>
      <c r="L53" s="186" t="s">
        <v>209</v>
      </c>
      <c r="M53" s="186"/>
      <c r="N53" s="197"/>
      <c r="O53" s="186"/>
      <c r="P53" s="186"/>
      <c r="Q53" s="198" t="str">
        <f>'[2]G-STAFF'!C11</f>
        <v>TK</v>
      </c>
      <c r="R53" s="187">
        <f>+STAFF!Z12</f>
        <v>397549</v>
      </c>
      <c r="S53" s="188"/>
    </row>
    <row r="54" spans="1:19" ht="15" customHeight="1">
      <c r="A54" s="170"/>
      <c r="B54" s="186" t="s">
        <v>225</v>
      </c>
      <c r="C54" s="186"/>
      <c r="D54" s="197"/>
      <c r="E54" s="186"/>
      <c r="F54" s="186"/>
      <c r="G54" s="198"/>
      <c r="H54" s="187">
        <f>+STAFF!W11+STAFF!X11</f>
        <v>162914.98000000001</v>
      </c>
      <c r="I54" s="188"/>
      <c r="J54" s="187"/>
      <c r="K54" s="170"/>
      <c r="L54" s="186" t="s">
        <v>225</v>
      </c>
      <c r="M54" s="186"/>
      <c r="N54" s="197"/>
      <c r="O54" s="186"/>
      <c r="P54" s="186"/>
      <c r="Q54" s="198"/>
      <c r="R54" s="187">
        <f>+STAFF!W12+STAFF!X12</f>
        <v>216120.64</v>
      </c>
      <c r="S54" s="188"/>
    </row>
    <row r="55" spans="1:19" ht="15" customHeight="1">
      <c r="A55" s="170"/>
      <c r="B55" s="186" t="s">
        <v>226</v>
      </c>
      <c r="C55" s="186"/>
      <c r="D55" s="197"/>
      <c r="E55" s="186"/>
      <c r="F55" s="186"/>
      <c r="G55" s="198"/>
      <c r="H55" s="187">
        <f>+STAFF!U11+STAFF!V11</f>
        <v>235372.47000000003</v>
      </c>
      <c r="I55" s="188"/>
      <c r="J55" s="187"/>
      <c r="K55" s="170"/>
      <c r="L55" s="186" t="s">
        <v>226</v>
      </c>
      <c r="M55" s="186"/>
      <c r="N55" s="197"/>
      <c r="O55" s="186"/>
      <c r="P55" s="186"/>
      <c r="Q55" s="198"/>
      <c r="R55" s="187">
        <f>+STAFF!U12+STAFF!V12</f>
        <v>207249.96000000002</v>
      </c>
      <c r="S55" s="188"/>
    </row>
    <row r="56" spans="1:19" ht="15" customHeight="1">
      <c r="A56" s="170"/>
      <c r="B56" s="186" t="s">
        <v>103</v>
      </c>
      <c r="C56" s="186"/>
      <c r="D56" s="186"/>
      <c r="E56" s="186"/>
      <c r="F56" s="186"/>
      <c r="G56" s="187"/>
      <c r="H56" s="187">
        <f>+H46</f>
        <v>733024.33310000005</v>
      </c>
      <c r="I56" s="188"/>
      <c r="J56" s="187"/>
      <c r="K56" s="170"/>
      <c r="L56" s="186" t="s">
        <v>103</v>
      </c>
      <c r="M56" s="186"/>
      <c r="N56" s="186"/>
      <c r="O56" s="186"/>
      <c r="P56" s="186"/>
      <c r="Q56" s="187"/>
      <c r="R56" s="187">
        <f>+R46</f>
        <v>956744.34080000012</v>
      </c>
      <c r="S56" s="188"/>
    </row>
    <row r="57" spans="1:19" ht="15" customHeight="1" thickBot="1">
      <c r="A57" s="170"/>
      <c r="B57" s="199" t="s">
        <v>211</v>
      </c>
      <c r="C57" s="190"/>
      <c r="D57" s="190"/>
      <c r="E57" s="190"/>
      <c r="F57" s="190"/>
      <c r="G57" s="192"/>
      <c r="H57" s="192">
        <f>SUM(H53:H56)</f>
        <v>1281198.7831000001</v>
      </c>
      <c r="I57" s="188"/>
      <c r="J57" s="187"/>
      <c r="K57" s="170"/>
      <c r="L57" s="199" t="s">
        <v>211</v>
      </c>
      <c r="M57" s="190"/>
      <c r="N57" s="190"/>
      <c r="O57" s="190"/>
      <c r="P57" s="190"/>
      <c r="Q57" s="192"/>
      <c r="R57" s="192">
        <f>SUM(R53:R56)</f>
        <v>1777663.9408000002</v>
      </c>
      <c r="S57" s="188"/>
    </row>
    <row r="58" spans="1:19" ht="15.75" thickBot="1">
      <c r="A58" s="170"/>
      <c r="B58" s="200" t="s">
        <v>212</v>
      </c>
      <c r="C58" s="200"/>
      <c r="D58" s="200"/>
      <c r="E58" s="200"/>
      <c r="F58" s="200"/>
      <c r="G58" s="201"/>
      <c r="H58" s="201">
        <f>SUM(H50-H57)</f>
        <v>7597574.5500000007</v>
      </c>
      <c r="I58" s="188"/>
      <c r="J58" s="187"/>
      <c r="K58" s="170"/>
      <c r="L58" s="200" t="s">
        <v>212</v>
      </c>
      <c r="M58" s="200"/>
      <c r="N58" s="200"/>
      <c r="O58" s="200"/>
      <c r="P58" s="200"/>
      <c r="Q58" s="201"/>
      <c r="R58" s="201">
        <f>SUM(R50-R57)</f>
        <v>9985112.4000000004</v>
      </c>
      <c r="S58" s="188"/>
    </row>
    <row r="59" spans="1:19" ht="15.75" thickTop="1">
      <c r="A59" s="170"/>
      <c r="B59" s="202" t="s">
        <v>213</v>
      </c>
      <c r="C59" s="186"/>
      <c r="D59" s="186"/>
      <c r="E59" s="186"/>
      <c r="F59" s="186"/>
      <c r="G59" s="296" t="s">
        <v>214</v>
      </c>
      <c r="H59" s="296"/>
      <c r="I59" s="188"/>
      <c r="J59" s="187"/>
      <c r="K59" s="170"/>
      <c r="L59" s="202" t="s">
        <v>213</v>
      </c>
      <c r="M59" s="186"/>
      <c r="N59" s="186"/>
      <c r="O59" s="186"/>
      <c r="P59" s="186"/>
      <c r="Q59" s="296" t="s">
        <v>214</v>
      </c>
      <c r="R59" s="296"/>
      <c r="S59" s="188"/>
    </row>
    <row r="60" spans="1:19">
      <c r="A60" s="170"/>
      <c r="B60" s="186"/>
      <c r="C60" s="186"/>
      <c r="D60" s="186"/>
      <c r="E60" s="186"/>
      <c r="F60" s="186"/>
      <c r="G60" s="187"/>
      <c r="H60" s="187"/>
      <c r="I60" s="188"/>
      <c r="J60" s="187"/>
      <c r="K60" s="170"/>
      <c r="L60" s="186"/>
      <c r="M60" s="186"/>
      <c r="N60" s="186"/>
      <c r="O60" s="186"/>
      <c r="P60" s="186"/>
      <c r="Q60" s="187"/>
      <c r="R60" s="187"/>
      <c r="S60" s="188"/>
    </row>
    <row r="61" spans="1:19">
      <c r="A61" s="170"/>
      <c r="B61" s="186"/>
      <c r="C61" s="186"/>
      <c r="D61" s="186"/>
      <c r="E61" s="186"/>
      <c r="F61" s="186"/>
      <c r="G61" s="187"/>
      <c r="H61" s="187"/>
      <c r="I61" s="188"/>
      <c r="J61" s="187"/>
      <c r="K61" s="170"/>
      <c r="L61" s="186"/>
      <c r="M61" s="186"/>
      <c r="N61" s="186"/>
      <c r="O61" s="186"/>
      <c r="P61" s="186"/>
      <c r="Q61" s="187"/>
      <c r="R61" s="187"/>
      <c r="S61" s="188"/>
    </row>
    <row r="62" spans="1:19">
      <c r="A62" s="170"/>
      <c r="B62" s="203" t="s">
        <v>215</v>
      </c>
      <c r="C62" s="186"/>
      <c r="D62" s="186"/>
      <c r="E62" s="186"/>
      <c r="F62" s="186"/>
      <c r="G62" s="297" t="s">
        <v>216</v>
      </c>
      <c r="H62" s="297"/>
      <c r="I62" s="188"/>
      <c r="J62" s="187"/>
      <c r="K62" s="170"/>
      <c r="L62" s="203" t="s">
        <v>215</v>
      </c>
      <c r="M62" s="186"/>
      <c r="N62" s="186"/>
      <c r="O62" s="186"/>
      <c r="P62" s="186"/>
      <c r="Q62" s="297" t="s">
        <v>216</v>
      </c>
      <c r="R62" s="297"/>
      <c r="S62" s="188"/>
    </row>
    <row r="63" spans="1:19" ht="15" customHeight="1">
      <c r="A63" s="204"/>
      <c r="B63" s="205"/>
      <c r="C63" s="206"/>
      <c r="D63" s="206"/>
      <c r="E63" s="206"/>
      <c r="F63" s="206"/>
      <c r="G63" s="207"/>
      <c r="H63" s="205"/>
      <c r="I63" s="208"/>
      <c r="J63" s="187"/>
      <c r="K63" s="204"/>
      <c r="L63" s="205"/>
      <c r="M63" s="206"/>
      <c r="N63" s="206"/>
      <c r="O63" s="206"/>
      <c r="P63" s="206"/>
      <c r="Q63" s="207"/>
      <c r="R63" s="205"/>
      <c r="S63" s="208"/>
    </row>
    <row r="64" spans="1:19">
      <c r="B64" s="186"/>
      <c r="C64" s="186"/>
      <c r="D64" s="186"/>
      <c r="E64" s="186"/>
      <c r="F64" s="186"/>
      <c r="G64" s="187"/>
      <c r="H64" s="187"/>
      <c r="I64" s="187"/>
      <c r="J64" s="187"/>
      <c r="L64" s="186"/>
      <c r="M64" s="186"/>
      <c r="N64" s="186"/>
      <c r="O64" s="186"/>
      <c r="P64" s="186"/>
      <c r="Q64" s="187"/>
      <c r="R64" s="187"/>
      <c r="S64" s="187"/>
    </row>
    <row r="65" spans="1:19">
      <c r="B65" s="186"/>
      <c r="C65" s="186"/>
      <c r="D65" s="186"/>
      <c r="E65" s="186"/>
      <c r="F65" s="186"/>
      <c r="G65" s="187"/>
      <c r="H65" s="187"/>
      <c r="I65" s="187"/>
      <c r="J65" s="187"/>
      <c r="L65" s="186"/>
      <c r="M65" s="186"/>
      <c r="N65" s="186"/>
      <c r="O65" s="186"/>
      <c r="P65" s="186"/>
      <c r="Q65" s="187"/>
      <c r="R65" s="187"/>
      <c r="S65" s="187"/>
    </row>
    <row r="66" spans="1:19">
      <c r="B66" s="186"/>
      <c r="C66" s="186"/>
      <c r="D66" s="186"/>
      <c r="E66" s="186"/>
      <c r="F66" s="186"/>
      <c r="G66" s="187"/>
      <c r="H66" s="187"/>
      <c r="I66" s="187"/>
      <c r="J66" s="187"/>
      <c r="L66" s="186"/>
      <c r="M66" s="186"/>
      <c r="N66" s="186"/>
      <c r="O66" s="186"/>
      <c r="P66" s="186"/>
      <c r="Q66" s="187"/>
      <c r="R66" s="187"/>
      <c r="S66" s="187"/>
    </row>
    <row r="67" spans="1:19">
      <c r="B67" s="186"/>
      <c r="C67" s="186"/>
      <c r="D67" s="186"/>
      <c r="E67" s="186"/>
      <c r="F67" s="186"/>
      <c r="G67" s="187"/>
      <c r="H67" s="187"/>
      <c r="I67" s="187"/>
      <c r="J67" s="187"/>
      <c r="L67" s="186"/>
      <c r="M67" s="186"/>
      <c r="N67" s="186"/>
      <c r="O67" s="186"/>
      <c r="P67" s="186"/>
      <c r="Q67" s="187"/>
      <c r="R67" s="187"/>
      <c r="S67" s="187"/>
    </row>
    <row r="68" spans="1:19">
      <c r="B68" s="186"/>
      <c r="C68" s="186"/>
      <c r="D68" s="186"/>
      <c r="E68" s="186"/>
      <c r="F68" s="186"/>
      <c r="G68" s="187"/>
      <c r="H68" s="187"/>
      <c r="I68" s="187"/>
      <c r="J68" s="187"/>
      <c r="L68" s="186"/>
      <c r="M68" s="186"/>
      <c r="N68" s="186"/>
      <c r="O68" s="186"/>
      <c r="P68" s="186"/>
      <c r="Q68" s="187"/>
      <c r="R68" s="187"/>
      <c r="S68" s="187"/>
    </row>
    <row r="69" spans="1:19">
      <c r="B69" s="186"/>
      <c r="C69" s="186"/>
      <c r="D69" s="186"/>
      <c r="E69" s="186"/>
      <c r="F69" s="186"/>
      <c r="G69" s="187"/>
      <c r="H69" s="187"/>
      <c r="I69" s="187"/>
      <c r="J69" s="187"/>
      <c r="L69" s="186"/>
      <c r="M69" s="186"/>
      <c r="N69" s="186"/>
      <c r="O69" s="186"/>
      <c r="P69" s="186"/>
      <c r="Q69" s="187"/>
      <c r="R69" s="187"/>
      <c r="S69" s="187"/>
    </row>
    <row r="70" spans="1:19">
      <c r="B70" s="186"/>
      <c r="C70" s="186"/>
      <c r="D70" s="186"/>
      <c r="E70" s="186"/>
      <c r="F70" s="186"/>
      <c r="G70" s="187"/>
      <c r="H70" s="187"/>
      <c r="I70" s="187"/>
      <c r="J70" s="187"/>
      <c r="L70" s="186"/>
      <c r="M70" s="186"/>
      <c r="N70" s="186"/>
      <c r="O70" s="186"/>
      <c r="P70" s="186"/>
      <c r="Q70" s="187"/>
      <c r="R70" s="187"/>
      <c r="S70" s="187"/>
    </row>
    <row r="71" spans="1:19">
      <c r="A71" s="166"/>
      <c r="B71" s="167"/>
      <c r="C71" s="167"/>
      <c r="D71" s="167"/>
      <c r="E71" s="167"/>
      <c r="F71" s="167"/>
      <c r="G71" s="167"/>
      <c r="H71" s="167"/>
      <c r="I71" s="168"/>
      <c r="J71" s="169"/>
      <c r="K71" s="166"/>
      <c r="L71" s="167"/>
      <c r="M71" s="167"/>
      <c r="N71" s="167"/>
      <c r="O71" s="167"/>
      <c r="P71" s="167"/>
      <c r="Q71" s="167"/>
      <c r="R71" s="167"/>
      <c r="S71" s="168"/>
    </row>
    <row r="72" spans="1:19">
      <c r="A72" s="170"/>
      <c r="B72" s="169"/>
      <c r="C72" s="169"/>
      <c r="D72" s="169"/>
      <c r="E72" s="169"/>
      <c r="F72" s="169"/>
      <c r="G72" s="169"/>
      <c r="H72" s="169"/>
      <c r="I72" s="171"/>
      <c r="J72" s="169"/>
      <c r="K72" s="170"/>
      <c r="L72" s="169"/>
      <c r="M72" s="169"/>
      <c r="N72" s="169"/>
      <c r="O72" s="169"/>
      <c r="P72" s="169"/>
      <c r="Q72" s="169"/>
      <c r="R72" s="169"/>
      <c r="S72" s="171"/>
    </row>
    <row r="73" spans="1:19">
      <c r="A73" s="170"/>
      <c r="B73" s="169"/>
      <c r="C73" s="169"/>
      <c r="D73" s="169"/>
      <c r="E73" s="169"/>
      <c r="F73" s="169"/>
      <c r="G73" s="169"/>
      <c r="H73" s="169"/>
      <c r="I73" s="171"/>
      <c r="J73" s="169"/>
      <c r="K73" s="170"/>
      <c r="L73" s="169"/>
      <c r="M73" s="169"/>
      <c r="N73" s="169"/>
      <c r="O73" s="169"/>
      <c r="P73" s="169"/>
      <c r="Q73" s="169"/>
      <c r="R73" s="169"/>
      <c r="S73" s="171"/>
    </row>
    <row r="74" spans="1:19" ht="15" customHeight="1">
      <c r="A74" s="170"/>
      <c r="B74" s="169"/>
      <c r="C74" s="169"/>
      <c r="D74" s="169"/>
      <c r="E74" s="169"/>
      <c r="F74" s="169"/>
      <c r="G74" s="169"/>
      <c r="H74" s="169"/>
      <c r="I74" s="171"/>
      <c r="J74" s="169"/>
      <c r="K74" s="170"/>
      <c r="L74" s="169"/>
      <c r="M74" s="169"/>
      <c r="N74" s="169"/>
      <c r="O74" s="169"/>
      <c r="P74" s="169"/>
      <c r="Q74" s="169"/>
      <c r="R74" s="169"/>
      <c r="S74" s="171"/>
    </row>
    <row r="75" spans="1:19">
      <c r="A75" s="170"/>
      <c r="B75" s="294" t="s">
        <v>196</v>
      </c>
      <c r="C75" s="294"/>
      <c r="D75" s="294"/>
      <c r="E75" s="294"/>
      <c r="F75" s="294"/>
      <c r="G75" s="294"/>
      <c r="H75" s="294"/>
      <c r="I75" s="295"/>
      <c r="J75" s="169"/>
      <c r="K75" s="170"/>
      <c r="L75" s="294" t="s">
        <v>196</v>
      </c>
      <c r="M75" s="294"/>
      <c r="N75" s="294"/>
      <c r="O75" s="294"/>
      <c r="P75" s="294"/>
      <c r="Q75" s="294"/>
      <c r="R75" s="294"/>
      <c r="S75" s="295"/>
    </row>
    <row r="76" spans="1:19" ht="15" customHeight="1">
      <c r="A76" s="172"/>
      <c r="B76" s="173" t="s">
        <v>197</v>
      </c>
      <c r="C76" s="174" t="s">
        <v>198</v>
      </c>
      <c r="D76" s="175">
        <f>'[2]G-STAFF'!A12</f>
        <v>5</v>
      </c>
      <c r="E76" s="173"/>
      <c r="F76" s="173"/>
      <c r="G76" s="173"/>
      <c r="H76" s="173"/>
      <c r="I76" s="176"/>
      <c r="J76" s="173"/>
      <c r="K76" s="172"/>
      <c r="L76" s="173" t="s">
        <v>197</v>
      </c>
      <c r="M76" s="174" t="s">
        <v>198</v>
      </c>
      <c r="N76" s="175">
        <f>'[2]G-STAFF'!A13</f>
        <v>6</v>
      </c>
      <c r="O76" s="175"/>
      <c r="P76" s="173"/>
      <c r="Q76" s="173"/>
      <c r="R76" s="173"/>
      <c r="S76" s="176"/>
    </row>
    <row r="77" spans="1:19" ht="15" customHeight="1">
      <c r="A77" s="172"/>
      <c r="B77" s="173" t="s">
        <v>199</v>
      </c>
      <c r="C77" s="174" t="s">
        <v>198</v>
      </c>
      <c r="D77" s="177" t="str">
        <f>'[2]G-STAFF'!A3</f>
        <v>01 JANUARI  S/D  31 JANUARI  2025</v>
      </c>
      <c r="E77" s="173"/>
      <c r="F77" s="173"/>
      <c r="G77" s="173"/>
      <c r="H77" s="173"/>
      <c r="I77" s="176"/>
      <c r="J77" s="173"/>
      <c r="K77" s="172"/>
      <c r="L77" s="173" t="s">
        <v>199</v>
      </c>
      <c r="M77" s="174" t="s">
        <v>198</v>
      </c>
      <c r="N77" s="177" t="str">
        <f>'[2]G-STAFF'!A3</f>
        <v>01 JANUARI  S/D  31 JANUARI  2025</v>
      </c>
      <c r="O77" s="179"/>
      <c r="P77" s="173"/>
      <c r="Q77" s="173"/>
      <c r="R77" s="173"/>
      <c r="S77" s="176"/>
    </row>
    <row r="78" spans="1:19" ht="15" customHeight="1">
      <c r="A78" s="172"/>
      <c r="B78" s="173" t="s">
        <v>200</v>
      </c>
      <c r="C78" s="174" t="s">
        <v>198</v>
      </c>
      <c r="D78" s="180" t="str">
        <f>'[2]G-STAFF'!B12</f>
        <v>TUTI NUR PRATIWI</v>
      </c>
      <c r="E78" s="173"/>
      <c r="F78" s="173"/>
      <c r="G78" s="173"/>
      <c r="H78" s="173"/>
      <c r="I78" s="176"/>
      <c r="J78" s="173"/>
      <c r="K78" s="172"/>
      <c r="L78" s="173" t="s">
        <v>200</v>
      </c>
      <c r="M78" s="174" t="s">
        <v>198</v>
      </c>
      <c r="N78" s="181" t="str">
        <f>'[2]G-STAFF'!B13</f>
        <v>UJANG SAILAN</v>
      </c>
      <c r="O78" s="173"/>
      <c r="P78" s="173"/>
      <c r="Q78" s="173"/>
      <c r="R78" s="173"/>
      <c r="S78" s="176"/>
    </row>
    <row r="79" spans="1:19" ht="15" customHeight="1" thickBot="1">
      <c r="A79" s="172"/>
      <c r="B79" s="173" t="s">
        <v>201</v>
      </c>
      <c r="C79" s="174" t="s">
        <v>198</v>
      </c>
      <c r="D79" s="177" t="str">
        <f>'[2]G-STAFF'!H12</f>
        <v>FINANCE &amp; ACC</v>
      </c>
      <c r="E79" s="173"/>
      <c r="F79" s="173"/>
      <c r="G79" s="173"/>
      <c r="H79" s="173"/>
      <c r="I79" s="176"/>
      <c r="J79" s="173"/>
      <c r="K79" s="172"/>
      <c r="L79" s="173" t="s">
        <v>201</v>
      </c>
      <c r="M79" s="174" t="s">
        <v>198</v>
      </c>
      <c r="N79" s="178" t="str">
        <f>'[2]G-STAFF'!H13</f>
        <v>PURCHASING</v>
      </c>
      <c r="O79" s="179"/>
      <c r="P79" s="173"/>
      <c r="Q79" s="173"/>
      <c r="R79" s="173"/>
      <c r="S79" s="176"/>
    </row>
    <row r="80" spans="1:19" ht="15.75" thickTop="1">
      <c r="A80" s="170"/>
      <c r="B80" s="182"/>
      <c r="C80" s="182"/>
      <c r="D80" s="182"/>
      <c r="E80" s="182"/>
      <c r="F80" s="182"/>
      <c r="G80" s="182"/>
      <c r="H80" s="182"/>
      <c r="I80" s="183"/>
      <c r="J80" s="169"/>
      <c r="K80" s="170"/>
      <c r="L80" s="182"/>
      <c r="M80" s="182"/>
      <c r="N80" s="182"/>
      <c r="O80" s="182"/>
      <c r="P80" s="182"/>
      <c r="Q80" s="182"/>
      <c r="R80" s="182"/>
      <c r="S80" s="183"/>
    </row>
    <row r="81" spans="1:19">
      <c r="A81" s="170"/>
      <c r="B81" s="184" t="s">
        <v>202</v>
      </c>
      <c r="C81" s="185"/>
      <c r="D81" s="185"/>
      <c r="E81" s="185"/>
      <c r="F81" s="185"/>
      <c r="G81" s="185"/>
      <c r="H81" s="185"/>
      <c r="I81" s="183"/>
      <c r="J81" s="169"/>
      <c r="K81" s="170"/>
      <c r="L81" s="184" t="s">
        <v>202</v>
      </c>
      <c r="M81" s="184"/>
      <c r="N81" s="185"/>
      <c r="O81" s="185"/>
      <c r="P81" s="185"/>
      <c r="Q81" s="185"/>
      <c r="R81" s="185"/>
      <c r="S81" s="183"/>
    </row>
    <row r="82" spans="1:19" ht="15" customHeight="1">
      <c r="A82" s="170"/>
      <c r="B82" s="186" t="s">
        <v>111</v>
      </c>
      <c r="C82" s="186"/>
      <c r="D82" s="186"/>
      <c r="E82" s="186"/>
      <c r="F82" s="186"/>
      <c r="G82" s="187"/>
      <c r="H82" s="187">
        <f>+STAFF!G13</f>
        <v>7970090</v>
      </c>
      <c r="I82" s="188"/>
      <c r="J82" s="187"/>
      <c r="K82" s="170"/>
      <c r="L82" s="186" t="s">
        <v>111</v>
      </c>
      <c r="M82" s="186"/>
      <c r="N82" s="186"/>
      <c r="O82" s="186"/>
      <c r="P82" s="186"/>
      <c r="Q82" s="187"/>
      <c r="R82" s="187">
        <f>+STAFF!G14</f>
        <v>8321247</v>
      </c>
      <c r="S82" s="188"/>
    </row>
    <row r="83" spans="1:19" ht="15" customHeight="1">
      <c r="A83" s="170"/>
      <c r="B83" s="186" t="s">
        <v>203</v>
      </c>
      <c r="C83" s="186"/>
      <c r="D83" s="186"/>
      <c r="E83" s="186"/>
      <c r="F83" s="186"/>
      <c r="G83" s="187"/>
      <c r="H83" s="187">
        <f>+STAFF!I13</f>
        <v>500000</v>
      </c>
      <c r="I83" s="188"/>
      <c r="J83" s="209"/>
      <c r="K83" s="170"/>
      <c r="L83" s="186" t="s">
        <v>203</v>
      </c>
      <c r="M83" s="186"/>
      <c r="N83" s="186"/>
      <c r="O83" s="186"/>
      <c r="P83" s="186"/>
      <c r="Q83" s="187"/>
      <c r="R83" s="187">
        <f>+STAFF!I14</f>
        <v>300000</v>
      </c>
      <c r="S83" s="188"/>
    </row>
    <row r="84" spans="1:19" ht="15" customHeight="1">
      <c r="A84" s="170"/>
      <c r="B84" s="186" t="s">
        <v>224</v>
      </c>
      <c r="C84" s="186"/>
      <c r="D84" s="186"/>
      <c r="E84" s="186"/>
      <c r="F84" s="186"/>
      <c r="G84" s="187"/>
      <c r="H84" s="187">
        <f>+STAFF!S13</f>
        <v>752451.27100000018</v>
      </c>
      <c r="I84" s="188"/>
      <c r="J84" s="209"/>
      <c r="K84" s="170"/>
      <c r="L84" s="186" t="s">
        <v>224</v>
      </c>
      <c r="M84" s="186"/>
      <c r="N84" s="186"/>
      <c r="O84" s="186"/>
      <c r="P84" s="186"/>
      <c r="Q84" s="187"/>
      <c r="R84" s="187">
        <f>+STAFF!S14</f>
        <v>776722.5993</v>
      </c>
      <c r="S84" s="188"/>
    </row>
    <row r="85" spans="1:19" ht="15" customHeight="1">
      <c r="A85" s="170"/>
      <c r="B85" s="186" t="s">
        <v>195</v>
      </c>
      <c r="C85" s="186"/>
      <c r="D85" s="187">
        <v>0</v>
      </c>
      <c r="E85" s="186" t="s">
        <v>204</v>
      </c>
      <c r="F85" s="186" t="s">
        <v>205</v>
      </c>
      <c r="G85" s="187">
        <v>0</v>
      </c>
      <c r="H85" s="187">
        <f>G85*D85</f>
        <v>0</v>
      </c>
      <c r="I85" s="188"/>
      <c r="J85" s="187"/>
      <c r="K85" s="170"/>
      <c r="L85" s="186" t="s">
        <v>195</v>
      </c>
      <c r="M85" s="186"/>
      <c r="N85" s="187">
        <v>0</v>
      </c>
      <c r="O85" s="186" t="s">
        <v>204</v>
      </c>
      <c r="P85" s="186" t="s">
        <v>205</v>
      </c>
      <c r="Q85" s="187">
        <v>0</v>
      </c>
      <c r="R85" s="187">
        <f>Q85*N85</f>
        <v>0</v>
      </c>
      <c r="S85" s="188"/>
    </row>
    <row r="86" spans="1:19" ht="15" customHeight="1">
      <c r="A86" s="170"/>
      <c r="B86" s="186" t="s">
        <v>206</v>
      </c>
      <c r="C86" s="186"/>
      <c r="D86" s="189">
        <v>0</v>
      </c>
      <c r="E86" s="186" t="s">
        <v>207</v>
      </c>
      <c r="F86" s="186" t="s">
        <v>205</v>
      </c>
      <c r="G86" s="187">
        <f>'[2]G-STAFF'!M12</f>
        <v>0</v>
      </c>
      <c r="H86" s="187">
        <f>G86*D86</f>
        <v>0</v>
      </c>
      <c r="I86" s="188"/>
      <c r="J86" s="209"/>
      <c r="K86" s="170"/>
      <c r="L86" s="186" t="s">
        <v>206</v>
      </c>
      <c r="M86" s="186"/>
      <c r="N86" s="189">
        <v>0</v>
      </c>
      <c r="O86" s="186" t="s">
        <v>207</v>
      </c>
      <c r="P86" s="186" t="s">
        <v>205</v>
      </c>
      <c r="Q86" s="187">
        <f>'[2]G-STAFF'!M13</f>
        <v>0</v>
      </c>
      <c r="R86" s="187">
        <f>Q86*N86</f>
        <v>0</v>
      </c>
      <c r="S86" s="188"/>
    </row>
    <row r="87" spans="1:19" ht="15" customHeight="1" thickBot="1">
      <c r="A87" s="170"/>
      <c r="B87" s="190" t="s">
        <v>208</v>
      </c>
      <c r="C87" s="190"/>
      <c r="D87" s="191">
        <v>0</v>
      </c>
      <c r="E87" s="190" t="s">
        <v>207</v>
      </c>
      <c r="F87" s="190" t="s">
        <v>205</v>
      </c>
      <c r="G87" s="192">
        <f>G86</f>
        <v>0</v>
      </c>
      <c r="H87" s="192">
        <f>G87*D87</f>
        <v>0</v>
      </c>
      <c r="I87" s="188"/>
      <c r="J87" s="187"/>
      <c r="K87" s="170"/>
      <c r="L87" s="190" t="s">
        <v>208</v>
      </c>
      <c r="M87" s="190"/>
      <c r="N87" s="191">
        <v>0</v>
      </c>
      <c r="O87" s="190" t="s">
        <v>207</v>
      </c>
      <c r="P87" s="190" t="s">
        <v>205</v>
      </c>
      <c r="Q87" s="192">
        <f>Q86</f>
        <v>0</v>
      </c>
      <c r="R87" s="192">
        <f>Q87*N87</f>
        <v>0</v>
      </c>
      <c r="S87" s="188"/>
    </row>
    <row r="88" spans="1:19" ht="15.75" thickBot="1">
      <c r="A88" s="170"/>
      <c r="B88" s="190" t="s">
        <v>110</v>
      </c>
      <c r="C88" s="190"/>
      <c r="D88" s="191">
        <f>SUM(D85:D87)</f>
        <v>0</v>
      </c>
      <c r="E88" s="190"/>
      <c r="F88" s="190"/>
      <c r="G88" s="192"/>
      <c r="H88" s="192">
        <f>SUM(H82:H87)</f>
        <v>9222541.2709999997</v>
      </c>
      <c r="I88" s="188"/>
      <c r="J88" s="187"/>
      <c r="K88" s="170"/>
      <c r="L88" s="190" t="s">
        <v>110</v>
      </c>
      <c r="M88" s="190"/>
      <c r="N88" s="191">
        <f>SUM(N86:N87)</f>
        <v>0</v>
      </c>
      <c r="O88" s="190"/>
      <c r="P88" s="190"/>
      <c r="Q88" s="192"/>
      <c r="R88" s="192">
        <f>SUM(R82:R87)</f>
        <v>9397969.5993000008</v>
      </c>
      <c r="S88" s="188"/>
    </row>
    <row r="89" spans="1:19">
      <c r="A89" s="170"/>
      <c r="B89" s="186"/>
      <c r="C89" s="186"/>
      <c r="D89" s="189"/>
      <c r="E89" s="186"/>
      <c r="F89" s="186"/>
      <c r="G89" s="187"/>
      <c r="H89" s="187"/>
      <c r="I89" s="188"/>
      <c r="J89" s="187"/>
      <c r="K89" s="170"/>
      <c r="L89" s="186"/>
      <c r="M89" s="186"/>
      <c r="N89" s="189"/>
      <c r="O89" s="186"/>
      <c r="P89" s="186"/>
      <c r="Q89" s="187"/>
      <c r="R89" s="187"/>
      <c r="S89" s="188"/>
    </row>
    <row r="90" spans="1:19">
      <c r="A90" s="170"/>
      <c r="B90" s="196" t="s">
        <v>113</v>
      </c>
      <c r="C90" s="186"/>
      <c r="D90" s="186"/>
      <c r="E90" s="186"/>
      <c r="F90" s="186"/>
      <c r="G90" s="187"/>
      <c r="H90" s="187"/>
      <c r="I90" s="188"/>
      <c r="J90" s="209"/>
      <c r="K90" s="170"/>
      <c r="L90" s="196" t="s">
        <v>113</v>
      </c>
      <c r="M90" s="186"/>
      <c r="N90" s="186"/>
      <c r="O90" s="186"/>
      <c r="P90" s="186"/>
      <c r="Q90" s="187"/>
      <c r="R90" s="187"/>
      <c r="S90" s="188"/>
    </row>
    <row r="91" spans="1:19" ht="15" customHeight="1">
      <c r="A91" s="170"/>
      <c r="B91" s="186" t="s">
        <v>209</v>
      </c>
      <c r="C91" s="186"/>
      <c r="D91" s="198"/>
      <c r="E91" s="186"/>
      <c r="F91" s="186"/>
      <c r="G91" s="198" t="str">
        <f>'[2]G-STAFF'!C12</f>
        <v>K2</v>
      </c>
      <c r="H91" s="187">
        <f>+STAFF!Z13</f>
        <v>89037</v>
      </c>
      <c r="I91" s="188"/>
      <c r="J91" s="209"/>
      <c r="K91" s="170"/>
      <c r="L91" s="186" t="s">
        <v>209</v>
      </c>
      <c r="M91" s="186"/>
      <c r="N91" s="198"/>
      <c r="O91" s="186"/>
      <c r="P91" s="186"/>
      <c r="Q91" s="198" t="str">
        <f>'[2]G-STAFF'!C13</f>
        <v>K1</v>
      </c>
      <c r="R91" s="187">
        <f>+STAFF!Z14</f>
        <v>90651</v>
      </c>
      <c r="S91" s="188"/>
    </row>
    <row r="92" spans="1:19" ht="15" customHeight="1">
      <c r="A92" s="170"/>
      <c r="B92" s="186" t="s">
        <v>225</v>
      </c>
      <c r="C92" s="186"/>
      <c r="D92" s="198"/>
      <c r="E92" s="186"/>
      <c r="F92" s="186"/>
      <c r="G92" s="198"/>
      <c r="H92" s="187">
        <f>+STAFF!W13+STAFF!X13</f>
        <v>257037.7</v>
      </c>
      <c r="I92" s="188"/>
      <c r="J92" s="209"/>
      <c r="K92" s="170"/>
      <c r="L92" s="186" t="s">
        <v>225</v>
      </c>
      <c r="M92" s="186"/>
      <c r="N92" s="198"/>
      <c r="O92" s="186"/>
      <c r="P92" s="186"/>
      <c r="Q92" s="198"/>
      <c r="R92" s="187">
        <f>+STAFF!W14+STAFF!X14</f>
        <v>172424.94</v>
      </c>
      <c r="S92" s="188"/>
    </row>
    <row r="93" spans="1:19" ht="15" customHeight="1">
      <c r="A93" s="170"/>
      <c r="B93" s="186" t="s">
        <v>226</v>
      </c>
      <c r="C93" s="186"/>
      <c r="D93" s="198"/>
      <c r="E93" s="186"/>
      <c r="F93" s="186"/>
      <c r="G93" s="198"/>
      <c r="H93" s="187">
        <f>+STAFF!U13+STAFF!V13</f>
        <v>239102.7</v>
      </c>
      <c r="I93" s="188"/>
      <c r="J93" s="209"/>
      <c r="K93" s="170"/>
      <c r="L93" s="186" t="s">
        <v>226</v>
      </c>
      <c r="M93" s="186"/>
      <c r="N93" s="198"/>
      <c r="O93" s="186"/>
      <c r="P93" s="186"/>
      <c r="Q93" s="198"/>
      <c r="R93" s="187">
        <f>+STAFF!U14+STAFF!V14</f>
        <v>249637.41</v>
      </c>
      <c r="S93" s="188"/>
    </row>
    <row r="94" spans="1:19" ht="15" customHeight="1">
      <c r="A94" s="170"/>
      <c r="B94" s="186" t="s">
        <v>103</v>
      </c>
      <c r="C94" s="186"/>
      <c r="D94" s="186"/>
      <c r="E94" s="186"/>
      <c r="F94" s="186"/>
      <c r="G94" s="187"/>
      <c r="H94" s="187">
        <f>+H84</f>
        <v>752451.27100000018</v>
      </c>
      <c r="I94" s="188"/>
      <c r="J94" s="209"/>
      <c r="K94" s="170"/>
      <c r="L94" s="186" t="s">
        <v>103</v>
      </c>
      <c r="M94" s="186"/>
      <c r="N94" s="186"/>
      <c r="O94" s="186"/>
      <c r="P94" s="186"/>
      <c r="Q94" s="187"/>
      <c r="R94" s="187">
        <f>+R84</f>
        <v>776722.5993</v>
      </c>
      <c r="S94" s="188"/>
    </row>
    <row r="95" spans="1:19" ht="15" customHeight="1" thickBot="1">
      <c r="A95" s="170"/>
      <c r="B95" s="199" t="s">
        <v>211</v>
      </c>
      <c r="C95" s="190"/>
      <c r="D95" s="190"/>
      <c r="E95" s="190"/>
      <c r="F95" s="190"/>
      <c r="G95" s="192"/>
      <c r="H95" s="192">
        <f>SUM(H91:H94)</f>
        <v>1337628.6710000001</v>
      </c>
      <c r="I95" s="188"/>
      <c r="J95" s="187"/>
      <c r="K95" s="170"/>
      <c r="L95" s="199" t="s">
        <v>211</v>
      </c>
      <c r="M95" s="190"/>
      <c r="N95" s="190"/>
      <c r="O95" s="190"/>
      <c r="P95" s="190"/>
      <c r="Q95" s="192"/>
      <c r="R95" s="192">
        <f>SUM(R91:R94)</f>
        <v>1289435.9493</v>
      </c>
      <c r="S95" s="188"/>
    </row>
    <row r="96" spans="1:19" ht="15.75" thickBot="1">
      <c r="A96" s="170"/>
      <c r="B96" s="200" t="s">
        <v>212</v>
      </c>
      <c r="C96" s="200"/>
      <c r="D96" s="200"/>
      <c r="E96" s="200"/>
      <c r="F96" s="200"/>
      <c r="G96" s="201"/>
      <c r="H96" s="201">
        <f>SUM(H88-H95)</f>
        <v>7884912.5999999996</v>
      </c>
      <c r="I96" s="188"/>
      <c r="J96" s="187"/>
      <c r="K96" s="170"/>
      <c r="L96" s="200" t="s">
        <v>212</v>
      </c>
      <c r="M96" s="200"/>
      <c r="N96" s="200"/>
      <c r="O96" s="200"/>
      <c r="P96" s="200"/>
      <c r="Q96" s="201"/>
      <c r="R96" s="201">
        <f>SUM(R88-R95)</f>
        <v>8108533.6500000004</v>
      </c>
      <c r="S96" s="188"/>
    </row>
    <row r="97" spans="1:19" ht="15.75" thickTop="1">
      <c r="A97" s="170"/>
      <c r="B97" s="202" t="s">
        <v>213</v>
      </c>
      <c r="C97" s="186"/>
      <c r="D97" s="186"/>
      <c r="E97" s="186"/>
      <c r="F97" s="186"/>
      <c r="G97" s="296" t="s">
        <v>214</v>
      </c>
      <c r="H97" s="296"/>
      <c r="I97" s="188"/>
      <c r="J97" s="187"/>
      <c r="K97" s="170"/>
      <c r="L97" s="202" t="s">
        <v>213</v>
      </c>
      <c r="M97" s="186"/>
      <c r="N97" s="186"/>
      <c r="O97" s="186"/>
      <c r="P97" s="186"/>
      <c r="Q97" s="296" t="s">
        <v>214</v>
      </c>
      <c r="R97" s="296"/>
      <c r="S97" s="188"/>
    </row>
    <row r="98" spans="1:19">
      <c r="A98" s="170"/>
      <c r="B98" s="186"/>
      <c r="C98" s="186"/>
      <c r="D98" s="186"/>
      <c r="E98" s="186"/>
      <c r="F98" s="186"/>
      <c r="G98" s="187"/>
      <c r="H98" s="187"/>
      <c r="I98" s="188"/>
      <c r="J98" s="187"/>
      <c r="K98" s="170"/>
      <c r="L98" s="186"/>
      <c r="M98" s="186"/>
      <c r="N98" s="186"/>
      <c r="O98" s="186"/>
      <c r="P98" s="186"/>
      <c r="Q98" s="187"/>
      <c r="R98" s="187"/>
      <c r="S98" s="188"/>
    </row>
    <row r="99" spans="1:19">
      <c r="A99" s="170"/>
      <c r="B99" s="186"/>
      <c r="C99" s="186"/>
      <c r="D99" s="186"/>
      <c r="E99" s="186"/>
      <c r="F99" s="186"/>
      <c r="G99" s="187"/>
      <c r="H99" s="187"/>
      <c r="I99" s="188"/>
      <c r="J99" s="187"/>
      <c r="K99" s="170"/>
      <c r="L99" s="186"/>
      <c r="M99" s="186"/>
      <c r="N99" s="186"/>
      <c r="O99" s="186"/>
      <c r="P99" s="186"/>
      <c r="Q99" s="187"/>
      <c r="R99" s="187"/>
      <c r="S99" s="188"/>
    </row>
    <row r="100" spans="1:19">
      <c r="A100" s="170"/>
      <c r="B100" s="203" t="s">
        <v>215</v>
      </c>
      <c r="C100" s="186"/>
      <c r="D100" s="186"/>
      <c r="E100" s="186"/>
      <c r="F100" s="186"/>
      <c r="G100" s="297" t="s">
        <v>216</v>
      </c>
      <c r="H100" s="297"/>
      <c r="I100" s="188"/>
      <c r="J100" s="187"/>
      <c r="K100" s="170"/>
      <c r="L100" s="203" t="s">
        <v>215</v>
      </c>
      <c r="M100" s="186"/>
      <c r="N100" s="186"/>
      <c r="O100" s="186"/>
      <c r="P100" s="186"/>
      <c r="Q100" s="297" t="s">
        <v>216</v>
      </c>
      <c r="R100" s="297"/>
      <c r="S100" s="188"/>
    </row>
    <row r="101" spans="1:19">
      <c r="A101" s="204"/>
      <c r="B101" s="205"/>
      <c r="C101" s="206"/>
      <c r="D101" s="206"/>
      <c r="E101" s="206"/>
      <c r="F101" s="206"/>
      <c r="G101" s="207"/>
      <c r="H101" s="205"/>
      <c r="I101" s="208"/>
      <c r="J101" s="187"/>
      <c r="K101" s="204"/>
      <c r="L101" s="205"/>
      <c r="M101" s="206"/>
      <c r="N101" s="206"/>
      <c r="O101" s="206"/>
      <c r="P101" s="206"/>
      <c r="Q101" s="207"/>
      <c r="R101" s="205"/>
      <c r="S101" s="208"/>
    </row>
    <row r="102" spans="1:19">
      <c r="A102" s="169"/>
      <c r="B102" s="186"/>
      <c r="C102" s="186"/>
      <c r="D102" s="186"/>
      <c r="E102" s="186"/>
      <c r="F102" s="186"/>
      <c r="G102" s="187"/>
      <c r="H102" s="186"/>
      <c r="I102" s="187"/>
      <c r="J102" s="187"/>
      <c r="K102" s="169"/>
      <c r="L102" s="186"/>
      <c r="M102" s="186"/>
      <c r="N102" s="186"/>
      <c r="O102" s="186"/>
      <c r="P102" s="186"/>
      <c r="Q102" s="187"/>
      <c r="R102" s="187"/>
      <c r="S102" s="187"/>
    </row>
    <row r="103" spans="1:19">
      <c r="A103" s="166"/>
      <c r="B103" s="167"/>
      <c r="C103" s="167"/>
      <c r="D103" s="167"/>
      <c r="E103" s="167"/>
      <c r="F103" s="167"/>
      <c r="G103" s="167"/>
      <c r="H103" s="167"/>
      <c r="I103" s="168"/>
      <c r="J103" s="169"/>
      <c r="K103" s="166"/>
      <c r="L103" s="167"/>
      <c r="M103" s="167"/>
      <c r="N103" s="167"/>
      <c r="O103" s="167"/>
      <c r="P103" s="167"/>
      <c r="Q103" s="167"/>
      <c r="R103" s="167"/>
      <c r="S103" s="168"/>
    </row>
    <row r="104" spans="1:19">
      <c r="A104" s="170"/>
      <c r="B104" s="169"/>
      <c r="C104" s="169"/>
      <c r="D104" s="169"/>
      <c r="E104" s="169"/>
      <c r="F104" s="169"/>
      <c r="G104" s="169"/>
      <c r="H104" s="169"/>
      <c r="I104" s="171"/>
      <c r="J104" s="169"/>
      <c r="K104" s="170"/>
      <c r="L104" s="169"/>
      <c r="M104" s="169"/>
      <c r="N104" s="169"/>
      <c r="O104" s="169"/>
      <c r="P104" s="169"/>
      <c r="Q104" s="169"/>
      <c r="R104" s="169"/>
      <c r="S104" s="171"/>
    </row>
    <row r="105" spans="1:19">
      <c r="A105" s="170"/>
      <c r="B105" s="169"/>
      <c r="C105" s="169"/>
      <c r="D105" s="169"/>
      <c r="E105" s="169"/>
      <c r="F105" s="169"/>
      <c r="G105" s="169"/>
      <c r="H105" s="169"/>
      <c r="I105" s="171"/>
      <c r="J105" s="169"/>
      <c r="K105" s="170"/>
      <c r="L105" s="169"/>
      <c r="M105" s="169"/>
      <c r="N105" s="169"/>
      <c r="O105" s="169"/>
      <c r="P105" s="169"/>
      <c r="Q105" s="169"/>
      <c r="R105" s="169"/>
      <c r="S105" s="171"/>
    </row>
    <row r="106" spans="1:19">
      <c r="A106" s="170"/>
      <c r="B106" s="169"/>
      <c r="C106" s="169"/>
      <c r="D106" s="169"/>
      <c r="E106" s="169"/>
      <c r="F106" s="169"/>
      <c r="G106" s="169"/>
      <c r="H106" s="169"/>
      <c r="I106" s="171"/>
      <c r="J106" s="169"/>
      <c r="K106" s="170"/>
      <c r="L106" s="169"/>
      <c r="M106" s="169"/>
      <c r="N106" s="169"/>
      <c r="O106" s="169"/>
      <c r="P106" s="169"/>
      <c r="Q106" s="169"/>
      <c r="R106" s="169"/>
      <c r="S106" s="171"/>
    </row>
    <row r="107" spans="1:19">
      <c r="A107" s="170"/>
      <c r="B107" s="294" t="s">
        <v>196</v>
      </c>
      <c r="C107" s="294"/>
      <c r="D107" s="294"/>
      <c r="E107" s="294"/>
      <c r="F107" s="294"/>
      <c r="G107" s="294"/>
      <c r="H107" s="294"/>
      <c r="I107" s="295"/>
      <c r="J107" s="169"/>
      <c r="K107" s="170"/>
      <c r="L107" s="294" t="s">
        <v>196</v>
      </c>
      <c r="M107" s="294"/>
      <c r="N107" s="294"/>
      <c r="O107" s="294"/>
      <c r="P107" s="294"/>
      <c r="Q107" s="294"/>
      <c r="R107" s="294"/>
      <c r="S107" s="295"/>
    </row>
    <row r="108" spans="1:19">
      <c r="A108" s="172"/>
      <c r="B108" s="173" t="s">
        <v>197</v>
      </c>
      <c r="C108" s="174" t="s">
        <v>198</v>
      </c>
      <c r="D108" s="175">
        <f>'[2]G-STAFF'!A14</f>
        <v>7</v>
      </c>
      <c r="E108" s="173"/>
      <c r="F108" s="173"/>
      <c r="G108" s="173"/>
      <c r="H108" s="173"/>
      <c r="I108" s="176"/>
      <c r="J108" s="173"/>
      <c r="K108" s="172"/>
      <c r="L108" s="173" t="s">
        <v>197</v>
      </c>
      <c r="M108" s="174" t="s">
        <v>198</v>
      </c>
      <c r="N108" s="175">
        <f>'[2]G-STAFF'!A15</f>
        <v>8</v>
      </c>
      <c r="O108" s="175"/>
      <c r="P108" s="173"/>
      <c r="Q108" s="173"/>
      <c r="R108" s="173"/>
      <c r="S108" s="176"/>
    </row>
    <row r="109" spans="1:19">
      <c r="A109" s="172"/>
      <c r="B109" s="173" t="s">
        <v>199</v>
      </c>
      <c r="C109" s="174" t="s">
        <v>198</v>
      </c>
      <c r="D109" s="177" t="str">
        <f>'[2]G-STAFF'!A3</f>
        <v>01 JANUARI  S/D  31 JANUARI  2025</v>
      </c>
      <c r="E109" s="173"/>
      <c r="F109" s="173"/>
      <c r="G109" s="173"/>
      <c r="H109" s="173"/>
      <c r="I109" s="176"/>
      <c r="J109" s="173"/>
      <c r="K109" s="172"/>
      <c r="L109" s="173" t="s">
        <v>199</v>
      </c>
      <c r="M109" s="174" t="s">
        <v>198</v>
      </c>
      <c r="N109" s="177" t="str">
        <f>'[2]G-STAFF'!A3</f>
        <v>01 JANUARI  S/D  31 JANUARI  2025</v>
      </c>
      <c r="O109" s="179"/>
      <c r="P109" s="173"/>
      <c r="Q109" s="173"/>
      <c r="R109" s="173"/>
      <c r="S109" s="176"/>
    </row>
    <row r="110" spans="1:19">
      <c r="A110" s="172"/>
      <c r="B110" s="173" t="s">
        <v>200</v>
      </c>
      <c r="C110" s="174" t="s">
        <v>198</v>
      </c>
      <c r="D110" s="180" t="str">
        <f>'[2]G-STAFF'!B14</f>
        <v>INDRA WIJAYA</v>
      </c>
      <c r="E110" s="173"/>
      <c r="F110" s="173"/>
      <c r="G110" s="173"/>
      <c r="H110" s="173"/>
      <c r="I110" s="176"/>
      <c r="J110" s="173"/>
      <c r="K110" s="172"/>
      <c r="L110" s="173" t="s">
        <v>200</v>
      </c>
      <c r="M110" s="174" t="s">
        <v>198</v>
      </c>
      <c r="N110" s="181" t="str">
        <f>'[2]G-STAFF'!B15</f>
        <v>SANAN</v>
      </c>
      <c r="O110" s="173"/>
      <c r="P110" s="173"/>
      <c r="Q110" s="173"/>
      <c r="R110" s="173"/>
      <c r="S110" s="176"/>
    </row>
    <row r="111" spans="1:19" ht="15.75" thickBot="1">
      <c r="A111" s="172"/>
      <c r="B111" s="173" t="s">
        <v>201</v>
      </c>
      <c r="C111" s="174" t="s">
        <v>198</v>
      </c>
      <c r="D111" s="177" t="str">
        <f>'[2]G-STAFF'!H14</f>
        <v>LEADER SHIFT 1</v>
      </c>
      <c r="E111" s="173"/>
      <c r="F111" s="173"/>
      <c r="G111" s="173"/>
      <c r="H111" s="173"/>
      <c r="I111" s="176"/>
      <c r="J111" s="173"/>
      <c r="K111" s="172"/>
      <c r="L111" s="173" t="s">
        <v>201</v>
      </c>
      <c r="M111" s="174" t="s">
        <v>198</v>
      </c>
      <c r="N111" s="178" t="str">
        <f>'[2]G-STAFF'!H15</f>
        <v>LEADER SHIFT 2</v>
      </c>
      <c r="O111" s="179"/>
      <c r="P111" s="173"/>
      <c r="Q111" s="173"/>
      <c r="R111" s="173"/>
      <c r="S111" s="176"/>
    </row>
    <row r="112" spans="1:19" ht="15.75" thickTop="1">
      <c r="A112" s="170"/>
      <c r="B112" s="182"/>
      <c r="C112" s="182"/>
      <c r="D112" s="182"/>
      <c r="E112" s="182"/>
      <c r="F112" s="182"/>
      <c r="G112" s="182"/>
      <c r="H112" s="182"/>
      <c r="I112" s="183"/>
      <c r="J112" s="169"/>
      <c r="K112" s="170"/>
      <c r="L112" s="182"/>
      <c r="M112" s="182"/>
      <c r="N112" s="182"/>
      <c r="O112" s="182"/>
      <c r="P112" s="182"/>
      <c r="Q112" s="182"/>
      <c r="R112" s="182"/>
      <c r="S112" s="183"/>
    </row>
    <row r="113" spans="1:19">
      <c r="A113" s="170"/>
      <c r="B113" s="184" t="s">
        <v>202</v>
      </c>
      <c r="C113" s="185"/>
      <c r="D113" s="185"/>
      <c r="E113" s="185"/>
      <c r="F113" s="185"/>
      <c r="G113" s="185"/>
      <c r="H113" s="185"/>
      <c r="I113" s="183"/>
      <c r="J113" s="169"/>
      <c r="K113" s="170"/>
      <c r="L113" s="184" t="s">
        <v>202</v>
      </c>
      <c r="M113" s="184"/>
      <c r="N113" s="185"/>
      <c r="O113" s="185"/>
      <c r="P113" s="185"/>
      <c r="Q113" s="185"/>
      <c r="R113" s="185"/>
      <c r="S113" s="183"/>
    </row>
    <row r="114" spans="1:19">
      <c r="A114" s="170"/>
      <c r="B114" s="186" t="s">
        <v>111</v>
      </c>
      <c r="C114" s="186"/>
      <c r="D114" s="186"/>
      <c r="E114" s="186"/>
      <c r="F114" s="186"/>
      <c r="G114" s="187"/>
      <c r="H114" s="187">
        <f>+STAFF!G15</f>
        <v>8700359</v>
      </c>
      <c r="I114" s="188"/>
      <c r="J114" s="187"/>
      <c r="K114" s="170"/>
      <c r="L114" s="186" t="s">
        <v>111</v>
      </c>
      <c r="M114" s="186"/>
      <c r="N114" s="186"/>
      <c r="O114" s="186"/>
      <c r="P114" s="186"/>
      <c r="Q114" s="187"/>
      <c r="R114" s="187">
        <f>+STAFF!G16</f>
        <v>8700359</v>
      </c>
      <c r="S114" s="188"/>
    </row>
    <row r="115" spans="1:19">
      <c r="A115" s="170"/>
      <c r="B115" s="186" t="s">
        <v>203</v>
      </c>
      <c r="C115" s="186"/>
      <c r="D115" s="186"/>
      <c r="E115" s="186"/>
      <c r="F115" s="186"/>
      <c r="G115" s="187"/>
      <c r="H115" s="187">
        <f>+STAFF!I15</f>
        <v>500000</v>
      </c>
      <c r="I115" s="188"/>
      <c r="J115" s="209"/>
      <c r="K115" s="170"/>
      <c r="L115" s="186" t="s">
        <v>203</v>
      </c>
      <c r="M115" s="186"/>
      <c r="N115" s="186"/>
      <c r="O115" s="186"/>
      <c r="P115" s="186"/>
      <c r="Q115" s="187"/>
      <c r="R115" s="187">
        <f>+STAFF!I16</f>
        <v>500000</v>
      </c>
      <c r="S115" s="188"/>
    </row>
    <row r="116" spans="1:19">
      <c r="A116" s="170"/>
      <c r="B116" s="186" t="s">
        <v>224</v>
      </c>
      <c r="C116" s="186"/>
      <c r="D116" s="186"/>
      <c r="E116" s="186"/>
      <c r="F116" s="186"/>
      <c r="G116" s="187"/>
      <c r="H116" s="187">
        <f>+STAFF!S15</f>
        <v>819562.99209999992</v>
      </c>
      <c r="I116" s="188"/>
      <c r="J116" s="209"/>
      <c r="K116" s="170"/>
      <c r="L116" s="186" t="s">
        <v>224</v>
      </c>
      <c r="M116" s="186"/>
      <c r="N116" s="186"/>
      <c r="O116" s="186"/>
      <c r="P116" s="186"/>
      <c r="Q116" s="187"/>
      <c r="R116" s="187">
        <f>+STAFF!S16</f>
        <v>819562.99209999992</v>
      </c>
      <c r="S116" s="188"/>
    </row>
    <row r="117" spans="1:19">
      <c r="A117" s="170"/>
      <c r="B117" s="186" t="s">
        <v>195</v>
      </c>
      <c r="C117" s="186"/>
      <c r="D117" s="187">
        <v>0</v>
      </c>
      <c r="E117" s="186" t="s">
        <v>204</v>
      </c>
      <c r="F117" s="186" t="s">
        <v>205</v>
      </c>
      <c r="G117" s="187">
        <v>0</v>
      </c>
      <c r="H117" s="187">
        <f>G117*D117</f>
        <v>0</v>
      </c>
      <c r="I117" s="188"/>
      <c r="J117" s="187"/>
      <c r="K117" s="170"/>
      <c r="L117" s="186" t="s">
        <v>195</v>
      </c>
      <c r="M117" s="186"/>
      <c r="N117" s="187">
        <v>0</v>
      </c>
      <c r="O117" s="186" t="s">
        <v>204</v>
      </c>
      <c r="P117" s="186" t="s">
        <v>205</v>
      </c>
      <c r="Q117" s="187">
        <v>0</v>
      </c>
      <c r="R117" s="187">
        <f>Q117*N117</f>
        <v>0</v>
      </c>
      <c r="S117" s="188"/>
    </row>
    <row r="118" spans="1:19">
      <c r="A118" s="170"/>
      <c r="B118" s="186" t="s">
        <v>206</v>
      </c>
      <c r="C118" s="186"/>
      <c r="D118" s="189">
        <f>'[2]G-STAFF'!CH12</f>
        <v>0</v>
      </c>
      <c r="E118" s="186" t="s">
        <v>207</v>
      </c>
      <c r="F118" s="186" t="s">
        <v>205</v>
      </c>
      <c r="G118" s="187">
        <f>'[2]G-STAFF'!M14</f>
        <v>0</v>
      </c>
      <c r="H118" s="187">
        <f>G118*D118</f>
        <v>0</v>
      </c>
      <c r="I118" s="188"/>
      <c r="J118" s="209"/>
      <c r="K118" s="170"/>
      <c r="L118" s="186" t="s">
        <v>206</v>
      </c>
      <c r="M118" s="186"/>
      <c r="N118" s="189">
        <v>0</v>
      </c>
      <c r="O118" s="186" t="s">
        <v>207</v>
      </c>
      <c r="P118" s="186" t="s">
        <v>205</v>
      </c>
      <c r="Q118" s="187">
        <f>'[2]G-STAFF'!M15</f>
        <v>0</v>
      </c>
      <c r="R118" s="187">
        <f>Q118*N118</f>
        <v>0</v>
      </c>
      <c r="S118" s="188"/>
    </row>
    <row r="119" spans="1:19" ht="15.75" thickBot="1">
      <c r="A119" s="170"/>
      <c r="B119" s="190" t="s">
        <v>208</v>
      </c>
      <c r="C119" s="190"/>
      <c r="D119" s="191">
        <f>'[2]G-STAFF'!CG12</f>
        <v>0</v>
      </c>
      <c r="E119" s="190" t="s">
        <v>207</v>
      </c>
      <c r="F119" s="190" t="s">
        <v>205</v>
      </c>
      <c r="G119" s="192">
        <f>G118</f>
        <v>0</v>
      </c>
      <c r="H119" s="192">
        <f>G119*D119</f>
        <v>0</v>
      </c>
      <c r="I119" s="188"/>
      <c r="J119" s="187"/>
      <c r="K119" s="170"/>
      <c r="L119" s="190" t="s">
        <v>208</v>
      </c>
      <c r="M119" s="190"/>
      <c r="N119" s="191">
        <v>0</v>
      </c>
      <c r="O119" s="190" t="s">
        <v>207</v>
      </c>
      <c r="P119" s="190" t="s">
        <v>205</v>
      </c>
      <c r="Q119" s="192">
        <f>Q118</f>
        <v>0</v>
      </c>
      <c r="R119" s="192">
        <f>Q119*N119</f>
        <v>0</v>
      </c>
      <c r="S119" s="188"/>
    </row>
    <row r="120" spans="1:19" ht="15.75" thickBot="1">
      <c r="A120" s="170"/>
      <c r="B120" s="190" t="s">
        <v>110</v>
      </c>
      <c r="C120" s="190"/>
      <c r="D120" s="191">
        <f>'[2]G-STAFF'!CI12</f>
        <v>0</v>
      </c>
      <c r="E120" s="190"/>
      <c r="F120" s="190"/>
      <c r="G120" s="192"/>
      <c r="H120" s="192">
        <f>SUM(H114:H119)</f>
        <v>10019921.9921</v>
      </c>
      <c r="I120" s="188"/>
      <c r="J120" s="187"/>
      <c r="K120" s="170"/>
      <c r="L120" s="190" t="s">
        <v>110</v>
      </c>
      <c r="M120" s="190"/>
      <c r="N120" s="191">
        <f>SUM(N118:N119)</f>
        <v>0</v>
      </c>
      <c r="O120" s="190"/>
      <c r="P120" s="190"/>
      <c r="Q120" s="192"/>
      <c r="R120" s="192">
        <f>SUM(R114:R119)</f>
        <v>10019921.9921</v>
      </c>
      <c r="S120" s="188"/>
    </row>
    <row r="121" spans="1:19">
      <c r="A121" s="170"/>
      <c r="B121" s="186"/>
      <c r="C121" s="186"/>
      <c r="D121" s="189"/>
      <c r="E121" s="186"/>
      <c r="F121" s="186"/>
      <c r="G121" s="187"/>
      <c r="H121" s="187"/>
      <c r="I121" s="188"/>
      <c r="J121" s="187"/>
      <c r="K121" s="170"/>
      <c r="L121" s="186"/>
      <c r="M121" s="186"/>
      <c r="N121" s="189"/>
      <c r="O121" s="186"/>
      <c r="P121" s="186"/>
      <c r="Q121" s="187"/>
      <c r="R121" s="187"/>
      <c r="S121" s="188"/>
    </row>
    <row r="122" spans="1:19">
      <c r="A122" s="170"/>
      <c r="B122" s="196" t="s">
        <v>113</v>
      </c>
      <c r="C122" s="186"/>
      <c r="D122" s="186"/>
      <c r="E122" s="186"/>
      <c r="F122" s="186"/>
      <c r="G122" s="187"/>
      <c r="H122" s="187"/>
      <c r="I122" s="188"/>
      <c r="J122" s="209"/>
      <c r="K122" s="170"/>
      <c r="L122" s="196" t="s">
        <v>113</v>
      </c>
      <c r="M122" s="186"/>
      <c r="N122" s="186"/>
      <c r="O122" s="186"/>
      <c r="P122" s="186"/>
      <c r="Q122" s="187"/>
      <c r="R122" s="187"/>
      <c r="S122" s="188"/>
    </row>
    <row r="123" spans="1:19">
      <c r="A123" s="170"/>
      <c r="B123" s="186" t="s">
        <v>209</v>
      </c>
      <c r="C123" s="186"/>
      <c r="D123" s="197"/>
      <c r="E123" s="186"/>
      <c r="F123" s="186"/>
      <c r="G123" s="198" t="str">
        <f>'[2]G-STAFF'!C14</f>
        <v>K2</v>
      </c>
      <c r="H123" s="187">
        <f>+STAFF!Z15</f>
        <v>145079</v>
      </c>
      <c r="I123" s="188"/>
      <c r="J123" s="209"/>
      <c r="K123" s="170"/>
      <c r="L123" s="186" t="s">
        <v>209</v>
      </c>
      <c r="M123" s="186"/>
      <c r="N123" s="198"/>
      <c r="O123" s="186"/>
      <c r="P123" s="186"/>
      <c r="Q123" s="198" t="str">
        <f>'[2]G-STAFF'!C15</f>
        <v>K1</v>
      </c>
      <c r="R123" s="187">
        <f>+STAFF!Z16</f>
        <v>145079</v>
      </c>
      <c r="S123" s="188"/>
    </row>
    <row r="124" spans="1:19">
      <c r="A124" s="170"/>
      <c r="B124" s="186" t="s">
        <v>225</v>
      </c>
      <c r="C124" s="186"/>
      <c r="D124" s="197"/>
      <c r="E124" s="186"/>
      <c r="F124" s="186"/>
      <c r="G124" s="198"/>
      <c r="H124" s="187">
        <f>+STAFF!W15+STAFF!X15</f>
        <v>92003.59</v>
      </c>
      <c r="I124" s="188"/>
      <c r="J124" s="209"/>
      <c r="K124" s="170"/>
      <c r="L124" s="186" t="s">
        <v>225</v>
      </c>
      <c r="M124" s="186"/>
      <c r="N124" s="198"/>
      <c r="O124" s="186"/>
      <c r="P124" s="186"/>
      <c r="Q124" s="198"/>
      <c r="R124" s="187">
        <f>+STAFF!W16+STAFF!X16</f>
        <v>92003.59</v>
      </c>
      <c r="S124" s="188"/>
    </row>
    <row r="125" spans="1:19">
      <c r="A125" s="170"/>
      <c r="B125" s="186" t="s">
        <v>226</v>
      </c>
      <c r="C125" s="186"/>
      <c r="D125" s="197"/>
      <c r="E125" s="186"/>
      <c r="F125" s="186"/>
      <c r="G125" s="198"/>
      <c r="H125" s="187">
        <f>+STAFF!U15+STAFF!V15</f>
        <v>261010.77</v>
      </c>
      <c r="I125" s="188"/>
      <c r="J125" s="209"/>
      <c r="K125" s="170"/>
      <c r="L125" s="186" t="s">
        <v>226</v>
      </c>
      <c r="M125" s="186"/>
      <c r="N125" s="198"/>
      <c r="O125" s="186"/>
      <c r="P125" s="186"/>
      <c r="Q125" s="198"/>
      <c r="R125" s="187">
        <f>+STAFF!U16+STAFF!V16</f>
        <v>261010.77</v>
      </c>
      <c r="S125" s="188"/>
    </row>
    <row r="126" spans="1:19">
      <c r="A126" s="170"/>
      <c r="B126" s="186" t="s">
        <v>103</v>
      </c>
      <c r="C126" s="186"/>
      <c r="D126" s="186"/>
      <c r="E126" s="186"/>
      <c r="F126" s="186"/>
      <c r="G126" s="187"/>
      <c r="H126" s="187">
        <f>+H116</f>
        <v>819562.99209999992</v>
      </c>
      <c r="I126" s="188"/>
      <c r="J126" s="209"/>
      <c r="K126" s="170"/>
      <c r="L126" s="186" t="s">
        <v>103</v>
      </c>
      <c r="M126" s="186"/>
      <c r="N126" s="186"/>
      <c r="O126" s="186"/>
      <c r="P126" s="186"/>
      <c r="Q126" s="187"/>
      <c r="R126" s="187">
        <f>+R116</f>
        <v>819562.99209999992</v>
      </c>
      <c r="S126" s="188"/>
    </row>
    <row r="127" spans="1:19" ht="15.75" thickBot="1">
      <c r="A127" s="170"/>
      <c r="B127" s="199" t="s">
        <v>211</v>
      </c>
      <c r="C127" s="190"/>
      <c r="D127" s="190"/>
      <c r="E127" s="190"/>
      <c r="F127" s="190"/>
      <c r="G127" s="192"/>
      <c r="H127" s="192">
        <f>SUM(H123:H126)</f>
        <v>1317656.3520999998</v>
      </c>
      <c r="I127" s="188"/>
      <c r="J127" s="187"/>
      <c r="K127" s="170"/>
      <c r="L127" s="199" t="s">
        <v>211</v>
      </c>
      <c r="M127" s="190"/>
      <c r="N127" s="190"/>
      <c r="O127" s="190"/>
      <c r="P127" s="190"/>
      <c r="Q127" s="192"/>
      <c r="R127" s="192">
        <f>SUM(R123:R126)</f>
        <v>1317656.3520999998</v>
      </c>
      <c r="S127" s="188"/>
    </row>
    <row r="128" spans="1:19" ht="15.75" thickBot="1">
      <c r="A128" s="170"/>
      <c r="B128" s="200" t="s">
        <v>212</v>
      </c>
      <c r="C128" s="200"/>
      <c r="D128" s="200"/>
      <c r="E128" s="200"/>
      <c r="F128" s="200"/>
      <c r="G128" s="201"/>
      <c r="H128" s="201">
        <f>SUM(H120-H127)</f>
        <v>8702265.6400000006</v>
      </c>
      <c r="I128" s="188"/>
      <c r="J128" s="187"/>
      <c r="K128" s="170"/>
      <c r="L128" s="200" t="s">
        <v>212</v>
      </c>
      <c r="M128" s="200"/>
      <c r="N128" s="200"/>
      <c r="O128" s="200"/>
      <c r="P128" s="200"/>
      <c r="Q128" s="201"/>
      <c r="R128" s="201">
        <f>SUM(R120-R127)</f>
        <v>8702265.6400000006</v>
      </c>
      <c r="S128" s="188"/>
    </row>
    <row r="129" spans="1:19" ht="15.75" thickTop="1">
      <c r="A129" s="170"/>
      <c r="B129" s="202" t="s">
        <v>213</v>
      </c>
      <c r="C129" s="186"/>
      <c r="D129" s="186"/>
      <c r="E129" s="186"/>
      <c r="F129" s="186"/>
      <c r="G129" s="296" t="s">
        <v>214</v>
      </c>
      <c r="H129" s="296"/>
      <c r="I129" s="188"/>
      <c r="J129" s="187"/>
      <c r="K129" s="170"/>
      <c r="L129" s="202" t="s">
        <v>213</v>
      </c>
      <c r="M129" s="186"/>
      <c r="N129" s="186"/>
      <c r="O129" s="186"/>
      <c r="P129" s="186"/>
      <c r="Q129" s="296" t="s">
        <v>214</v>
      </c>
      <c r="R129" s="296"/>
      <c r="S129" s="188"/>
    </row>
    <row r="130" spans="1:19">
      <c r="A130" s="170"/>
      <c r="B130" s="186"/>
      <c r="C130" s="186"/>
      <c r="D130" s="186"/>
      <c r="E130" s="186"/>
      <c r="F130" s="186"/>
      <c r="G130" s="187"/>
      <c r="H130" s="187"/>
      <c r="I130" s="188"/>
      <c r="J130" s="187"/>
      <c r="K130" s="170"/>
      <c r="L130" s="186"/>
      <c r="M130" s="186"/>
      <c r="N130" s="186"/>
      <c r="O130" s="186"/>
      <c r="P130" s="186"/>
      <c r="Q130" s="187"/>
      <c r="R130" s="187"/>
      <c r="S130" s="188"/>
    </row>
    <row r="131" spans="1:19">
      <c r="A131" s="170"/>
      <c r="B131" s="186"/>
      <c r="C131" s="186"/>
      <c r="D131" s="186"/>
      <c r="E131" s="186"/>
      <c r="F131" s="186"/>
      <c r="G131" s="187"/>
      <c r="H131" s="187"/>
      <c r="I131" s="188"/>
      <c r="J131" s="187"/>
      <c r="K131" s="170"/>
      <c r="L131" s="186"/>
      <c r="M131" s="186"/>
      <c r="N131" s="186"/>
      <c r="O131" s="186"/>
      <c r="P131" s="186"/>
      <c r="Q131" s="187"/>
      <c r="R131" s="187"/>
      <c r="S131" s="188"/>
    </row>
    <row r="132" spans="1:19">
      <c r="A132" s="170"/>
      <c r="B132" s="203" t="s">
        <v>215</v>
      </c>
      <c r="C132" s="186"/>
      <c r="D132" s="186"/>
      <c r="E132" s="186"/>
      <c r="F132" s="186"/>
      <c r="G132" s="297" t="s">
        <v>216</v>
      </c>
      <c r="H132" s="297"/>
      <c r="I132" s="188"/>
      <c r="J132" s="187"/>
      <c r="K132" s="170"/>
      <c r="L132" s="203" t="s">
        <v>215</v>
      </c>
      <c r="M132" s="186"/>
      <c r="N132" s="186"/>
      <c r="O132" s="186"/>
      <c r="P132" s="186"/>
      <c r="Q132" s="297" t="s">
        <v>216</v>
      </c>
      <c r="R132" s="297"/>
      <c r="S132" s="188"/>
    </row>
    <row r="133" spans="1:19">
      <c r="A133" s="204"/>
      <c r="B133" s="205"/>
      <c r="C133" s="206"/>
      <c r="D133" s="206"/>
      <c r="E133" s="206"/>
      <c r="F133" s="206"/>
      <c r="G133" s="207"/>
      <c r="H133" s="205"/>
      <c r="I133" s="208"/>
      <c r="J133" s="187"/>
      <c r="K133" s="204"/>
      <c r="L133" s="205"/>
      <c r="M133" s="206"/>
      <c r="N133" s="206"/>
      <c r="O133" s="206"/>
      <c r="P133" s="206"/>
      <c r="Q133" s="207"/>
      <c r="R133" s="205"/>
      <c r="S133" s="208"/>
    </row>
    <row r="134" spans="1:19">
      <c r="B134" s="186"/>
      <c r="C134" s="186"/>
      <c r="D134" s="186"/>
      <c r="E134" s="186"/>
      <c r="F134" s="186"/>
      <c r="G134" s="187"/>
      <c r="H134" s="187"/>
      <c r="I134" s="187"/>
      <c r="J134" s="187"/>
      <c r="L134" s="186"/>
      <c r="M134" s="186"/>
      <c r="N134" s="186"/>
      <c r="O134" s="186"/>
      <c r="P134" s="186"/>
      <c r="Q134" s="187"/>
      <c r="R134" s="187"/>
      <c r="S134" s="187"/>
    </row>
    <row r="135" spans="1:19">
      <c r="B135" s="186"/>
      <c r="C135" s="186"/>
      <c r="D135" s="186"/>
      <c r="E135" s="186"/>
      <c r="F135" s="186"/>
      <c r="G135" s="187"/>
      <c r="H135" s="187"/>
      <c r="I135" s="187"/>
      <c r="J135" s="187"/>
      <c r="L135" s="186"/>
      <c r="M135" s="186"/>
      <c r="N135" s="186"/>
      <c r="O135" s="186"/>
      <c r="P135" s="186"/>
      <c r="Q135" s="187"/>
      <c r="R135" s="187"/>
      <c r="S135" s="187"/>
    </row>
    <row r="136" spans="1:19">
      <c r="B136" s="186"/>
      <c r="C136" s="186"/>
      <c r="D136" s="186"/>
      <c r="E136" s="186"/>
      <c r="F136" s="186"/>
      <c r="G136" s="187"/>
      <c r="H136" s="187"/>
      <c r="I136" s="187"/>
      <c r="J136" s="187"/>
      <c r="L136" s="186"/>
      <c r="M136" s="186"/>
      <c r="N136" s="186"/>
      <c r="O136" s="186"/>
      <c r="P136" s="186"/>
      <c r="Q136" s="187"/>
      <c r="R136" s="187"/>
      <c r="S136" s="187"/>
    </row>
    <row r="137" spans="1:19">
      <c r="B137" s="186"/>
      <c r="C137" s="186"/>
      <c r="D137" s="186"/>
      <c r="E137" s="186"/>
      <c r="F137" s="186"/>
      <c r="G137" s="187"/>
      <c r="H137" s="187"/>
      <c r="I137" s="187"/>
      <c r="J137" s="187"/>
      <c r="L137" s="186"/>
      <c r="M137" s="186"/>
      <c r="N137" s="186"/>
      <c r="O137" s="186"/>
      <c r="P137" s="186"/>
      <c r="Q137" s="187"/>
      <c r="R137" s="187"/>
      <c r="S137" s="187"/>
    </row>
    <row r="138" spans="1:19">
      <c r="B138" s="186"/>
      <c r="C138" s="186"/>
      <c r="D138" s="186"/>
      <c r="E138" s="186"/>
      <c r="F138" s="186"/>
      <c r="G138" s="187"/>
      <c r="H138" s="187"/>
      <c r="I138" s="187"/>
      <c r="J138" s="187"/>
      <c r="L138" s="186"/>
      <c r="M138" s="186"/>
      <c r="N138" s="186"/>
      <c r="O138" s="186"/>
      <c r="P138" s="186"/>
      <c r="Q138" s="187"/>
      <c r="R138" s="187"/>
      <c r="S138" s="187"/>
    </row>
    <row r="139" spans="1:19">
      <c r="B139" s="186"/>
      <c r="C139" s="186"/>
      <c r="D139" s="186"/>
      <c r="E139" s="186"/>
      <c r="F139" s="186"/>
      <c r="G139" s="187"/>
      <c r="H139" s="187"/>
      <c r="I139" s="187"/>
      <c r="J139" s="187"/>
      <c r="L139" s="186"/>
      <c r="M139" s="186"/>
      <c r="N139" s="186"/>
      <c r="O139" s="186"/>
      <c r="P139" s="186"/>
      <c r="Q139" s="187"/>
      <c r="R139" s="187"/>
      <c r="S139" s="187"/>
    </row>
    <row r="140" spans="1:19">
      <c r="A140" s="166"/>
      <c r="B140" s="167"/>
      <c r="C140" s="167"/>
      <c r="D140" s="167"/>
      <c r="E140" s="167"/>
      <c r="F140" s="167"/>
      <c r="G140" s="167"/>
      <c r="H140" s="167"/>
      <c r="I140" s="168"/>
      <c r="J140" s="169"/>
      <c r="K140" s="166"/>
      <c r="L140" s="167"/>
      <c r="M140" s="167"/>
      <c r="N140" s="167"/>
      <c r="O140" s="167"/>
      <c r="P140" s="167"/>
      <c r="Q140" s="167"/>
      <c r="R140" s="167"/>
      <c r="S140" s="168"/>
    </row>
    <row r="141" spans="1:19">
      <c r="A141" s="170"/>
      <c r="B141" s="169"/>
      <c r="C141" s="169"/>
      <c r="D141" s="169"/>
      <c r="E141" s="169"/>
      <c r="F141" s="169"/>
      <c r="G141" s="169"/>
      <c r="H141" s="169"/>
      <c r="I141" s="171"/>
      <c r="J141" s="169"/>
      <c r="K141" s="170"/>
      <c r="L141" s="169"/>
      <c r="M141" s="169"/>
      <c r="N141" s="169"/>
      <c r="O141" s="169"/>
      <c r="P141" s="169"/>
      <c r="Q141" s="169"/>
      <c r="R141" s="169"/>
      <c r="S141" s="171"/>
    </row>
    <row r="142" spans="1:19">
      <c r="A142" s="170"/>
      <c r="B142" s="169"/>
      <c r="C142" s="169"/>
      <c r="D142" s="169"/>
      <c r="E142" s="169"/>
      <c r="F142" s="169"/>
      <c r="G142" s="169"/>
      <c r="H142" s="169"/>
      <c r="I142" s="171"/>
      <c r="J142" s="169"/>
      <c r="K142" s="170"/>
      <c r="L142" s="169"/>
      <c r="M142" s="169"/>
      <c r="N142" s="169"/>
      <c r="O142" s="169"/>
      <c r="P142" s="169"/>
      <c r="Q142" s="169"/>
      <c r="R142" s="169"/>
      <c r="S142" s="171"/>
    </row>
    <row r="143" spans="1:19">
      <c r="A143" s="170"/>
      <c r="B143" s="169"/>
      <c r="C143" s="169"/>
      <c r="D143" s="169"/>
      <c r="E143" s="169"/>
      <c r="F143" s="169"/>
      <c r="G143" s="169"/>
      <c r="H143" s="169"/>
      <c r="I143" s="171"/>
      <c r="J143" s="169"/>
      <c r="K143" s="170"/>
      <c r="L143" s="169"/>
      <c r="M143" s="169"/>
      <c r="N143" s="169"/>
      <c r="O143" s="169"/>
      <c r="P143" s="169"/>
      <c r="Q143" s="169"/>
      <c r="R143" s="169"/>
      <c r="S143" s="171"/>
    </row>
    <row r="144" spans="1:19">
      <c r="A144" s="170"/>
      <c r="B144" s="294" t="s">
        <v>196</v>
      </c>
      <c r="C144" s="294"/>
      <c r="D144" s="294"/>
      <c r="E144" s="294"/>
      <c r="F144" s="294"/>
      <c r="G144" s="294"/>
      <c r="H144" s="294"/>
      <c r="I144" s="295"/>
      <c r="J144" s="169"/>
      <c r="K144" s="170"/>
      <c r="L144" s="294" t="s">
        <v>196</v>
      </c>
      <c r="M144" s="294"/>
      <c r="N144" s="294"/>
      <c r="O144" s="294"/>
      <c r="P144" s="294"/>
      <c r="Q144" s="294"/>
      <c r="R144" s="294"/>
      <c r="S144" s="295"/>
    </row>
    <row r="145" spans="1:19">
      <c r="A145" s="172"/>
      <c r="B145" s="173" t="s">
        <v>197</v>
      </c>
      <c r="C145" s="174" t="s">
        <v>198</v>
      </c>
      <c r="D145" s="175">
        <f>'[2]G-STAFF'!A16</f>
        <v>9</v>
      </c>
      <c r="E145" s="173"/>
      <c r="F145" s="173"/>
      <c r="G145" s="173"/>
      <c r="H145" s="173"/>
      <c r="I145" s="176"/>
      <c r="J145" s="173"/>
      <c r="K145" s="172"/>
      <c r="L145" s="173" t="s">
        <v>197</v>
      </c>
      <c r="M145" s="174" t="s">
        <v>198</v>
      </c>
      <c r="N145" s="175">
        <f>'[2]G-STAFF'!A17</f>
        <v>10</v>
      </c>
      <c r="O145" s="175"/>
      <c r="P145" s="173"/>
      <c r="Q145" s="173"/>
      <c r="R145" s="173"/>
      <c r="S145" s="176"/>
    </row>
    <row r="146" spans="1:19">
      <c r="A146" s="172"/>
      <c r="B146" s="173" t="s">
        <v>199</v>
      </c>
      <c r="C146" s="174" t="s">
        <v>198</v>
      </c>
      <c r="D146" s="177" t="str">
        <f>'[2]G-STAFF'!A3</f>
        <v>01 JANUARI  S/D  31 JANUARI  2025</v>
      </c>
      <c r="E146" s="173"/>
      <c r="F146" s="173"/>
      <c r="G146" s="173"/>
      <c r="H146" s="173"/>
      <c r="I146" s="176"/>
      <c r="J146" s="173"/>
      <c r="K146" s="172"/>
      <c r="L146" s="173" t="s">
        <v>199</v>
      </c>
      <c r="M146" s="174" t="s">
        <v>198</v>
      </c>
      <c r="N146" s="177" t="str">
        <f>'[2]G-STAFF'!A3</f>
        <v>01 JANUARI  S/D  31 JANUARI  2025</v>
      </c>
      <c r="O146" s="179"/>
      <c r="P146" s="173"/>
      <c r="Q146" s="173"/>
      <c r="R146" s="173"/>
      <c r="S146" s="176"/>
    </row>
    <row r="147" spans="1:19">
      <c r="A147" s="172"/>
      <c r="B147" s="173" t="s">
        <v>200</v>
      </c>
      <c r="C147" s="174" t="s">
        <v>198</v>
      </c>
      <c r="D147" s="180" t="str">
        <f>'[2]G-STAFF'!B16</f>
        <v>ABDUROHMAT YUSUP</v>
      </c>
      <c r="E147" s="173"/>
      <c r="F147" s="173"/>
      <c r="G147" s="173"/>
      <c r="H147" s="173"/>
      <c r="I147" s="176"/>
      <c r="J147" s="173"/>
      <c r="K147" s="172"/>
      <c r="L147" s="173" t="s">
        <v>200</v>
      </c>
      <c r="M147" s="174" t="s">
        <v>198</v>
      </c>
      <c r="N147" s="181" t="str">
        <f>'[2]G-STAFF'!B17</f>
        <v>MUH. ARIF ROPIUDIN</v>
      </c>
      <c r="O147" s="173"/>
      <c r="P147" s="173"/>
      <c r="Q147" s="173"/>
      <c r="R147" s="173"/>
      <c r="S147" s="176"/>
    </row>
    <row r="148" spans="1:19" ht="15.75" thickBot="1">
      <c r="A148" s="172"/>
      <c r="B148" s="173" t="s">
        <v>201</v>
      </c>
      <c r="C148" s="174" t="s">
        <v>198</v>
      </c>
      <c r="D148" s="177" t="str">
        <f>'[2]G-STAFF'!H16</f>
        <v>LEADER DELIVERY 1</v>
      </c>
      <c r="E148" s="173"/>
      <c r="F148" s="173"/>
      <c r="G148" s="173"/>
      <c r="H148" s="173"/>
      <c r="I148" s="176"/>
      <c r="J148" s="173"/>
      <c r="K148" s="172"/>
      <c r="L148" s="173" t="s">
        <v>201</v>
      </c>
      <c r="M148" s="174" t="s">
        <v>198</v>
      </c>
      <c r="N148" s="178" t="str">
        <f>'[2]G-STAFF'!H17</f>
        <v>CHECKER DELIVERY</v>
      </c>
      <c r="O148" s="179"/>
      <c r="P148" s="173"/>
      <c r="Q148" s="173"/>
      <c r="R148" s="173"/>
      <c r="S148" s="176"/>
    </row>
    <row r="149" spans="1:19" ht="15.75" thickTop="1">
      <c r="A149" s="170"/>
      <c r="B149" s="182"/>
      <c r="C149" s="182"/>
      <c r="D149" s="182"/>
      <c r="E149" s="182"/>
      <c r="F149" s="182"/>
      <c r="G149" s="182"/>
      <c r="H149" s="182"/>
      <c r="I149" s="183"/>
      <c r="J149" s="169"/>
      <c r="K149" s="170"/>
      <c r="L149" s="182"/>
      <c r="M149" s="182"/>
      <c r="N149" s="182"/>
      <c r="O149" s="182"/>
      <c r="P149" s="182"/>
      <c r="Q149" s="182"/>
      <c r="R149" s="182"/>
      <c r="S149" s="183"/>
    </row>
    <row r="150" spans="1:19">
      <c r="A150" s="170"/>
      <c r="B150" s="184" t="s">
        <v>202</v>
      </c>
      <c r="C150" s="185"/>
      <c r="D150" s="185"/>
      <c r="E150" s="185"/>
      <c r="F150" s="185"/>
      <c r="G150" s="185"/>
      <c r="H150" s="185"/>
      <c r="I150" s="183"/>
      <c r="J150" s="169"/>
      <c r="K150" s="170"/>
      <c r="L150" s="184" t="s">
        <v>202</v>
      </c>
      <c r="M150" s="184"/>
      <c r="N150" s="185"/>
      <c r="O150" s="185"/>
      <c r="P150" s="185"/>
      <c r="Q150" s="185"/>
      <c r="R150" s="185"/>
      <c r="S150" s="183"/>
    </row>
    <row r="151" spans="1:19">
      <c r="A151" s="170"/>
      <c r="B151" s="186" t="s">
        <v>111</v>
      </c>
      <c r="C151" s="186"/>
      <c r="D151" s="186"/>
      <c r="E151" s="186"/>
      <c r="F151" s="186"/>
      <c r="G151" s="187"/>
      <c r="H151" s="187">
        <f>+STAFF!G17</f>
        <v>6519752</v>
      </c>
      <c r="I151" s="188"/>
      <c r="J151" s="187"/>
      <c r="K151" s="170"/>
      <c r="L151" s="186" t="s">
        <v>111</v>
      </c>
      <c r="M151" s="186"/>
      <c r="N151" s="186"/>
      <c r="O151" s="186"/>
      <c r="P151" s="186"/>
      <c r="Q151" s="187"/>
      <c r="R151" s="187">
        <f>+STAFF!G18</f>
        <v>6009388</v>
      </c>
      <c r="S151" s="188"/>
    </row>
    <row r="152" spans="1:19">
      <c r="A152" s="170"/>
      <c r="B152" s="186" t="s">
        <v>203</v>
      </c>
      <c r="C152" s="186"/>
      <c r="D152" s="186"/>
      <c r="E152" s="186"/>
      <c r="F152" s="186"/>
      <c r="G152" s="187"/>
      <c r="H152" s="187">
        <f>+STAFF!I17</f>
        <v>300000</v>
      </c>
      <c r="I152" s="188"/>
      <c r="J152" s="209"/>
      <c r="K152" s="170"/>
      <c r="L152" s="186" t="s">
        <v>203</v>
      </c>
      <c r="M152" s="186"/>
      <c r="N152" s="186"/>
      <c r="O152" s="186"/>
      <c r="P152" s="186"/>
      <c r="Q152" s="187"/>
      <c r="R152" s="187">
        <f>+STAFF!I18</f>
        <v>200000</v>
      </c>
      <c r="S152" s="188"/>
    </row>
    <row r="153" spans="1:19">
      <c r="A153" s="170"/>
      <c r="B153" s="186" t="s">
        <v>224</v>
      </c>
      <c r="C153" s="186"/>
      <c r="D153" s="186"/>
      <c r="E153" s="186"/>
      <c r="F153" s="186"/>
      <c r="G153" s="187"/>
      <c r="H153" s="187">
        <f>+STAFF!S17</f>
        <v>611165.20880000014</v>
      </c>
      <c r="I153" s="188"/>
      <c r="J153" s="209"/>
      <c r="K153" s="170"/>
      <c r="L153" s="186" t="s">
        <v>224</v>
      </c>
      <c r="M153" s="186"/>
      <c r="N153" s="186"/>
      <c r="O153" s="186"/>
      <c r="P153" s="186"/>
      <c r="Q153" s="187"/>
      <c r="R153" s="187">
        <f>+STAFF!S18</f>
        <v>560262.75720000011</v>
      </c>
      <c r="S153" s="188"/>
    </row>
    <row r="154" spans="1:19">
      <c r="A154" s="170"/>
      <c r="B154" s="186" t="s">
        <v>195</v>
      </c>
      <c r="C154" s="186"/>
      <c r="D154" s="187">
        <v>0</v>
      </c>
      <c r="E154" s="186" t="s">
        <v>204</v>
      </c>
      <c r="F154" s="186" t="s">
        <v>205</v>
      </c>
      <c r="G154" s="187">
        <v>0</v>
      </c>
      <c r="H154" s="187">
        <f>G154*D154</f>
        <v>0</v>
      </c>
      <c r="I154" s="188"/>
      <c r="J154" s="187"/>
      <c r="K154" s="170"/>
      <c r="L154" s="186" t="s">
        <v>195</v>
      </c>
      <c r="M154" s="186"/>
      <c r="N154" s="187">
        <v>0</v>
      </c>
      <c r="O154" s="186" t="s">
        <v>204</v>
      </c>
      <c r="P154" s="186" t="s">
        <v>205</v>
      </c>
      <c r="Q154" s="187">
        <v>0</v>
      </c>
      <c r="R154" s="187">
        <f>Q154*N154</f>
        <v>0</v>
      </c>
      <c r="S154" s="188"/>
    </row>
    <row r="155" spans="1:19">
      <c r="A155" s="170"/>
      <c r="B155" s="186" t="s">
        <v>206</v>
      </c>
      <c r="C155" s="186"/>
      <c r="D155" s="189">
        <f>'[2]G-STAFF'!CH14</f>
        <v>0</v>
      </c>
      <c r="E155" s="186" t="s">
        <v>207</v>
      </c>
      <c r="F155" s="186" t="s">
        <v>205</v>
      </c>
      <c r="G155" s="187">
        <f>'[2]G-STAFF'!M16</f>
        <v>0</v>
      </c>
      <c r="H155" s="187">
        <f>G155*D155</f>
        <v>0</v>
      </c>
      <c r="I155" s="188"/>
      <c r="J155" s="209"/>
      <c r="K155" s="170"/>
      <c r="L155" s="186" t="s">
        <v>206</v>
      </c>
      <c r="M155" s="186"/>
      <c r="N155" s="189">
        <v>0</v>
      </c>
      <c r="O155" s="186" t="s">
        <v>207</v>
      </c>
      <c r="P155" s="186" t="s">
        <v>205</v>
      </c>
      <c r="Q155" s="187">
        <f>'[2]G-STAFF'!M17</f>
        <v>0</v>
      </c>
      <c r="R155" s="187">
        <f>Q155*N155</f>
        <v>0</v>
      </c>
      <c r="S155" s="188"/>
    </row>
    <row r="156" spans="1:19" ht="15.75" thickBot="1">
      <c r="A156" s="170"/>
      <c r="B156" s="190" t="s">
        <v>208</v>
      </c>
      <c r="C156" s="190"/>
      <c r="D156" s="191">
        <f>'[2]G-STAFF'!CG14</f>
        <v>0</v>
      </c>
      <c r="E156" s="190" t="s">
        <v>207</v>
      </c>
      <c r="F156" s="190" t="s">
        <v>205</v>
      </c>
      <c r="G156" s="192">
        <f>G155</f>
        <v>0</v>
      </c>
      <c r="H156" s="192">
        <f>G156*D156</f>
        <v>0</v>
      </c>
      <c r="I156" s="188"/>
      <c r="J156" s="187"/>
      <c r="K156" s="170"/>
      <c r="L156" s="190" t="s">
        <v>208</v>
      </c>
      <c r="M156" s="190"/>
      <c r="N156" s="191">
        <v>0</v>
      </c>
      <c r="O156" s="190" t="s">
        <v>207</v>
      </c>
      <c r="P156" s="190" t="s">
        <v>205</v>
      </c>
      <c r="Q156" s="192">
        <f>Q155</f>
        <v>0</v>
      </c>
      <c r="R156" s="192">
        <f>Q156*N156</f>
        <v>0</v>
      </c>
      <c r="S156" s="188"/>
    </row>
    <row r="157" spans="1:19" ht="15.75" thickBot="1">
      <c r="A157" s="170"/>
      <c r="B157" s="190" t="s">
        <v>110</v>
      </c>
      <c r="C157" s="190"/>
      <c r="D157" s="191">
        <f>'[2]G-STAFF'!CI14</f>
        <v>0</v>
      </c>
      <c r="E157" s="190"/>
      <c r="F157" s="190"/>
      <c r="G157" s="192"/>
      <c r="H157" s="192">
        <f>SUM(H151:H156)</f>
        <v>7430917.2088000001</v>
      </c>
      <c r="I157" s="188"/>
      <c r="J157" s="187"/>
      <c r="K157" s="170"/>
      <c r="L157" s="190" t="s">
        <v>110</v>
      </c>
      <c r="M157" s="190"/>
      <c r="N157" s="191">
        <f>SUM(N154:N156)</f>
        <v>0</v>
      </c>
      <c r="O157" s="190"/>
      <c r="P157" s="190"/>
      <c r="Q157" s="192"/>
      <c r="R157" s="192">
        <f>SUM(R151:R156)</f>
        <v>6769650.7571999999</v>
      </c>
      <c r="S157" s="188"/>
    </row>
    <row r="158" spans="1:19">
      <c r="A158" s="170"/>
      <c r="B158" s="186"/>
      <c r="C158" s="186"/>
      <c r="D158" s="189"/>
      <c r="E158" s="186"/>
      <c r="F158" s="186"/>
      <c r="G158" s="187"/>
      <c r="H158" s="187"/>
      <c r="I158" s="188"/>
      <c r="J158" s="187"/>
      <c r="K158" s="170"/>
      <c r="L158" s="186"/>
      <c r="M158" s="186"/>
      <c r="N158" s="189"/>
      <c r="O158" s="186"/>
      <c r="P158" s="186"/>
      <c r="Q158" s="187"/>
      <c r="R158" s="187"/>
      <c r="S158" s="188"/>
    </row>
    <row r="159" spans="1:19">
      <c r="A159" s="170"/>
      <c r="B159" s="196" t="s">
        <v>113</v>
      </c>
      <c r="C159" s="186"/>
      <c r="D159" s="186"/>
      <c r="E159" s="186"/>
      <c r="F159" s="186"/>
      <c r="G159" s="187"/>
      <c r="H159" s="187"/>
      <c r="I159" s="188"/>
      <c r="J159" s="209"/>
      <c r="K159" s="170"/>
      <c r="L159" s="196" t="s">
        <v>113</v>
      </c>
      <c r="M159" s="186"/>
      <c r="N159" s="186"/>
      <c r="O159" s="186"/>
      <c r="P159" s="186"/>
      <c r="Q159" s="187"/>
      <c r="R159" s="187"/>
      <c r="S159" s="188"/>
    </row>
    <row r="160" spans="1:19">
      <c r="A160" s="170"/>
      <c r="B160" s="186" t="s">
        <v>209</v>
      </c>
      <c r="C160" s="186"/>
      <c r="D160" s="197"/>
      <c r="E160" s="186"/>
      <c r="F160" s="186"/>
      <c r="G160" s="198" t="str">
        <f>'[2]G-STAFF'!C16</f>
        <v>K2</v>
      </c>
      <c r="H160" s="187">
        <f>+STAFF!Z17</f>
        <v>53776</v>
      </c>
      <c r="I160" s="188"/>
      <c r="J160" s="209"/>
      <c r="K160" s="170"/>
      <c r="L160" s="186" t="s">
        <v>209</v>
      </c>
      <c r="M160" s="186"/>
      <c r="N160" s="198"/>
      <c r="O160" s="186"/>
      <c r="P160" s="186"/>
      <c r="Q160" s="198" t="str">
        <f>'[2]G-STAFF'!C17</f>
        <v>K1</v>
      </c>
      <c r="R160" s="187">
        <f>+STAFF!Z18</f>
        <v>32646</v>
      </c>
      <c r="S160" s="188"/>
    </row>
    <row r="161" spans="1:19">
      <c r="A161" s="170"/>
      <c r="B161" s="186" t="s">
        <v>225</v>
      </c>
      <c r="C161" s="186"/>
      <c r="D161" s="197"/>
      <c r="E161" s="186"/>
      <c r="F161" s="186"/>
      <c r="G161" s="198"/>
      <c r="H161" s="187">
        <f>+STAFF!W17+STAFF!X17</f>
        <v>68197.52</v>
      </c>
      <c r="I161" s="188"/>
      <c r="J161" s="209"/>
      <c r="K161" s="170"/>
      <c r="L161" s="186" t="s">
        <v>225</v>
      </c>
      <c r="M161" s="186"/>
      <c r="N161" s="198"/>
      <c r="O161" s="186"/>
      <c r="P161" s="186"/>
      <c r="Q161" s="198"/>
      <c r="R161" s="187">
        <f>+STAFF!W18+STAFF!X18</f>
        <v>62093.880000000005</v>
      </c>
      <c r="S161" s="188"/>
    </row>
    <row r="162" spans="1:19">
      <c r="A162" s="170"/>
      <c r="B162" s="186" t="s">
        <v>226</v>
      </c>
      <c r="C162" s="186"/>
      <c r="D162" s="197"/>
      <c r="E162" s="186"/>
      <c r="F162" s="186"/>
      <c r="G162" s="198"/>
      <c r="H162" s="187">
        <f>+STAFF!U17+STAFF!V17</f>
        <v>195592.56</v>
      </c>
      <c r="I162" s="188"/>
      <c r="J162" s="209"/>
      <c r="K162" s="170"/>
      <c r="L162" s="186" t="s">
        <v>226</v>
      </c>
      <c r="M162" s="186"/>
      <c r="N162" s="198"/>
      <c r="O162" s="186"/>
      <c r="P162" s="186"/>
      <c r="Q162" s="198"/>
      <c r="R162" s="187">
        <f>+STAFF!U18+STAFF!V18</f>
        <v>180281.64</v>
      </c>
      <c r="S162" s="188"/>
    </row>
    <row r="163" spans="1:19">
      <c r="A163" s="170"/>
      <c r="B163" s="186" t="s">
        <v>103</v>
      </c>
      <c r="C163" s="186"/>
      <c r="D163" s="186"/>
      <c r="E163" s="186"/>
      <c r="F163" s="186"/>
      <c r="G163" s="187"/>
      <c r="H163" s="187">
        <f>+H153</f>
        <v>611165.20880000014</v>
      </c>
      <c r="I163" s="188"/>
      <c r="J163" s="209"/>
      <c r="K163" s="170"/>
      <c r="L163" s="186" t="s">
        <v>103</v>
      </c>
      <c r="M163" s="186"/>
      <c r="N163" s="186"/>
      <c r="O163" s="186"/>
      <c r="P163" s="186"/>
      <c r="Q163" s="187"/>
      <c r="R163" s="187">
        <f>+R153</f>
        <v>560262.75720000011</v>
      </c>
      <c r="S163" s="188"/>
    </row>
    <row r="164" spans="1:19" ht="15.75" thickBot="1">
      <c r="A164" s="170"/>
      <c r="B164" s="199" t="s">
        <v>211</v>
      </c>
      <c r="C164" s="190"/>
      <c r="D164" s="190"/>
      <c r="E164" s="190"/>
      <c r="F164" s="190"/>
      <c r="G164" s="192"/>
      <c r="H164" s="192">
        <f>SUM(H160:H163)</f>
        <v>928731.28880000021</v>
      </c>
      <c r="I164" s="188"/>
      <c r="J164" s="187"/>
      <c r="K164" s="170"/>
      <c r="L164" s="199" t="s">
        <v>211</v>
      </c>
      <c r="M164" s="190"/>
      <c r="N164" s="190"/>
      <c r="O164" s="190"/>
      <c r="P164" s="190"/>
      <c r="Q164" s="192"/>
      <c r="R164" s="192">
        <f>SUM(R160:R163)</f>
        <v>835284.27720000013</v>
      </c>
      <c r="S164" s="188"/>
    </row>
    <row r="165" spans="1:19" ht="15.75" thickBot="1">
      <c r="A165" s="170"/>
      <c r="B165" s="200" t="s">
        <v>212</v>
      </c>
      <c r="C165" s="200"/>
      <c r="D165" s="200"/>
      <c r="E165" s="200"/>
      <c r="F165" s="200"/>
      <c r="G165" s="201"/>
      <c r="H165" s="201">
        <f>SUM(H157-H164)</f>
        <v>6502185.9199999999</v>
      </c>
      <c r="I165" s="188"/>
      <c r="J165" s="187"/>
      <c r="K165" s="170"/>
      <c r="L165" s="200" t="s">
        <v>212</v>
      </c>
      <c r="M165" s="200"/>
      <c r="N165" s="200"/>
      <c r="O165" s="200"/>
      <c r="P165" s="200"/>
      <c r="Q165" s="201"/>
      <c r="R165" s="201">
        <f>SUM(R157-R164)</f>
        <v>5934366.4799999995</v>
      </c>
      <c r="S165" s="188"/>
    </row>
    <row r="166" spans="1:19" ht="15.75" thickTop="1">
      <c r="A166" s="170"/>
      <c r="B166" s="202" t="s">
        <v>213</v>
      </c>
      <c r="C166" s="186"/>
      <c r="D166" s="186"/>
      <c r="E166" s="186"/>
      <c r="F166" s="186"/>
      <c r="G166" s="296" t="s">
        <v>214</v>
      </c>
      <c r="H166" s="296"/>
      <c r="I166" s="188"/>
      <c r="J166" s="187"/>
      <c r="K166" s="170"/>
      <c r="L166" s="202" t="s">
        <v>213</v>
      </c>
      <c r="M166" s="186"/>
      <c r="N166" s="186"/>
      <c r="O166" s="186"/>
      <c r="P166" s="186"/>
      <c r="Q166" s="296" t="s">
        <v>214</v>
      </c>
      <c r="R166" s="296"/>
      <c r="S166" s="188"/>
    </row>
    <row r="167" spans="1:19">
      <c r="A167" s="170"/>
      <c r="B167" s="186"/>
      <c r="C167" s="186"/>
      <c r="D167" s="186"/>
      <c r="E167" s="186"/>
      <c r="F167" s="186"/>
      <c r="G167" s="187"/>
      <c r="H167" s="187"/>
      <c r="I167" s="188"/>
      <c r="J167" s="187"/>
      <c r="K167" s="170"/>
      <c r="L167" s="186"/>
      <c r="M167" s="186"/>
      <c r="N167" s="186"/>
      <c r="O167" s="186"/>
      <c r="P167" s="186"/>
      <c r="Q167" s="187"/>
      <c r="R167" s="187"/>
      <c r="S167" s="188"/>
    </row>
    <row r="168" spans="1:19">
      <c r="A168" s="170"/>
      <c r="B168" s="186"/>
      <c r="C168" s="186"/>
      <c r="D168" s="186"/>
      <c r="E168" s="186"/>
      <c r="F168" s="186"/>
      <c r="G168" s="187"/>
      <c r="H168" s="187"/>
      <c r="I168" s="188"/>
      <c r="J168" s="187"/>
      <c r="K168" s="170"/>
      <c r="L168" s="186"/>
      <c r="M168" s="186"/>
      <c r="N168" s="186"/>
      <c r="O168" s="186"/>
      <c r="P168" s="186"/>
      <c r="Q168" s="187"/>
      <c r="R168" s="187"/>
      <c r="S168" s="188"/>
    </row>
    <row r="169" spans="1:19">
      <c r="A169" s="170"/>
      <c r="B169" s="203" t="s">
        <v>215</v>
      </c>
      <c r="C169" s="186"/>
      <c r="D169" s="186"/>
      <c r="E169" s="186"/>
      <c r="F169" s="186"/>
      <c r="G169" s="297" t="s">
        <v>216</v>
      </c>
      <c r="H169" s="297"/>
      <c r="I169" s="188"/>
      <c r="J169" s="187"/>
      <c r="K169" s="170"/>
      <c r="L169" s="203" t="s">
        <v>215</v>
      </c>
      <c r="M169" s="186"/>
      <c r="N169" s="186"/>
      <c r="O169" s="186"/>
      <c r="P169" s="186"/>
      <c r="Q169" s="297" t="s">
        <v>216</v>
      </c>
      <c r="R169" s="297"/>
      <c r="S169" s="188"/>
    </row>
    <row r="170" spans="1:19">
      <c r="A170" s="204"/>
      <c r="B170" s="205"/>
      <c r="C170" s="206"/>
      <c r="D170" s="206"/>
      <c r="E170" s="206"/>
      <c r="F170" s="206"/>
      <c r="G170" s="207"/>
      <c r="H170" s="205"/>
      <c r="I170" s="208"/>
      <c r="J170" s="187"/>
      <c r="K170" s="204"/>
      <c r="L170" s="205"/>
      <c r="M170" s="206"/>
      <c r="N170" s="206"/>
      <c r="O170" s="206"/>
      <c r="P170" s="206"/>
      <c r="Q170" s="207"/>
      <c r="R170" s="205"/>
      <c r="S170" s="208"/>
    </row>
    <row r="171" spans="1:19">
      <c r="A171" s="169"/>
      <c r="B171" s="186"/>
      <c r="C171" s="186"/>
      <c r="D171" s="186"/>
      <c r="E171" s="186"/>
      <c r="F171" s="186"/>
      <c r="G171" s="187"/>
      <c r="H171" s="186"/>
      <c r="I171" s="187"/>
      <c r="J171" s="187"/>
      <c r="K171" s="169"/>
      <c r="L171" s="186"/>
      <c r="M171" s="186"/>
      <c r="N171" s="186"/>
      <c r="O171" s="186"/>
      <c r="P171" s="186"/>
      <c r="Q171" s="187"/>
      <c r="R171" s="187"/>
      <c r="S171" s="187"/>
    </row>
    <row r="172" spans="1:19">
      <c r="A172" s="166"/>
      <c r="B172" s="167"/>
      <c r="C172" s="167"/>
      <c r="D172" s="167"/>
      <c r="E172" s="167"/>
      <c r="F172" s="167"/>
      <c r="G172" s="167"/>
      <c r="H172" s="167"/>
      <c r="I172" s="168"/>
      <c r="J172" s="169"/>
      <c r="K172" s="166"/>
      <c r="L172" s="167"/>
      <c r="M172" s="167"/>
      <c r="N172" s="167"/>
      <c r="O172" s="167"/>
      <c r="P172" s="167"/>
      <c r="Q172" s="167"/>
      <c r="R172" s="167"/>
      <c r="S172" s="168"/>
    </row>
    <row r="173" spans="1:19">
      <c r="A173" s="170"/>
      <c r="B173" s="169"/>
      <c r="C173" s="169"/>
      <c r="D173" s="169"/>
      <c r="E173" s="169"/>
      <c r="F173" s="169"/>
      <c r="G173" s="169"/>
      <c r="H173" s="169"/>
      <c r="I173" s="171"/>
      <c r="J173" s="169"/>
      <c r="K173" s="170"/>
      <c r="L173" s="169"/>
      <c r="M173" s="169"/>
      <c r="N173" s="169"/>
      <c r="O173" s="169"/>
      <c r="P173" s="169"/>
      <c r="Q173" s="169"/>
      <c r="R173" s="169"/>
      <c r="S173" s="171"/>
    </row>
    <row r="174" spans="1:19">
      <c r="A174" s="170"/>
      <c r="B174" s="169"/>
      <c r="C174" s="169"/>
      <c r="D174" s="169"/>
      <c r="E174" s="169"/>
      <c r="F174" s="169"/>
      <c r="G174" s="169"/>
      <c r="H174" s="169"/>
      <c r="I174" s="171"/>
      <c r="J174" s="169"/>
      <c r="K174" s="170"/>
      <c r="L174" s="169"/>
      <c r="M174" s="169"/>
      <c r="N174" s="169"/>
      <c r="O174" s="169"/>
      <c r="P174" s="169"/>
      <c r="Q174" s="169"/>
      <c r="R174" s="169"/>
      <c r="S174" s="171"/>
    </row>
    <row r="175" spans="1:19">
      <c r="A175" s="170"/>
      <c r="B175" s="169"/>
      <c r="C175" s="169"/>
      <c r="D175" s="169"/>
      <c r="E175" s="169"/>
      <c r="F175" s="169"/>
      <c r="G175" s="169"/>
      <c r="H175" s="169"/>
      <c r="I175" s="171"/>
      <c r="J175" s="169"/>
      <c r="K175" s="170"/>
      <c r="L175" s="169"/>
      <c r="M175" s="169"/>
      <c r="N175" s="169"/>
      <c r="O175" s="169"/>
      <c r="P175" s="169"/>
      <c r="Q175" s="169"/>
      <c r="R175" s="169"/>
      <c r="S175" s="171"/>
    </row>
    <row r="176" spans="1:19">
      <c r="A176" s="170"/>
      <c r="B176" s="294" t="s">
        <v>196</v>
      </c>
      <c r="C176" s="294"/>
      <c r="D176" s="294"/>
      <c r="E176" s="294"/>
      <c r="F176" s="294"/>
      <c r="G176" s="294"/>
      <c r="H176" s="294"/>
      <c r="I176" s="295"/>
      <c r="J176" s="169"/>
      <c r="K176" s="170"/>
      <c r="L176" s="294" t="s">
        <v>196</v>
      </c>
      <c r="M176" s="294"/>
      <c r="N176" s="294"/>
      <c r="O176" s="294"/>
      <c r="P176" s="294"/>
      <c r="Q176" s="294"/>
      <c r="R176" s="294"/>
      <c r="S176" s="295"/>
    </row>
    <row r="177" spans="1:19">
      <c r="A177" s="172"/>
      <c r="B177" s="173" t="s">
        <v>197</v>
      </c>
      <c r="C177" s="174" t="s">
        <v>198</v>
      </c>
      <c r="D177" s="175">
        <f>'[2]G-STAFF'!A18</f>
        <v>11</v>
      </c>
      <c r="E177" s="173"/>
      <c r="F177" s="173"/>
      <c r="G177" s="173"/>
      <c r="H177" s="173"/>
      <c r="I177" s="176"/>
      <c r="J177" s="173"/>
      <c r="K177" s="172"/>
      <c r="L177" s="173" t="s">
        <v>197</v>
      </c>
      <c r="M177" s="174" t="s">
        <v>198</v>
      </c>
      <c r="N177" s="175">
        <f>'[2]G-STAFF'!A46</f>
        <v>12</v>
      </c>
      <c r="O177" s="175"/>
      <c r="P177" s="173"/>
      <c r="Q177" s="173"/>
      <c r="R177" s="173"/>
      <c r="S177" s="176"/>
    </row>
    <row r="178" spans="1:19">
      <c r="A178" s="172"/>
      <c r="B178" s="173" t="s">
        <v>199</v>
      </c>
      <c r="C178" s="174" t="s">
        <v>198</v>
      </c>
      <c r="D178" s="177" t="str">
        <f>'[2]G-STAFF'!A3</f>
        <v>01 JANUARI  S/D  31 JANUARI  2025</v>
      </c>
      <c r="E178" s="173"/>
      <c r="F178" s="173"/>
      <c r="G178" s="173"/>
      <c r="H178" s="173"/>
      <c r="I178" s="176"/>
      <c r="J178" s="173"/>
      <c r="K178" s="172"/>
      <c r="L178" s="173" t="s">
        <v>199</v>
      </c>
      <c r="M178" s="174" t="s">
        <v>198</v>
      </c>
      <c r="N178" s="177" t="str">
        <f>'[2]G-STAFF'!A3</f>
        <v>01 JANUARI  S/D  31 JANUARI  2025</v>
      </c>
      <c r="O178" s="179"/>
      <c r="P178" s="173"/>
      <c r="Q178" s="173"/>
      <c r="R178" s="173"/>
      <c r="S178" s="176"/>
    </row>
    <row r="179" spans="1:19">
      <c r="A179" s="172"/>
      <c r="B179" s="173" t="s">
        <v>200</v>
      </c>
      <c r="C179" s="174" t="s">
        <v>198</v>
      </c>
      <c r="D179" s="180" t="str">
        <f>'[2]G-STAFF'!B18</f>
        <v>MANSUR</v>
      </c>
      <c r="E179" s="173"/>
      <c r="F179" s="173"/>
      <c r="G179" s="173"/>
      <c r="H179" s="173"/>
      <c r="I179" s="176"/>
      <c r="J179" s="173"/>
      <c r="K179" s="172"/>
      <c r="L179" s="173" t="s">
        <v>200</v>
      </c>
      <c r="M179" s="174" t="s">
        <v>198</v>
      </c>
      <c r="N179" s="181" t="str">
        <f>'[2]G-STAFF'!B19</f>
        <v>SUMIYATI</v>
      </c>
      <c r="O179" s="173"/>
      <c r="P179" s="173"/>
      <c r="Q179" s="173"/>
      <c r="R179" s="173"/>
      <c r="S179" s="176"/>
    </row>
    <row r="180" spans="1:19" ht="15.75" thickBot="1">
      <c r="A180" s="172"/>
      <c r="B180" s="173" t="s">
        <v>201</v>
      </c>
      <c r="C180" s="174" t="s">
        <v>198</v>
      </c>
      <c r="D180" s="177" t="str">
        <f>'[2]G-STAFF'!H18</f>
        <v>LEADER DELIVERY 2</v>
      </c>
      <c r="E180" s="173"/>
      <c r="F180" s="173"/>
      <c r="G180" s="173"/>
      <c r="H180" s="173"/>
      <c r="I180" s="176"/>
      <c r="J180" s="173"/>
      <c r="K180" s="172"/>
      <c r="L180" s="173" t="s">
        <v>201</v>
      </c>
      <c r="M180" s="174" t="s">
        <v>198</v>
      </c>
      <c r="N180" s="178" t="str">
        <f>'[2]G-STAFF'!H19</f>
        <v>PURCHASING</v>
      </c>
      <c r="O180" s="179"/>
      <c r="P180" s="173"/>
      <c r="Q180" s="173"/>
      <c r="R180" s="173"/>
      <c r="S180" s="176"/>
    </row>
    <row r="181" spans="1:19" ht="15.75" thickTop="1">
      <c r="A181" s="170"/>
      <c r="B181" s="182"/>
      <c r="C181" s="182"/>
      <c r="D181" s="182"/>
      <c r="E181" s="182"/>
      <c r="F181" s="182"/>
      <c r="G181" s="182"/>
      <c r="H181" s="182"/>
      <c r="I181" s="183"/>
      <c r="J181" s="169"/>
      <c r="K181" s="170"/>
      <c r="L181" s="182"/>
      <c r="M181" s="182"/>
      <c r="N181" s="182"/>
      <c r="O181" s="182"/>
      <c r="P181" s="182"/>
      <c r="Q181" s="182"/>
      <c r="R181" s="182"/>
      <c r="S181" s="183"/>
    </row>
    <row r="182" spans="1:19">
      <c r="A182" s="170"/>
      <c r="B182" s="184" t="s">
        <v>202</v>
      </c>
      <c r="C182" s="185"/>
      <c r="D182" s="185"/>
      <c r="E182" s="185"/>
      <c r="F182" s="185"/>
      <c r="G182" s="185"/>
      <c r="H182" s="185"/>
      <c r="I182" s="183"/>
      <c r="J182" s="169"/>
      <c r="K182" s="170"/>
      <c r="L182" s="184" t="s">
        <v>202</v>
      </c>
      <c r="M182" s="184"/>
      <c r="N182" s="185"/>
      <c r="O182" s="185"/>
      <c r="P182" s="185"/>
      <c r="Q182" s="185"/>
      <c r="R182" s="185"/>
      <c r="S182" s="183"/>
    </row>
    <row r="183" spans="1:19">
      <c r="A183" s="170"/>
      <c r="B183" s="186" t="s">
        <v>111</v>
      </c>
      <c r="C183" s="186"/>
      <c r="D183" s="186"/>
      <c r="E183" s="186"/>
      <c r="F183" s="186"/>
      <c r="G183" s="187"/>
      <c r="H183" s="187">
        <f>+STAFF!G19</f>
        <v>6244338</v>
      </c>
      <c r="I183" s="188"/>
      <c r="J183" s="187"/>
      <c r="K183" s="170"/>
      <c r="L183" s="186" t="s">
        <v>111</v>
      </c>
      <c r="M183" s="186"/>
      <c r="N183" s="186"/>
      <c r="O183" s="186"/>
      <c r="P183" s="186"/>
      <c r="Q183" s="187"/>
      <c r="R183" s="187">
        <f>+STAFF!G20</f>
        <v>6340220</v>
      </c>
      <c r="S183" s="188"/>
    </row>
    <row r="184" spans="1:19">
      <c r="A184" s="170"/>
      <c r="B184" s="186" t="s">
        <v>203</v>
      </c>
      <c r="C184" s="186"/>
      <c r="D184" s="186"/>
      <c r="E184" s="186"/>
      <c r="F184" s="186"/>
      <c r="G184" s="187"/>
      <c r="H184" s="187">
        <f>+STAFF!I18</f>
        <v>200000</v>
      </c>
      <c r="I184" s="188"/>
      <c r="J184" s="187"/>
      <c r="K184" s="170"/>
      <c r="L184" s="186" t="s">
        <v>203</v>
      </c>
      <c r="M184" s="186"/>
      <c r="N184" s="186"/>
      <c r="O184" s="186"/>
      <c r="P184" s="186"/>
      <c r="Q184" s="187"/>
      <c r="R184" s="187">
        <f>+STAFF!I20</f>
        <v>200000</v>
      </c>
      <c r="S184" s="188"/>
    </row>
    <row r="185" spans="1:19">
      <c r="A185" s="170"/>
      <c r="B185" s="186" t="s">
        <v>224</v>
      </c>
      <c r="C185" s="186"/>
      <c r="D185" s="186"/>
      <c r="E185" s="186"/>
      <c r="F185" s="186"/>
      <c r="G185" s="187"/>
      <c r="H185" s="187">
        <f>+STAFF!S19</f>
        <v>581854.66220000002</v>
      </c>
      <c r="I185" s="188"/>
      <c r="J185" s="209"/>
      <c r="K185" s="170"/>
      <c r="L185" s="186" t="s">
        <v>224</v>
      </c>
      <c r="M185" s="186"/>
      <c r="N185" s="186"/>
      <c r="O185" s="186"/>
      <c r="P185" s="186"/>
      <c r="Q185" s="187"/>
      <c r="R185" s="187">
        <f>+STAFF!S20</f>
        <v>590666.21799999999</v>
      </c>
      <c r="S185" s="188"/>
    </row>
    <row r="186" spans="1:19">
      <c r="A186" s="170"/>
      <c r="B186" s="186" t="s">
        <v>195</v>
      </c>
      <c r="C186" s="186"/>
      <c r="D186" s="187">
        <v>0</v>
      </c>
      <c r="E186" s="186" t="s">
        <v>204</v>
      </c>
      <c r="F186" s="186" t="s">
        <v>205</v>
      </c>
      <c r="G186" s="187">
        <v>0</v>
      </c>
      <c r="H186" s="187">
        <f>G186*D186</f>
        <v>0</v>
      </c>
      <c r="I186" s="188"/>
      <c r="J186" s="187"/>
      <c r="K186" s="170"/>
      <c r="L186" s="186" t="s">
        <v>195</v>
      </c>
      <c r="M186" s="186"/>
      <c r="N186" s="187">
        <v>0</v>
      </c>
      <c r="O186" s="186" t="s">
        <v>204</v>
      </c>
      <c r="P186" s="186" t="s">
        <v>205</v>
      </c>
      <c r="Q186" s="187">
        <v>0</v>
      </c>
      <c r="R186" s="187">
        <f>Q186*N186</f>
        <v>0</v>
      </c>
      <c r="S186" s="188"/>
    </row>
    <row r="187" spans="1:19">
      <c r="A187" s="170"/>
      <c r="B187" s="186" t="s">
        <v>206</v>
      </c>
      <c r="C187" s="186"/>
      <c r="D187" s="189">
        <f>'[2]G-STAFF'!CH18</f>
        <v>0</v>
      </c>
      <c r="E187" s="186" t="s">
        <v>207</v>
      </c>
      <c r="F187" s="186" t="s">
        <v>205</v>
      </c>
      <c r="G187" s="187">
        <f>'[2]G-STAFF'!M18</f>
        <v>0</v>
      </c>
      <c r="H187" s="187">
        <f>G187*D187</f>
        <v>0</v>
      </c>
      <c r="I187" s="188"/>
      <c r="J187" s="209"/>
      <c r="K187" s="170"/>
      <c r="L187" s="186" t="s">
        <v>206</v>
      </c>
      <c r="M187" s="186"/>
      <c r="N187" s="189">
        <v>0</v>
      </c>
      <c r="O187" s="186" t="s">
        <v>207</v>
      </c>
      <c r="P187" s="186" t="s">
        <v>205</v>
      </c>
      <c r="Q187" s="187">
        <v>0</v>
      </c>
      <c r="R187" s="187">
        <f>Q187*N187</f>
        <v>0</v>
      </c>
      <c r="S187" s="188"/>
    </row>
    <row r="188" spans="1:19" ht="15.75" thickBot="1">
      <c r="A188" s="170"/>
      <c r="B188" s="190" t="s">
        <v>208</v>
      </c>
      <c r="C188" s="190"/>
      <c r="D188" s="191">
        <f>'[2]G-STAFF'!CG30</f>
        <v>0</v>
      </c>
      <c r="E188" s="190" t="s">
        <v>207</v>
      </c>
      <c r="F188" s="190" t="s">
        <v>205</v>
      </c>
      <c r="G188" s="192">
        <f>G187</f>
        <v>0</v>
      </c>
      <c r="H188" s="192">
        <f>G188*D188</f>
        <v>0</v>
      </c>
      <c r="I188" s="188"/>
      <c r="J188" s="187"/>
      <c r="K188" s="170"/>
      <c r="L188" s="190" t="s">
        <v>208</v>
      </c>
      <c r="M188" s="190"/>
      <c r="N188" s="191">
        <v>0</v>
      </c>
      <c r="O188" s="190" t="s">
        <v>207</v>
      </c>
      <c r="P188" s="190" t="s">
        <v>205</v>
      </c>
      <c r="Q188" s="192">
        <f>Q187</f>
        <v>0</v>
      </c>
      <c r="R188" s="192">
        <f>Q188*N188</f>
        <v>0</v>
      </c>
      <c r="S188" s="188"/>
    </row>
    <row r="189" spans="1:19" ht="15.75" thickBot="1">
      <c r="A189" s="170"/>
      <c r="B189" s="190" t="s">
        <v>110</v>
      </c>
      <c r="C189" s="190"/>
      <c r="D189" s="191">
        <f>'[2]G-STAFF'!CI30</f>
        <v>0</v>
      </c>
      <c r="E189" s="190"/>
      <c r="F189" s="190"/>
      <c r="G189" s="192"/>
      <c r="H189" s="192">
        <f>SUM(H183:H188)</f>
        <v>7026192.6622000001</v>
      </c>
      <c r="I189" s="188"/>
      <c r="J189" s="187"/>
      <c r="K189" s="170"/>
      <c r="L189" s="190" t="s">
        <v>110</v>
      </c>
      <c r="M189" s="190"/>
      <c r="N189" s="191">
        <f>SUM(N187:N188)</f>
        <v>0</v>
      </c>
      <c r="O189" s="190"/>
      <c r="P189" s="190"/>
      <c r="Q189" s="192"/>
      <c r="R189" s="192">
        <f>SUM(R183:R188)</f>
        <v>7130886.2180000003</v>
      </c>
      <c r="S189" s="188"/>
    </row>
    <row r="190" spans="1:19">
      <c r="A190" s="170"/>
      <c r="B190" s="186"/>
      <c r="C190" s="186"/>
      <c r="D190" s="189"/>
      <c r="E190" s="186"/>
      <c r="F190" s="186"/>
      <c r="G190" s="187"/>
      <c r="H190" s="187"/>
      <c r="I190" s="188"/>
      <c r="J190" s="187"/>
      <c r="K190" s="170"/>
      <c r="L190" s="186"/>
      <c r="M190" s="186"/>
      <c r="N190" s="189"/>
      <c r="O190" s="186"/>
      <c r="P190" s="186"/>
      <c r="Q190" s="187"/>
      <c r="R190" s="187"/>
      <c r="S190" s="188"/>
    </row>
    <row r="191" spans="1:19">
      <c r="A191" s="170"/>
      <c r="B191" s="196" t="s">
        <v>113</v>
      </c>
      <c r="C191" s="186"/>
      <c r="D191" s="186"/>
      <c r="E191" s="186"/>
      <c r="F191" s="186"/>
      <c r="G191" s="187"/>
      <c r="H191" s="187"/>
      <c r="I191" s="188"/>
      <c r="J191" s="209"/>
      <c r="K191" s="170"/>
      <c r="L191" s="196" t="s">
        <v>113</v>
      </c>
      <c r="M191" s="186"/>
      <c r="N191" s="186"/>
      <c r="O191" s="186"/>
      <c r="P191" s="186"/>
      <c r="Q191" s="198"/>
      <c r="R191" s="187"/>
      <c r="S191" s="188"/>
    </row>
    <row r="192" spans="1:19">
      <c r="A192" s="170"/>
      <c r="B192" s="186" t="s">
        <v>209</v>
      </c>
      <c r="C192" s="186"/>
      <c r="D192" s="197"/>
      <c r="E192" s="186"/>
      <c r="F192" s="186"/>
      <c r="G192" s="198" t="str">
        <f>'[2]G-STAFF'!C18</f>
        <v>K3</v>
      </c>
      <c r="H192" s="187">
        <f>+STAFF!Z19</f>
        <v>16941</v>
      </c>
      <c r="I192" s="188"/>
      <c r="J192" s="209"/>
      <c r="K192" s="170"/>
      <c r="L192" s="186" t="s">
        <v>209</v>
      </c>
      <c r="M192" s="186"/>
      <c r="N192" s="198"/>
      <c r="O192" s="186"/>
      <c r="P192" s="186"/>
      <c r="Q192" s="198" t="str">
        <f>'[2]G-STAFF'!C19</f>
        <v>TK</v>
      </c>
      <c r="R192" s="187">
        <f>+STAFF!Z20</f>
        <v>85966</v>
      </c>
      <c r="S192" s="188"/>
    </row>
    <row r="193" spans="1:19">
      <c r="A193" s="170"/>
      <c r="B193" s="186" t="s">
        <v>225</v>
      </c>
      <c r="C193" s="186"/>
      <c r="D193" s="197"/>
      <c r="E193" s="186"/>
      <c r="F193" s="186"/>
      <c r="G193" s="198"/>
      <c r="H193" s="187">
        <f>+STAFF!W19+STAFF!X19</f>
        <v>64443.380000000005</v>
      </c>
      <c r="I193" s="188"/>
      <c r="J193" s="209"/>
      <c r="K193" s="170"/>
      <c r="L193" s="186" t="s">
        <v>225</v>
      </c>
      <c r="M193" s="186"/>
      <c r="N193" s="198"/>
      <c r="O193" s="186"/>
      <c r="P193" s="186"/>
      <c r="Q193" s="198"/>
      <c r="R193" s="187">
        <f>+STAFF!W20</f>
        <v>65402.200000000004</v>
      </c>
      <c r="S193" s="188"/>
    </row>
    <row r="194" spans="1:19">
      <c r="A194" s="170"/>
      <c r="B194" s="186" t="s">
        <v>226</v>
      </c>
      <c r="C194" s="186"/>
      <c r="D194" s="197"/>
      <c r="E194" s="186"/>
      <c r="F194" s="186"/>
      <c r="G194" s="198"/>
      <c r="H194" s="187">
        <f>+STAFF!U19+STAFF!V19</f>
        <v>187330.14</v>
      </c>
      <c r="I194" s="188"/>
      <c r="J194" s="209"/>
      <c r="K194" s="170"/>
      <c r="L194" s="186" t="s">
        <v>226</v>
      </c>
      <c r="M194" s="186"/>
      <c r="N194" s="198"/>
      <c r="O194" s="186"/>
      <c r="P194" s="186"/>
      <c r="Q194" s="198"/>
      <c r="R194" s="187">
        <f>+STAFF!U20+STAFF!V20</f>
        <v>190206.6</v>
      </c>
      <c r="S194" s="188"/>
    </row>
    <row r="195" spans="1:19">
      <c r="A195" s="170"/>
      <c r="B195" s="186" t="s">
        <v>103</v>
      </c>
      <c r="C195" s="186"/>
      <c r="D195" s="186"/>
      <c r="E195" s="186"/>
      <c r="F195" s="186"/>
      <c r="G195" s="187"/>
      <c r="H195" s="187">
        <f>+H185</f>
        <v>581854.66220000002</v>
      </c>
      <c r="I195" s="188"/>
      <c r="J195" s="209"/>
      <c r="K195" s="170"/>
      <c r="L195" s="186" t="s">
        <v>103</v>
      </c>
      <c r="M195" s="186"/>
      <c r="N195" s="186"/>
      <c r="O195" s="186"/>
      <c r="P195" s="186"/>
      <c r="Q195" s="187"/>
      <c r="R195" s="187">
        <f>+R185</f>
        <v>590666.21799999999</v>
      </c>
      <c r="S195" s="188"/>
    </row>
    <row r="196" spans="1:19" ht="15.75" thickBot="1">
      <c r="A196" s="170"/>
      <c r="B196" s="199" t="s">
        <v>211</v>
      </c>
      <c r="C196" s="190"/>
      <c r="D196" s="190"/>
      <c r="E196" s="190"/>
      <c r="F196" s="190"/>
      <c r="G196" s="192"/>
      <c r="H196" s="192">
        <f>SUM(H192:H195)</f>
        <v>850569.18220000004</v>
      </c>
      <c r="I196" s="188"/>
      <c r="J196" s="187"/>
      <c r="K196" s="170"/>
      <c r="L196" s="199" t="s">
        <v>211</v>
      </c>
      <c r="M196" s="190"/>
      <c r="N196" s="190"/>
      <c r="O196" s="190"/>
      <c r="P196" s="190"/>
      <c r="Q196" s="192"/>
      <c r="R196" s="192">
        <f>SUM(R192:R195)</f>
        <v>932241.01800000004</v>
      </c>
      <c r="S196" s="188"/>
    </row>
    <row r="197" spans="1:19" ht="15.75" thickBot="1">
      <c r="A197" s="170"/>
      <c r="B197" s="200" t="s">
        <v>212</v>
      </c>
      <c r="C197" s="200"/>
      <c r="D197" s="200"/>
      <c r="E197" s="200"/>
      <c r="F197" s="200"/>
      <c r="G197" s="201"/>
      <c r="H197" s="201">
        <f>SUM(H189-H196)</f>
        <v>6175623.4800000004</v>
      </c>
      <c r="I197" s="188"/>
      <c r="J197" s="187"/>
      <c r="K197" s="170"/>
      <c r="L197" s="200" t="s">
        <v>212</v>
      </c>
      <c r="M197" s="200"/>
      <c r="N197" s="200"/>
      <c r="O197" s="200"/>
      <c r="P197" s="200"/>
      <c r="Q197" s="201"/>
      <c r="R197" s="201">
        <f>SUM(R189-R196)</f>
        <v>6198645.2000000002</v>
      </c>
      <c r="S197" s="188"/>
    </row>
    <row r="198" spans="1:19" ht="15.75" thickTop="1">
      <c r="A198" s="170"/>
      <c r="B198" s="202" t="s">
        <v>213</v>
      </c>
      <c r="C198" s="186"/>
      <c r="D198" s="186"/>
      <c r="E198" s="186"/>
      <c r="F198" s="186"/>
      <c r="G198" s="296" t="s">
        <v>214</v>
      </c>
      <c r="H198" s="296"/>
      <c r="I198" s="188"/>
      <c r="J198" s="187"/>
      <c r="K198" s="170"/>
      <c r="L198" s="202" t="s">
        <v>213</v>
      </c>
      <c r="M198" s="186"/>
      <c r="N198" s="186"/>
      <c r="O198" s="186"/>
      <c r="P198" s="186"/>
      <c r="Q198" s="296" t="s">
        <v>214</v>
      </c>
      <c r="R198" s="296"/>
      <c r="S198" s="188"/>
    </row>
    <row r="199" spans="1:19">
      <c r="A199" s="170"/>
      <c r="B199" s="186"/>
      <c r="C199" s="186"/>
      <c r="D199" s="186"/>
      <c r="E199" s="186"/>
      <c r="F199" s="186"/>
      <c r="G199" s="187"/>
      <c r="H199" s="187"/>
      <c r="I199" s="188"/>
      <c r="J199" s="187"/>
      <c r="K199" s="170"/>
      <c r="L199" s="186"/>
      <c r="M199" s="186"/>
      <c r="N199" s="186"/>
      <c r="O199" s="186"/>
      <c r="P199" s="186"/>
      <c r="Q199" s="187"/>
      <c r="R199" s="187"/>
      <c r="S199" s="188"/>
    </row>
    <row r="200" spans="1:19">
      <c r="A200" s="170"/>
      <c r="B200" s="186"/>
      <c r="C200" s="186"/>
      <c r="D200" s="186"/>
      <c r="E200" s="186"/>
      <c r="F200" s="186"/>
      <c r="G200" s="187"/>
      <c r="H200" s="187"/>
      <c r="I200" s="188"/>
      <c r="J200" s="187"/>
      <c r="K200" s="170"/>
      <c r="L200" s="186"/>
      <c r="M200" s="186"/>
      <c r="N200" s="186"/>
      <c r="O200" s="186"/>
      <c r="P200" s="186"/>
      <c r="Q200" s="187"/>
      <c r="R200" s="187"/>
      <c r="S200" s="188"/>
    </row>
    <row r="201" spans="1:19">
      <c r="A201" s="170"/>
      <c r="B201" s="203" t="s">
        <v>215</v>
      </c>
      <c r="C201" s="186"/>
      <c r="D201" s="186"/>
      <c r="E201" s="186"/>
      <c r="F201" s="186"/>
      <c r="G201" s="297" t="s">
        <v>216</v>
      </c>
      <c r="H201" s="297"/>
      <c r="I201" s="188"/>
      <c r="J201" s="187"/>
      <c r="K201" s="170"/>
      <c r="L201" s="203" t="s">
        <v>215</v>
      </c>
      <c r="M201" s="186"/>
      <c r="N201" s="186"/>
      <c r="O201" s="186"/>
      <c r="P201" s="186"/>
      <c r="Q201" s="297" t="s">
        <v>216</v>
      </c>
      <c r="R201" s="297"/>
      <c r="S201" s="188"/>
    </row>
    <row r="202" spans="1:19">
      <c r="A202" s="204"/>
      <c r="B202" s="205"/>
      <c r="C202" s="206"/>
      <c r="D202" s="206"/>
      <c r="E202" s="206"/>
      <c r="F202" s="206"/>
      <c r="G202" s="207"/>
      <c r="H202" s="205"/>
      <c r="I202" s="208"/>
      <c r="J202" s="187"/>
      <c r="K202" s="204"/>
      <c r="L202" s="205"/>
      <c r="M202" s="206"/>
      <c r="N202" s="206"/>
      <c r="O202" s="206"/>
      <c r="P202" s="206"/>
      <c r="Q202" s="207"/>
      <c r="R202" s="205"/>
      <c r="S202" s="208"/>
    </row>
    <row r="208" spans="1:19">
      <c r="A208" s="166"/>
      <c r="B208" s="167"/>
      <c r="C208" s="167"/>
      <c r="D208" s="167"/>
      <c r="E208" s="167"/>
      <c r="F208" s="167"/>
      <c r="G208" s="167"/>
      <c r="H208" s="167"/>
      <c r="I208" s="168"/>
      <c r="J208" s="169"/>
      <c r="K208" s="166"/>
      <c r="L208" s="167"/>
      <c r="M208" s="167"/>
      <c r="N208" s="167"/>
      <c r="O208" s="167"/>
      <c r="P208" s="167"/>
      <c r="Q208" s="167"/>
      <c r="R208" s="167"/>
      <c r="S208" s="168"/>
    </row>
    <row r="209" spans="1:19">
      <c r="A209" s="170"/>
      <c r="B209" s="169"/>
      <c r="C209" s="169"/>
      <c r="D209" s="169"/>
      <c r="E209" s="169"/>
      <c r="F209" s="169"/>
      <c r="G209" s="169"/>
      <c r="H209" s="169"/>
      <c r="I209" s="171"/>
      <c r="J209" s="169"/>
      <c r="K209" s="170"/>
      <c r="L209" s="169"/>
      <c r="M209" s="169"/>
      <c r="N209" s="169"/>
      <c r="O209" s="169"/>
      <c r="P209" s="169"/>
      <c r="Q209" s="169"/>
      <c r="R209" s="169"/>
      <c r="S209" s="171"/>
    </row>
    <row r="210" spans="1:19">
      <c r="A210" s="170"/>
      <c r="B210" s="169"/>
      <c r="C210" s="169"/>
      <c r="D210" s="169"/>
      <c r="E210" s="169"/>
      <c r="F210" s="169"/>
      <c r="G210" s="169"/>
      <c r="H210" s="169"/>
      <c r="I210" s="171"/>
      <c r="J210" s="169"/>
      <c r="K210" s="170"/>
      <c r="L210" s="169"/>
      <c r="M210" s="169"/>
      <c r="N210" s="169"/>
      <c r="O210" s="169"/>
      <c r="P210" s="169"/>
      <c r="Q210" s="169"/>
      <c r="R210" s="169"/>
      <c r="S210" s="171"/>
    </row>
    <row r="211" spans="1:19">
      <c r="A211" s="170"/>
      <c r="B211" s="169"/>
      <c r="C211" s="169"/>
      <c r="D211" s="169"/>
      <c r="E211" s="169"/>
      <c r="F211" s="169"/>
      <c r="G211" s="169"/>
      <c r="H211" s="169"/>
      <c r="I211" s="171"/>
      <c r="J211" s="169"/>
      <c r="K211" s="170"/>
      <c r="L211" s="169"/>
      <c r="M211" s="169"/>
      <c r="N211" s="169"/>
      <c r="O211" s="169"/>
      <c r="P211" s="169"/>
      <c r="Q211" s="169"/>
      <c r="R211" s="169"/>
      <c r="S211" s="171"/>
    </row>
    <row r="212" spans="1:19">
      <c r="A212" s="170"/>
      <c r="B212" s="294" t="s">
        <v>196</v>
      </c>
      <c r="C212" s="294"/>
      <c r="D212" s="294"/>
      <c r="E212" s="294"/>
      <c r="F212" s="294"/>
      <c r="G212" s="294"/>
      <c r="H212" s="294"/>
      <c r="I212" s="295"/>
      <c r="J212" s="169"/>
      <c r="K212" s="170"/>
      <c r="L212" s="294" t="s">
        <v>196</v>
      </c>
      <c r="M212" s="294"/>
      <c r="N212" s="294"/>
      <c r="O212" s="294"/>
      <c r="P212" s="294"/>
      <c r="Q212" s="294"/>
      <c r="R212" s="294"/>
      <c r="S212" s="295"/>
    </row>
    <row r="213" spans="1:19">
      <c r="A213" s="172"/>
      <c r="B213" s="173" t="s">
        <v>197</v>
      </c>
      <c r="C213" s="174" t="s">
        <v>198</v>
      </c>
      <c r="D213" s="175">
        <f>'[2]G-STAFF'!A20</f>
        <v>13</v>
      </c>
      <c r="E213" s="173"/>
      <c r="F213" s="173"/>
      <c r="G213" s="173"/>
      <c r="H213" s="173"/>
      <c r="I213" s="176"/>
      <c r="J213" s="173"/>
      <c r="K213" s="172"/>
      <c r="L213" s="173" t="s">
        <v>197</v>
      </c>
      <c r="M213" s="174" t="s">
        <v>198</v>
      </c>
      <c r="N213" s="175">
        <f>'[2]G-STAFF'!A21</f>
        <v>14</v>
      </c>
      <c r="O213" s="175"/>
      <c r="P213" s="173"/>
      <c r="Q213" s="173"/>
      <c r="R213" s="173"/>
      <c r="S213" s="176"/>
    </row>
    <row r="214" spans="1:19">
      <c r="A214" s="172"/>
      <c r="B214" s="173" t="s">
        <v>199</v>
      </c>
      <c r="C214" s="174" t="s">
        <v>198</v>
      </c>
      <c r="D214" s="177" t="str">
        <f>'[2]G-STAFF'!A3</f>
        <v>01 JANUARI  S/D  31 JANUARI  2025</v>
      </c>
      <c r="E214" s="173"/>
      <c r="F214" s="173"/>
      <c r="G214" s="173"/>
      <c r="H214" s="173"/>
      <c r="I214" s="176"/>
      <c r="J214" s="173"/>
      <c r="K214" s="172"/>
      <c r="L214" s="173" t="s">
        <v>199</v>
      </c>
      <c r="M214" s="174" t="s">
        <v>198</v>
      </c>
      <c r="N214" s="177" t="str">
        <f>'[2]G-STAFF'!A3</f>
        <v>01 JANUARI  S/D  31 JANUARI  2025</v>
      </c>
      <c r="O214" s="179"/>
      <c r="P214" s="173"/>
      <c r="Q214" s="173"/>
      <c r="R214" s="173"/>
      <c r="S214" s="176"/>
    </row>
    <row r="215" spans="1:19">
      <c r="A215" s="172"/>
      <c r="B215" s="173" t="s">
        <v>200</v>
      </c>
      <c r="C215" s="174" t="s">
        <v>198</v>
      </c>
      <c r="D215" s="177" t="str">
        <f>'[2]G-STAFF'!B20</f>
        <v>ENCEP IMAN</v>
      </c>
      <c r="E215" s="173"/>
      <c r="F215" s="173"/>
      <c r="G215" s="173"/>
      <c r="H215" s="173"/>
      <c r="I215" s="176"/>
      <c r="J215" s="173"/>
      <c r="K215" s="172"/>
      <c r="L215" s="173" t="s">
        <v>200</v>
      </c>
      <c r="M215" s="174" t="s">
        <v>198</v>
      </c>
      <c r="N215" s="178" t="str">
        <f>'[2]G-STAFF'!B21</f>
        <v>RINA AULIA KRESNA R</v>
      </c>
      <c r="O215" s="173"/>
      <c r="P215" s="173"/>
      <c r="Q215" s="173"/>
      <c r="R215" s="173"/>
      <c r="S215" s="176"/>
    </row>
    <row r="216" spans="1:19" ht="15.75" thickBot="1">
      <c r="A216" s="172"/>
      <c r="B216" s="173" t="s">
        <v>201</v>
      </c>
      <c r="C216" s="174" t="s">
        <v>198</v>
      </c>
      <c r="D216" s="177" t="str">
        <f>'[2]G-STAFF'!H20</f>
        <v>LEADER FINISHING</v>
      </c>
      <c r="E216" s="173"/>
      <c r="F216" s="173"/>
      <c r="G216" s="173"/>
      <c r="H216" s="173"/>
      <c r="I216" s="176"/>
      <c r="J216" s="173"/>
      <c r="K216" s="172"/>
      <c r="L216" s="173" t="s">
        <v>201</v>
      </c>
      <c r="M216" s="174" t="s">
        <v>198</v>
      </c>
      <c r="N216" s="178" t="str">
        <f>'[2]G-STAFF'!H21</f>
        <v>ACCOUNTING</v>
      </c>
      <c r="O216" s="179"/>
      <c r="P216" s="173"/>
      <c r="Q216" s="173"/>
      <c r="R216" s="173"/>
      <c r="S216" s="176"/>
    </row>
    <row r="217" spans="1:19" ht="15.75" thickTop="1">
      <c r="A217" s="170"/>
      <c r="B217" s="182"/>
      <c r="C217" s="182"/>
      <c r="D217" s="182"/>
      <c r="E217" s="182"/>
      <c r="F217" s="182"/>
      <c r="G217" s="182"/>
      <c r="H217" s="182"/>
      <c r="I217" s="183"/>
      <c r="J217" s="169"/>
      <c r="K217" s="170"/>
      <c r="L217" s="182"/>
      <c r="M217" s="182"/>
      <c r="N217" s="182"/>
      <c r="O217" s="182"/>
      <c r="P217" s="182"/>
      <c r="Q217" s="182"/>
      <c r="R217" s="182"/>
      <c r="S217" s="183"/>
    </row>
    <row r="218" spans="1:19">
      <c r="A218" s="170"/>
      <c r="B218" s="184" t="s">
        <v>202</v>
      </c>
      <c r="C218" s="185"/>
      <c r="D218" s="185"/>
      <c r="E218" s="185"/>
      <c r="F218" s="185"/>
      <c r="G218" s="185"/>
      <c r="H218" s="185"/>
      <c r="I218" s="183"/>
      <c r="J218" s="169"/>
      <c r="K218" s="170"/>
      <c r="L218" s="184" t="s">
        <v>202</v>
      </c>
      <c r="M218" s="184"/>
      <c r="N218" s="185"/>
      <c r="O218" s="185"/>
      <c r="P218" s="185"/>
      <c r="Q218" s="185"/>
      <c r="R218" s="185"/>
      <c r="S218" s="183"/>
    </row>
    <row r="219" spans="1:19">
      <c r="A219" s="170"/>
      <c r="B219" s="186" t="s">
        <v>111</v>
      </c>
      <c r="C219" s="186"/>
      <c r="D219" s="186"/>
      <c r="E219" s="186"/>
      <c r="F219" s="186"/>
      <c r="G219" s="187"/>
      <c r="H219" s="187">
        <f>+STAFF!G21</f>
        <v>6046413</v>
      </c>
      <c r="I219" s="188"/>
      <c r="J219" s="187"/>
      <c r="K219" s="170"/>
      <c r="L219" s="186" t="s">
        <v>111</v>
      </c>
      <c r="M219" s="186"/>
      <c r="N219" s="186"/>
      <c r="O219" s="186"/>
      <c r="P219" s="186"/>
      <c r="Q219" s="187"/>
      <c r="R219" s="187">
        <f>+STAFF!G22</f>
        <v>5353160</v>
      </c>
      <c r="S219" s="188"/>
    </row>
    <row r="220" spans="1:19">
      <c r="A220" s="170"/>
      <c r="B220" s="186" t="s">
        <v>203</v>
      </c>
      <c r="C220" s="186"/>
      <c r="D220" s="186"/>
      <c r="E220" s="186"/>
      <c r="F220" s="186"/>
      <c r="G220" s="187"/>
      <c r="H220" s="187">
        <f>+STAFF!I21</f>
        <v>300000</v>
      </c>
      <c r="I220" s="188"/>
      <c r="J220" s="187"/>
      <c r="K220" s="170"/>
      <c r="L220" s="186" t="s">
        <v>203</v>
      </c>
      <c r="M220" s="186"/>
      <c r="N220" s="186"/>
      <c r="O220" s="186"/>
      <c r="P220" s="186"/>
      <c r="Q220" s="187"/>
      <c r="R220" s="187">
        <f>+STAFF!I22</f>
        <v>200000</v>
      </c>
      <c r="S220" s="188"/>
    </row>
    <row r="221" spans="1:19">
      <c r="A221" s="170"/>
      <c r="B221" s="186" t="s">
        <v>224</v>
      </c>
      <c r="C221" s="186"/>
      <c r="D221" s="186"/>
      <c r="E221" s="186"/>
      <c r="F221" s="186"/>
      <c r="G221" s="187"/>
      <c r="H221" s="187">
        <f>+STAFF!S21</f>
        <v>567665.35470000003</v>
      </c>
      <c r="I221" s="188"/>
      <c r="J221" s="209"/>
      <c r="K221" s="170"/>
      <c r="L221" s="186" t="s">
        <v>224</v>
      </c>
      <c r="M221" s="186"/>
      <c r="N221" s="186"/>
      <c r="O221" s="186"/>
      <c r="P221" s="186"/>
      <c r="Q221" s="187"/>
      <c r="R221" s="187">
        <f>+STAFF!S22</f>
        <v>499955.40399999998</v>
      </c>
      <c r="S221" s="188"/>
    </row>
    <row r="222" spans="1:19">
      <c r="A222" s="170"/>
      <c r="B222" s="186" t="s">
        <v>195</v>
      </c>
      <c r="C222" s="186"/>
      <c r="D222" s="187">
        <v>0</v>
      </c>
      <c r="E222" s="186" t="s">
        <v>204</v>
      </c>
      <c r="F222" s="186" t="s">
        <v>205</v>
      </c>
      <c r="G222" s="187">
        <v>0</v>
      </c>
      <c r="H222" s="187">
        <f>G222*D222</f>
        <v>0</v>
      </c>
      <c r="I222" s="188"/>
      <c r="J222" s="187"/>
      <c r="K222" s="170"/>
      <c r="L222" s="186" t="s">
        <v>195</v>
      </c>
      <c r="M222" s="186"/>
      <c r="N222" s="187">
        <v>0</v>
      </c>
      <c r="O222" s="186" t="s">
        <v>204</v>
      </c>
      <c r="P222" s="186" t="s">
        <v>205</v>
      </c>
      <c r="Q222" s="187">
        <v>0</v>
      </c>
      <c r="R222" s="187">
        <f>Q222*N222</f>
        <v>0</v>
      </c>
      <c r="S222" s="188"/>
    </row>
    <row r="223" spans="1:19">
      <c r="A223" s="170"/>
      <c r="B223" s="186" t="s">
        <v>206</v>
      </c>
      <c r="C223" s="186"/>
      <c r="D223" s="189">
        <f>'[2]G-STAFF'!CH19</f>
        <v>0</v>
      </c>
      <c r="E223" s="186" t="s">
        <v>207</v>
      </c>
      <c r="F223" s="186" t="s">
        <v>205</v>
      </c>
      <c r="G223" s="187">
        <v>0</v>
      </c>
      <c r="H223" s="187">
        <f>G223*D223</f>
        <v>0</v>
      </c>
      <c r="I223" s="188"/>
      <c r="J223" s="209"/>
      <c r="K223" s="170"/>
      <c r="L223" s="186" t="s">
        <v>206</v>
      </c>
      <c r="M223" s="186"/>
      <c r="N223" s="189">
        <v>0</v>
      </c>
      <c r="O223" s="186" t="s">
        <v>207</v>
      </c>
      <c r="P223" s="186" t="s">
        <v>205</v>
      </c>
      <c r="Q223" s="187">
        <v>0</v>
      </c>
      <c r="R223" s="187">
        <f>Q223*N223</f>
        <v>0</v>
      </c>
      <c r="S223" s="188"/>
    </row>
    <row r="224" spans="1:19" ht="15.75" thickBot="1">
      <c r="A224" s="170"/>
      <c r="B224" s="190" t="s">
        <v>208</v>
      </c>
      <c r="C224" s="190"/>
      <c r="D224" s="191">
        <f>'[2]G-STAFF'!CG19</f>
        <v>0</v>
      </c>
      <c r="E224" s="190" t="s">
        <v>207</v>
      </c>
      <c r="F224" s="190" t="s">
        <v>205</v>
      </c>
      <c r="G224" s="192">
        <f>G223</f>
        <v>0</v>
      </c>
      <c r="H224" s="192">
        <f>G224*D224</f>
        <v>0</v>
      </c>
      <c r="I224" s="188"/>
      <c r="J224" s="187"/>
      <c r="K224" s="170"/>
      <c r="L224" s="190" t="s">
        <v>208</v>
      </c>
      <c r="M224" s="190"/>
      <c r="N224" s="191">
        <v>0</v>
      </c>
      <c r="O224" s="190" t="s">
        <v>207</v>
      </c>
      <c r="P224" s="190" t="s">
        <v>205</v>
      </c>
      <c r="Q224" s="192">
        <f>Q223</f>
        <v>0</v>
      </c>
      <c r="R224" s="192">
        <f>Q224*N224</f>
        <v>0</v>
      </c>
      <c r="S224" s="188"/>
    </row>
    <row r="225" spans="1:19" ht="15.75" thickBot="1">
      <c r="A225" s="170"/>
      <c r="B225" s="190" t="s">
        <v>110</v>
      </c>
      <c r="C225" s="190"/>
      <c r="D225" s="191">
        <f>SUM(D223:D224)</f>
        <v>0</v>
      </c>
      <c r="E225" s="190"/>
      <c r="F225" s="190"/>
      <c r="G225" s="192"/>
      <c r="H225" s="192">
        <f>SUM(H219:H224)</f>
        <v>6914078.3547</v>
      </c>
      <c r="I225" s="188"/>
      <c r="J225" s="187"/>
      <c r="K225" s="170"/>
      <c r="L225" s="190" t="s">
        <v>110</v>
      </c>
      <c r="M225" s="190"/>
      <c r="N225" s="191">
        <f>SUM(N223:N224)</f>
        <v>0</v>
      </c>
      <c r="O225" s="190"/>
      <c r="P225" s="190"/>
      <c r="Q225" s="192"/>
      <c r="R225" s="192">
        <f>SUM(R219:R224)</f>
        <v>6053115.4040000001</v>
      </c>
      <c r="S225" s="188"/>
    </row>
    <row r="226" spans="1:19">
      <c r="A226" s="170"/>
      <c r="B226" s="186"/>
      <c r="C226" s="186"/>
      <c r="D226" s="189"/>
      <c r="E226" s="186"/>
      <c r="F226" s="186"/>
      <c r="G226" s="187"/>
      <c r="H226" s="187"/>
      <c r="I226" s="188"/>
      <c r="J226" s="187"/>
      <c r="K226" s="170"/>
      <c r="L226" s="186"/>
      <c r="M226" s="186"/>
      <c r="N226" s="189"/>
      <c r="O226" s="186"/>
      <c r="P226" s="186"/>
      <c r="Q226" s="187"/>
      <c r="R226" s="187"/>
      <c r="S226" s="188"/>
    </row>
    <row r="227" spans="1:19">
      <c r="A227" s="170"/>
      <c r="B227" s="196" t="s">
        <v>113</v>
      </c>
      <c r="C227" s="186"/>
      <c r="D227" s="186"/>
      <c r="E227" s="186"/>
      <c r="F227" s="186"/>
      <c r="G227" s="187"/>
      <c r="H227" s="187"/>
      <c r="I227" s="188"/>
      <c r="J227" s="209"/>
      <c r="K227" s="170"/>
      <c r="L227" s="196" t="s">
        <v>113</v>
      </c>
      <c r="M227" s="186"/>
      <c r="N227" s="186"/>
      <c r="O227" s="186"/>
      <c r="P227" s="186"/>
      <c r="Q227" s="187"/>
      <c r="R227" s="187"/>
      <c r="S227" s="188"/>
    </row>
    <row r="228" spans="1:19">
      <c r="A228" s="170"/>
      <c r="B228" s="186" t="s">
        <v>209</v>
      </c>
      <c r="C228" s="186"/>
      <c r="D228" s="197"/>
      <c r="E228" s="186"/>
      <c r="F228" s="186"/>
      <c r="G228" s="198" t="str">
        <f>'[2]G-STAFF'!C20</f>
        <v>K</v>
      </c>
      <c r="H228" s="187">
        <f>+STAFF!Z21</f>
        <v>66722</v>
      </c>
      <c r="I228" s="188"/>
      <c r="J228" s="209"/>
      <c r="K228" s="170"/>
      <c r="L228" s="186" t="s">
        <v>209</v>
      </c>
      <c r="M228" s="186"/>
      <c r="N228" s="198"/>
      <c r="O228" s="186"/>
      <c r="P228" s="186"/>
      <c r="Q228" s="198" t="str">
        <f>'[2]G-STAFF'!C21</f>
        <v>TK</v>
      </c>
      <c r="R228" s="187">
        <f>+STAFF!Z22</f>
        <v>29195</v>
      </c>
      <c r="S228" s="188"/>
    </row>
    <row r="229" spans="1:19">
      <c r="A229" s="170"/>
      <c r="B229" s="186" t="s">
        <v>225</v>
      </c>
      <c r="C229" s="186"/>
      <c r="D229" s="197"/>
      <c r="E229" s="186"/>
      <c r="F229" s="186"/>
      <c r="G229" s="198"/>
      <c r="H229" s="187">
        <f>+STAFF!W21+STAFF!X21</f>
        <v>63464.130000000005</v>
      </c>
      <c r="I229" s="188"/>
      <c r="J229" s="209"/>
      <c r="K229" s="170"/>
      <c r="L229" s="186" t="s">
        <v>225</v>
      </c>
      <c r="M229" s="186"/>
      <c r="N229" s="198"/>
      <c r="O229" s="186"/>
      <c r="P229" s="186"/>
      <c r="Q229" s="198"/>
      <c r="R229" s="187">
        <f>+STAFF!W22+STAFF!X22</f>
        <v>55531.6</v>
      </c>
      <c r="S229" s="188"/>
    </row>
    <row r="230" spans="1:19">
      <c r="A230" s="170"/>
      <c r="B230" s="186" t="s">
        <v>226</v>
      </c>
      <c r="C230" s="186"/>
      <c r="D230" s="197"/>
      <c r="E230" s="186"/>
      <c r="F230" s="186"/>
      <c r="G230" s="198"/>
      <c r="H230" s="187">
        <f>+STAFF!U21+STAFF!V21</f>
        <v>181392.39</v>
      </c>
      <c r="I230" s="188"/>
      <c r="J230" s="209"/>
      <c r="K230" s="170"/>
      <c r="L230" s="186" t="s">
        <v>226</v>
      </c>
      <c r="M230" s="186"/>
      <c r="N230" s="198"/>
      <c r="O230" s="186"/>
      <c r="P230" s="186"/>
      <c r="Q230" s="198"/>
      <c r="R230" s="187">
        <f>+STAFF!U22+STAFF!V22</f>
        <v>160594.79999999999</v>
      </c>
      <c r="S230" s="188"/>
    </row>
    <row r="231" spans="1:19">
      <c r="A231" s="170"/>
      <c r="B231" s="186" t="s">
        <v>103</v>
      </c>
      <c r="C231" s="186"/>
      <c r="D231" s="186"/>
      <c r="E231" s="186"/>
      <c r="F231" s="186"/>
      <c r="G231" s="187"/>
      <c r="H231" s="187">
        <f>+H221</f>
        <v>567665.35470000003</v>
      </c>
      <c r="I231" s="188"/>
      <c r="J231" s="209"/>
      <c r="K231" s="170"/>
      <c r="L231" s="186" t="s">
        <v>103</v>
      </c>
      <c r="M231" s="186"/>
      <c r="N231" s="186"/>
      <c r="O231" s="186"/>
      <c r="P231" s="186"/>
      <c r="Q231" s="187"/>
      <c r="R231" s="187">
        <f>+R221</f>
        <v>499955.40399999998</v>
      </c>
      <c r="S231" s="188"/>
    </row>
    <row r="232" spans="1:19" ht="15.75" thickBot="1">
      <c r="A232" s="170"/>
      <c r="B232" s="199" t="s">
        <v>211</v>
      </c>
      <c r="C232" s="190"/>
      <c r="D232" s="190"/>
      <c r="E232" s="190"/>
      <c r="F232" s="190"/>
      <c r="G232" s="192"/>
      <c r="H232" s="192">
        <f>SUM(H228:H231)</f>
        <v>879243.87470000004</v>
      </c>
      <c r="I232" s="188"/>
      <c r="J232" s="187"/>
      <c r="K232" s="170"/>
      <c r="L232" s="199" t="s">
        <v>211</v>
      </c>
      <c r="M232" s="190"/>
      <c r="N232" s="190"/>
      <c r="O232" s="190"/>
      <c r="P232" s="190"/>
      <c r="Q232" s="192"/>
      <c r="R232" s="192">
        <f>SUM(R228:R231)</f>
        <v>745276.804</v>
      </c>
      <c r="S232" s="188"/>
    </row>
    <row r="233" spans="1:19" ht="15.75" thickBot="1">
      <c r="A233" s="170"/>
      <c r="B233" s="200" t="s">
        <v>212</v>
      </c>
      <c r="C233" s="200"/>
      <c r="D233" s="200"/>
      <c r="E233" s="200"/>
      <c r="F233" s="200"/>
      <c r="G233" s="201"/>
      <c r="H233" s="201">
        <f>SUM(H225-H232)</f>
        <v>6034834.4800000004</v>
      </c>
      <c r="I233" s="188"/>
      <c r="J233" s="187"/>
      <c r="K233" s="170"/>
      <c r="L233" s="200" t="s">
        <v>212</v>
      </c>
      <c r="M233" s="200"/>
      <c r="N233" s="200"/>
      <c r="O233" s="200"/>
      <c r="P233" s="200"/>
      <c r="Q233" s="201"/>
      <c r="R233" s="201">
        <f>SUM(R225-R232)</f>
        <v>5307838.5999999996</v>
      </c>
      <c r="S233" s="188"/>
    </row>
    <row r="234" spans="1:19" ht="15.75" thickTop="1">
      <c r="A234" s="170"/>
      <c r="B234" s="202" t="s">
        <v>213</v>
      </c>
      <c r="C234" s="186"/>
      <c r="D234" s="186"/>
      <c r="E234" s="186"/>
      <c r="F234" s="186"/>
      <c r="G234" s="296" t="s">
        <v>214</v>
      </c>
      <c r="H234" s="296"/>
      <c r="I234" s="188"/>
      <c r="J234" s="187"/>
      <c r="K234" s="170"/>
      <c r="L234" s="202" t="s">
        <v>213</v>
      </c>
      <c r="M234" s="186"/>
      <c r="N234" s="186"/>
      <c r="O234" s="186"/>
      <c r="P234" s="186"/>
      <c r="Q234" s="296" t="s">
        <v>214</v>
      </c>
      <c r="R234" s="296"/>
      <c r="S234" s="188"/>
    </row>
    <row r="235" spans="1:19">
      <c r="A235" s="170"/>
      <c r="B235" s="186"/>
      <c r="C235" s="186"/>
      <c r="D235" s="186"/>
      <c r="E235" s="186"/>
      <c r="F235" s="186"/>
      <c r="G235" s="187"/>
      <c r="H235" s="187"/>
      <c r="I235" s="188"/>
      <c r="J235" s="187"/>
      <c r="K235" s="170"/>
      <c r="L235" s="186"/>
      <c r="M235" s="186"/>
      <c r="N235" s="186"/>
      <c r="O235" s="186"/>
      <c r="P235" s="186"/>
      <c r="Q235" s="187"/>
      <c r="R235" s="187"/>
      <c r="S235" s="188"/>
    </row>
    <row r="236" spans="1:19">
      <c r="A236" s="170"/>
      <c r="B236" s="186"/>
      <c r="C236" s="186"/>
      <c r="D236" s="186"/>
      <c r="E236" s="186"/>
      <c r="F236" s="186"/>
      <c r="G236" s="187"/>
      <c r="H236" s="187"/>
      <c r="I236" s="188"/>
      <c r="J236" s="187"/>
      <c r="K236" s="170"/>
      <c r="L236" s="186"/>
      <c r="M236" s="186"/>
      <c r="N236" s="186"/>
      <c r="O236" s="186"/>
      <c r="P236" s="186"/>
      <c r="Q236" s="187"/>
      <c r="R236" s="187"/>
      <c r="S236" s="188"/>
    </row>
    <row r="237" spans="1:19">
      <c r="A237" s="170"/>
      <c r="B237" s="203" t="s">
        <v>215</v>
      </c>
      <c r="C237" s="186"/>
      <c r="D237" s="186"/>
      <c r="E237" s="186"/>
      <c r="F237" s="186"/>
      <c r="G237" s="297" t="s">
        <v>216</v>
      </c>
      <c r="H237" s="297"/>
      <c r="I237" s="188"/>
      <c r="J237" s="187"/>
      <c r="K237" s="170"/>
      <c r="L237" s="203" t="s">
        <v>215</v>
      </c>
      <c r="M237" s="186"/>
      <c r="N237" s="186"/>
      <c r="O237" s="186"/>
      <c r="P237" s="186"/>
      <c r="Q237" s="297" t="s">
        <v>216</v>
      </c>
      <c r="R237" s="297"/>
      <c r="S237" s="188"/>
    </row>
    <row r="238" spans="1:19">
      <c r="A238" s="204"/>
      <c r="B238" s="205"/>
      <c r="C238" s="206"/>
      <c r="D238" s="206"/>
      <c r="E238" s="206"/>
      <c r="F238" s="206"/>
      <c r="G238" s="207"/>
      <c r="H238" s="205"/>
      <c r="I238" s="208"/>
      <c r="J238" s="187"/>
      <c r="K238" s="204"/>
      <c r="L238" s="205"/>
      <c r="M238" s="206"/>
      <c r="N238" s="206"/>
      <c r="O238" s="206"/>
      <c r="P238" s="206"/>
      <c r="Q238" s="207"/>
      <c r="R238" s="205"/>
      <c r="S238" s="208"/>
    </row>
    <row r="239" spans="1:19">
      <c r="A239" s="169"/>
      <c r="B239" s="186"/>
      <c r="C239" s="186"/>
      <c r="D239" s="186"/>
      <c r="E239" s="186"/>
      <c r="F239" s="186"/>
      <c r="G239" s="187"/>
      <c r="H239" s="186"/>
      <c r="I239" s="187"/>
      <c r="J239" s="187"/>
      <c r="K239" s="169"/>
      <c r="L239" s="186"/>
      <c r="M239" s="186"/>
      <c r="N239" s="186"/>
      <c r="O239" s="186"/>
      <c r="P239" s="186"/>
      <c r="Q239" s="187"/>
      <c r="R239" s="187"/>
      <c r="S239" s="187"/>
    </row>
    <row r="240" spans="1:19">
      <c r="A240" s="166"/>
      <c r="B240" s="167"/>
      <c r="C240" s="167"/>
      <c r="D240" s="167"/>
      <c r="E240" s="167"/>
      <c r="F240" s="167"/>
      <c r="G240" s="167"/>
      <c r="H240" s="167"/>
      <c r="I240" s="168"/>
      <c r="J240" s="169"/>
      <c r="K240" s="166"/>
      <c r="L240" s="167"/>
      <c r="M240" s="167"/>
      <c r="N240" s="167"/>
      <c r="O240" s="167"/>
      <c r="P240" s="167"/>
      <c r="Q240" s="167"/>
      <c r="R240" s="167"/>
      <c r="S240" s="168"/>
    </row>
    <row r="241" spans="1:19">
      <c r="A241" s="170"/>
      <c r="B241" s="169"/>
      <c r="C241" s="169"/>
      <c r="D241" s="169"/>
      <c r="E241" s="169"/>
      <c r="F241" s="169"/>
      <c r="G241" s="169"/>
      <c r="H241" s="169"/>
      <c r="I241" s="171"/>
      <c r="J241" s="169"/>
      <c r="K241" s="170"/>
      <c r="L241" s="169"/>
      <c r="M241" s="169"/>
      <c r="N241" s="169"/>
      <c r="O241" s="169"/>
      <c r="P241" s="169"/>
      <c r="Q241" s="169"/>
      <c r="R241" s="169"/>
      <c r="S241" s="171"/>
    </row>
    <row r="242" spans="1:19">
      <c r="A242" s="170"/>
      <c r="B242" s="169"/>
      <c r="C242" s="169"/>
      <c r="D242" s="169"/>
      <c r="E242" s="169"/>
      <c r="F242" s="169"/>
      <c r="G242" s="169"/>
      <c r="H242" s="169"/>
      <c r="I242" s="171"/>
      <c r="J242" s="169"/>
      <c r="K242" s="170"/>
      <c r="L242" s="169"/>
      <c r="M242" s="169"/>
      <c r="N242" s="169"/>
      <c r="O242" s="169"/>
      <c r="P242" s="169"/>
      <c r="Q242" s="169"/>
      <c r="R242" s="169"/>
      <c r="S242" s="171"/>
    </row>
    <row r="243" spans="1:19">
      <c r="A243" s="170"/>
      <c r="B243" s="169"/>
      <c r="C243" s="169"/>
      <c r="D243" s="169"/>
      <c r="E243" s="169"/>
      <c r="F243" s="169"/>
      <c r="G243" s="169"/>
      <c r="H243" s="169"/>
      <c r="I243" s="171"/>
      <c r="J243" s="169"/>
      <c r="K243" s="170"/>
      <c r="L243" s="169"/>
      <c r="M243" s="169"/>
      <c r="N243" s="169"/>
      <c r="O243" s="169"/>
      <c r="P243" s="169"/>
      <c r="Q243" s="169"/>
      <c r="R243" s="169"/>
      <c r="S243" s="171"/>
    </row>
    <row r="244" spans="1:19">
      <c r="A244" s="170"/>
      <c r="B244" s="294" t="s">
        <v>196</v>
      </c>
      <c r="C244" s="294"/>
      <c r="D244" s="294"/>
      <c r="E244" s="294"/>
      <c r="F244" s="294"/>
      <c r="G244" s="294"/>
      <c r="H244" s="294"/>
      <c r="I244" s="295"/>
      <c r="J244" s="169"/>
      <c r="K244" s="170"/>
      <c r="L244" s="294" t="s">
        <v>196</v>
      </c>
      <c r="M244" s="294"/>
      <c r="N244" s="294"/>
      <c r="O244" s="294"/>
      <c r="P244" s="294"/>
      <c r="Q244" s="294"/>
      <c r="R244" s="294"/>
      <c r="S244" s="295"/>
    </row>
    <row r="245" spans="1:19">
      <c r="A245" s="172"/>
      <c r="B245" s="173" t="s">
        <v>197</v>
      </c>
      <c r="C245" s="174" t="s">
        <v>198</v>
      </c>
      <c r="D245" s="175">
        <f>'[2]G-STAFF'!A22</f>
        <v>15</v>
      </c>
      <c r="E245" s="173"/>
      <c r="F245" s="173"/>
      <c r="G245" s="173"/>
      <c r="H245" s="173"/>
      <c r="I245" s="176"/>
      <c r="J245" s="173"/>
      <c r="K245" s="172"/>
      <c r="L245" s="173" t="s">
        <v>197</v>
      </c>
      <c r="M245" s="174" t="s">
        <v>198</v>
      </c>
      <c r="N245" s="175">
        <f>'[2]G-STAFF'!A23</f>
        <v>16</v>
      </c>
      <c r="O245" s="175"/>
      <c r="P245" s="173"/>
      <c r="Q245" s="173"/>
      <c r="R245" s="173"/>
      <c r="S245" s="176"/>
    </row>
    <row r="246" spans="1:19">
      <c r="A246" s="172"/>
      <c r="B246" s="173" t="s">
        <v>199</v>
      </c>
      <c r="C246" s="174" t="s">
        <v>198</v>
      </c>
      <c r="D246" s="177" t="str">
        <f>'[2]G-STAFF'!A3</f>
        <v>01 JANUARI  S/D  31 JANUARI  2025</v>
      </c>
      <c r="E246" s="173"/>
      <c r="F246" s="173"/>
      <c r="G246" s="173"/>
      <c r="H246" s="173"/>
      <c r="I246" s="176"/>
      <c r="J246" s="173"/>
      <c r="K246" s="172"/>
      <c r="L246" s="173" t="s">
        <v>199</v>
      </c>
      <c r="M246" s="174" t="s">
        <v>198</v>
      </c>
      <c r="N246" s="177" t="str">
        <f>'[2]G-STAFF'!A3</f>
        <v>01 JANUARI  S/D  31 JANUARI  2025</v>
      </c>
      <c r="O246" s="179"/>
      <c r="P246" s="173"/>
      <c r="Q246" s="173"/>
      <c r="R246" s="173"/>
      <c r="S246" s="176"/>
    </row>
    <row r="247" spans="1:19">
      <c r="A247" s="172"/>
      <c r="B247" s="173" t="s">
        <v>200</v>
      </c>
      <c r="C247" s="174" t="s">
        <v>198</v>
      </c>
      <c r="D247" s="177" t="str">
        <f>'[2]G-STAFF'!B22</f>
        <v>LUTHFYA BILQIS</v>
      </c>
      <c r="E247" s="173"/>
      <c r="F247" s="173"/>
      <c r="G247" s="173"/>
      <c r="H247" s="173"/>
      <c r="I247" s="176"/>
      <c r="J247" s="173"/>
      <c r="K247" s="172"/>
      <c r="L247" s="173" t="s">
        <v>200</v>
      </c>
      <c r="M247" s="174" t="s">
        <v>198</v>
      </c>
      <c r="N247" s="178" t="str">
        <f>'[2]G-STAFF'!B23</f>
        <v>IBNU NURDIANSYAH</v>
      </c>
      <c r="O247" s="173"/>
      <c r="P247" s="173"/>
      <c r="Q247" s="173"/>
      <c r="R247" s="173"/>
      <c r="S247" s="176"/>
    </row>
    <row r="248" spans="1:19" ht="15.75" thickBot="1">
      <c r="A248" s="172"/>
      <c r="B248" s="173" t="s">
        <v>201</v>
      </c>
      <c r="C248" s="174" t="s">
        <v>198</v>
      </c>
      <c r="D248" s="177" t="str">
        <f>'[2]G-STAFF'!H22</f>
        <v>ADM BC</v>
      </c>
      <c r="E248" s="173"/>
      <c r="F248" s="173"/>
      <c r="G248" s="173"/>
      <c r="H248" s="173"/>
      <c r="I248" s="176"/>
      <c r="J248" s="173"/>
      <c r="K248" s="172"/>
      <c r="L248" s="173" t="s">
        <v>201</v>
      </c>
      <c r="M248" s="174" t="s">
        <v>198</v>
      </c>
      <c r="N248" s="178" t="str">
        <f>'[2]G-STAFF'!H23</f>
        <v>ADM PRODUKSI</v>
      </c>
      <c r="O248" s="179"/>
      <c r="P248" s="173"/>
      <c r="Q248" s="173"/>
      <c r="R248" s="173"/>
      <c r="S248" s="176"/>
    </row>
    <row r="249" spans="1:19" ht="15.75" thickTop="1">
      <c r="A249" s="170"/>
      <c r="B249" s="182"/>
      <c r="C249" s="182"/>
      <c r="D249" s="182"/>
      <c r="E249" s="182"/>
      <c r="F249" s="182"/>
      <c r="G249" s="182"/>
      <c r="H249" s="182"/>
      <c r="I249" s="183"/>
      <c r="J249" s="169"/>
      <c r="K249" s="170"/>
      <c r="L249" s="182"/>
      <c r="M249" s="182"/>
      <c r="N249" s="182"/>
      <c r="O249" s="182"/>
      <c r="P249" s="182"/>
      <c r="Q249" s="182"/>
      <c r="R249" s="182"/>
      <c r="S249" s="183"/>
    </row>
    <row r="250" spans="1:19">
      <c r="A250" s="170"/>
      <c r="B250" s="184" t="s">
        <v>202</v>
      </c>
      <c r="C250" s="185"/>
      <c r="D250" s="185"/>
      <c r="E250" s="185"/>
      <c r="F250" s="185"/>
      <c r="G250" s="185"/>
      <c r="H250" s="185"/>
      <c r="I250" s="183"/>
      <c r="J250" s="169"/>
      <c r="K250" s="170"/>
      <c r="L250" s="184" t="s">
        <v>202</v>
      </c>
      <c r="M250" s="184"/>
      <c r="N250" s="185"/>
      <c r="O250" s="185"/>
      <c r="P250" s="185"/>
      <c r="Q250" s="185"/>
      <c r="R250" s="185"/>
      <c r="S250" s="183"/>
    </row>
    <row r="251" spans="1:19">
      <c r="A251" s="170"/>
      <c r="B251" s="186" t="s">
        <v>111</v>
      </c>
      <c r="C251" s="186"/>
      <c r="D251" s="186"/>
      <c r="E251" s="186"/>
      <c r="F251" s="186"/>
      <c r="G251" s="187"/>
      <c r="H251" s="187">
        <f>+STAFF!G23</f>
        <v>4877211</v>
      </c>
      <c r="I251" s="188"/>
      <c r="J251" s="187"/>
      <c r="K251" s="170"/>
      <c r="L251" s="186" t="s">
        <v>111</v>
      </c>
      <c r="M251" s="186"/>
      <c r="N251" s="186"/>
      <c r="O251" s="186"/>
      <c r="P251" s="186"/>
      <c r="Q251" s="187"/>
      <c r="R251" s="187">
        <f>+STAFF!G24</f>
        <v>4877211</v>
      </c>
      <c r="S251" s="188"/>
    </row>
    <row r="252" spans="1:19">
      <c r="A252" s="170"/>
      <c r="B252" s="186" t="s">
        <v>203</v>
      </c>
      <c r="C252" s="186"/>
      <c r="D252" s="186"/>
      <c r="E252" s="186"/>
      <c r="F252" s="186"/>
      <c r="G252" s="187"/>
      <c r="H252" s="187">
        <f>+STAFF!I23</f>
        <v>200000</v>
      </c>
      <c r="I252" s="188"/>
      <c r="J252" s="209"/>
      <c r="K252" s="170"/>
      <c r="L252" s="186" t="s">
        <v>203</v>
      </c>
      <c r="M252" s="186"/>
      <c r="N252" s="186"/>
      <c r="O252" s="186"/>
      <c r="P252" s="186"/>
      <c r="Q252" s="187"/>
      <c r="R252" s="187">
        <f>+STAFF!I24</f>
        <v>200000</v>
      </c>
      <c r="S252" s="188"/>
    </row>
    <row r="253" spans="1:19">
      <c r="A253" s="170"/>
      <c r="B253" s="186" t="s">
        <v>224</v>
      </c>
      <c r="C253" s="186"/>
      <c r="D253" s="186"/>
      <c r="E253" s="186"/>
      <c r="F253" s="186"/>
      <c r="G253" s="187"/>
      <c r="H253" s="187">
        <f>+STAFF!S23</f>
        <v>456215.69090000005</v>
      </c>
      <c r="I253" s="188"/>
      <c r="J253" s="209"/>
      <c r="K253" s="170"/>
      <c r="L253" s="186" t="s">
        <v>224</v>
      </c>
      <c r="M253" s="186"/>
      <c r="N253" s="186"/>
      <c r="O253" s="186"/>
      <c r="P253" s="186"/>
      <c r="Q253" s="187"/>
      <c r="R253" s="187">
        <f>+STAFF!S24</f>
        <v>456215.69090000005</v>
      </c>
      <c r="S253" s="188"/>
    </row>
    <row r="254" spans="1:19">
      <c r="A254" s="170"/>
      <c r="B254" s="186" t="s">
        <v>195</v>
      </c>
      <c r="C254" s="186"/>
      <c r="D254" s="187">
        <v>0</v>
      </c>
      <c r="E254" s="186" t="s">
        <v>204</v>
      </c>
      <c r="F254" s="186" t="s">
        <v>205</v>
      </c>
      <c r="G254" s="187">
        <v>0</v>
      </c>
      <c r="H254" s="187">
        <f>G254*D254</f>
        <v>0</v>
      </c>
      <c r="I254" s="188"/>
      <c r="J254" s="187"/>
      <c r="K254" s="170"/>
      <c r="L254" s="186" t="s">
        <v>195</v>
      </c>
      <c r="M254" s="186"/>
      <c r="N254" s="187">
        <v>0</v>
      </c>
      <c r="O254" s="186" t="s">
        <v>204</v>
      </c>
      <c r="P254" s="186" t="s">
        <v>205</v>
      </c>
      <c r="Q254" s="187">
        <v>0</v>
      </c>
      <c r="R254" s="187">
        <f>Q254*N254</f>
        <v>0</v>
      </c>
      <c r="S254" s="188"/>
    </row>
    <row r="255" spans="1:19">
      <c r="A255" s="170"/>
      <c r="B255" s="186" t="s">
        <v>206</v>
      </c>
      <c r="C255" s="186"/>
      <c r="D255" s="189">
        <f>'[2]G-STAFF'!CH36</f>
        <v>0</v>
      </c>
      <c r="E255" s="186" t="s">
        <v>207</v>
      </c>
      <c r="F255" s="186" t="s">
        <v>205</v>
      </c>
      <c r="G255" s="187">
        <v>0</v>
      </c>
      <c r="H255" s="187">
        <f>G255*D255</f>
        <v>0</v>
      </c>
      <c r="I255" s="188"/>
      <c r="J255" s="209"/>
      <c r="K255" s="170"/>
      <c r="L255" s="186" t="s">
        <v>206</v>
      </c>
      <c r="M255" s="186"/>
      <c r="N255" s="189">
        <v>0</v>
      </c>
      <c r="O255" s="186" t="s">
        <v>207</v>
      </c>
      <c r="P255" s="186" t="s">
        <v>205</v>
      </c>
      <c r="Q255" s="187">
        <v>0</v>
      </c>
      <c r="R255" s="187">
        <f>Q255*N255</f>
        <v>0</v>
      </c>
      <c r="S255" s="188"/>
    </row>
    <row r="256" spans="1:19" ht="15.75" thickBot="1">
      <c r="A256" s="170"/>
      <c r="B256" s="190" t="s">
        <v>208</v>
      </c>
      <c r="C256" s="190"/>
      <c r="D256" s="191">
        <f>'[2]G-STAFF'!CG36</f>
        <v>0</v>
      </c>
      <c r="E256" s="190" t="s">
        <v>207</v>
      </c>
      <c r="F256" s="190" t="s">
        <v>205</v>
      </c>
      <c r="G256" s="192">
        <f>G255</f>
        <v>0</v>
      </c>
      <c r="H256" s="192">
        <f>G256*D256</f>
        <v>0</v>
      </c>
      <c r="I256" s="188"/>
      <c r="J256" s="187"/>
      <c r="K256" s="170"/>
      <c r="L256" s="190" t="s">
        <v>208</v>
      </c>
      <c r="M256" s="190"/>
      <c r="N256" s="191">
        <v>0</v>
      </c>
      <c r="O256" s="190" t="s">
        <v>207</v>
      </c>
      <c r="P256" s="190" t="s">
        <v>205</v>
      </c>
      <c r="Q256" s="192">
        <f>Q255</f>
        <v>0</v>
      </c>
      <c r="R256" s="192">
        <f>Q256*N256</f>
        <v>0</v>
      </c>
      <c r="S256" s="188"/>
    </row>
    <row r="257" spans="1:19" ht="15.75" thickBot="1">
      <c r="A257" s="170"/>
      <c r="B257" s="190" t="s">
        <v>110</v>
      </c>
      <c r="C257" s="190"/>
      <c r="D257" s="191">
        <f>SUM(D255:D256)</f>
        <v>0</v>
      </c>
      <c r="E257" s="190"/>
      <c r="F257" s="190"/>
      <c r="G257" s="192"/>
      <c r="H257" s="192">
        <f>SUM(H251:H256)</f>
        <v>5533426.6908999998</v>
      </c>
      <c r="I257" s="188"/>
      <c r="J257" s="187"/>
      <c r="K257" s="170"/>
      <c r="L257" s="190" t="s">
        <v>110</v>
      </c>
      <c r="M257" s="190"/>
      <c r="N257" s="191">
        <f>SUM(N255:N256)</f>
        <v>0</v>
      </c>
      <c r="O257" s="190"/>
      <c r="P257" s="190"/>
      <c r="Q257" s="192"/>
      <c r="R257" s="192">
        <f>SUM(R251:R256)</f>
        <v>5533426.6908999998</v>
      </c>
      <c r="S257" s="188"/>
    </row>
    <row r="258" spans="1:19">
      <c r="A258" s="170"/>
      <c r="B258" s="186"/>
      <c r="C258" s="186"/>
      <c r="D258" s="189"/>
      <c r="E258" s="186"/>
      <c r="F258" s="186"/>
      <c r="G258" s="187"/>
      <c r="H258" s="187"/>
      <c r="I258" s="188"/>
      <c r="J258" s="187"/>
      <c r="K258" s="170"/>
      <c r="L258" s="186"/>
      <c r="M258" s="186"/>
      <c r="N258" s="189"/>
      <c r="O258" s="186"/>
      <c r="P258" s="186"/>
      <c r="Q258" s="187"/>
      <c r="R258" s="187"/>
      <c r="S258" s="188"/>
    </row>
    <row r="259" spans="1:19">
      <c r="A259" s="170"/>
      <c r="B259" s="196" t="s">
        <v>113</v>
      </c>
      <c r="C259" s="186"/>
      <c r="D259" s="186"/>
      <c r="E259" s="186"/>
      <c r="F259" s="186"/>
      <c r="G259" s="187"/>
      <c r="H259" s="187"/>
      <c r="I259" s="188"/>
      <c r="J259" s="209"/>
      <c r="K259" s="170"/>
      <c r="L259" s="196" t="s">
        <v>113</v>
      </c>
      <c r="M259" s="186"/>
      <c r="N259" s="186"/>
      <c r="O259" s="186"/>
      <c r="P259" s="186"/>
      <c r="Q259" s="187"/>
      <c r="R259" s="187"/>
      <c r="S259" s="188"/>
    </row>
    <row r="260" spans="1:19">
      <c r="A260" s="170"/>
      <c r="B260" s="186" t="s">
        <v>209</v>
      </c>
      <c r="C260" s="186"/>
      <c r="D260" s="197"/>
      <c r="E260" s="186"/>
      <c r="F260" s="186"/>
      <c r="G260" s="198" t="str">
        <f>'[2]G-STAFF'!C22</f>
        <v>TK</v>
      </c>
      <c r="H260" s="187">
        <f>+STAFF!Z23</f>
        <v>0</v>
      </c>
      <c r="I260" s="188"/>
      <c r="J260" s="209"/>
      <c r="K260" s="170"/>
      <c r="L260" s="186" t="s">
        <v>209</v>
      </c>
      <c r="M260" s="186"/>
      <c r="N260" s="198"/>
      <c r="O260" s="186"/>
      <c r="P260" s="186"/>
      <c r="Q260" s="198" t="str">
        <f>'[2]G-STAFF'!C23</f>
        <v>TK</v>
      </c>
      <c r="R260" s="187">
        <f>+STAFF!Z24</f>
        <v>0</v>
      </c>
      <c r="S260" s="188"/>
    </row>
    <row r="261" spans="1:19">
      <c r="A261" s="170"/>
      <c r="B261" s="186" t="s">
        <v>225</v>
      </c>
      <c r="C261" s="186"/>
      <c r="D261" s="197"/>
      <c r="E261" s="186"/>
      <c r="F261" s="186"/>
      <c r="G261" s="198"/>
      <c r="H261" s="187">
        <f>+STAFF!W23+STAFF!X23</f>
        <v>50772.11</v>
      </c>
      <c r="I261" s="188"/>
      <c r="J261" s="209"/>
      <c r="K261" s="170"/>
      <c r="L261" s="186" t="s">
        <v>225</v>
      </c>
      <c r="M261" s="186"/>
      <c r="N261" s="198"/>
      <c r="O261" s="186"/>
      <c r="P261" s="186"/>
      <c r="Q261" s="198"/>
      <c r="R261" s="187">
        <f>+STAFF!W24+STAFF!X24</f>
        <v>50772.11</v>
      </c>
      <c r="S261" s="188"/>
    </row>
    <row r="262" spans="1:19">
      <c r="A262" s="170"/>
      <c r="B262" s="186" t="s">
        <v>226</v>
      </c>
      <c r="C262" s="186"/>
      <c r="D262" s="197"/>
      <c r="E262" s="186"/>
      <c r="F262" s="186"/>
      <c r="G262" s="198"/>
      <c r="H262" s="187">
        <f>+STAFF!U23+STAFF!V23</f>
        <v>146316.33000000002</v>
      </c>
      <c r="I262" s="188"/>
      <c r="J262" s="209"/>
      <c r="K262" s="170"/>
      <c r="L262" s="186" t="s">
        <v>226</v>
      </c>
      <c r="M262" s="186"/>
      <c r="N262" s="198"/>
      <c r="O262" s="186"/>
      <c r="P262" s="186"/>
      <c r="Q262" s="198"/>
      <c r="R262" s="187">
        <f>+STAFF!U24+STAFF!V24</f>
        <v>146316.33000000002</v>
      </c>
      <c r="S262" s="188"/>
    </row>
    <row r="263" spans="1:19">
      <c r="A263" s="170"/>
      <c r="B263" s="186" t="s">
        <v>103</v>
      </c>
      <c r="C263" s="186"/>
      <c r="D263" s="186"/>
      <c r="E263" s="186"/>
      <c r="F263" s="186"/>
      <c r="G263" s="187"/>
      <c r="H263" s="187">
        <f>+H253</f>
        <v>456215.69090000005</v>
      </c>
      <c r="I263" s="188"/>
      <c r="J263" s="209"/>
      <c r="K263" s="170"/>
      <c r="L263" s="186" t="s">
        <v>103</v>
      </c>
      <c r="M263" s="186"/>
      <c r="N263" s="186"/>
      <c r="O263" s="186"/>
      <c r="P263" s="186"/>
      <c r="Q263" s="187"/>
      <c r="R263" s="187">
        <f>+R253</f>
        <v>456215.69090000005</v>
      </c>
      <c r="S263" s="188"/>
    </row>
    <row r="264" spans="1:19" ht="15.75" thickBot="1">
      <c r="A264" s="170"/>
      <c r="B264" s="199" t="s">
        <v>211</v>
      </c>
      <c r="C264" s="190"/>
      <c r="D264" s="190"/>
      <c r="E264" s="190"/>
      <c r="F264" s="190"/>
      <c r="G264" s="192"/>
      <c r="H264" s="192">
        <f>SUM(H260:H263)</f>
        <v>653304.13089999999</v>
      </c>
      <c r="I264" s="188"/>
      <c r="J264" s="187"/>
      <c r="K264" s="170"/>
      <c r="L264" s="199" t="s">
        <v>211</v>
      </c>
      <c r="M264" s="190"/>
      <c r="N264" s="190"/>
      <c r="O264" s="190"/>
      <c r="P264" s="190"/>
      <c r="Q264" s="192"/>
      <c r="R264" s="192">
        <f>SUM(R260:R263)</f>
        <v>653304.13089999999</v>
      </c>
      <c r="S264" s="188"/>
    </row>
    <row r="265" spans="1:19" ht="15.75" thickBot="1">
      <c r="A265" s="170"/>
      <c r="B265" s="200" t="s">
        <v>212</v>
      </c>
      <c r="C265" s="200"/>
      <c r="D265" s="200"/>
      <c r="E265" s="200"/>
      <c r="F265" s="200"/>
      <c r="G265" s="201"/>
      <c r="H265" s="201">
        <f>SUM(H257-H264)</f>
        <v>4880122.5599999996</v>
      </c>
      <c r="I265" s="188"/>
      <c r="J265" s="187"/>
      <c r="K265" s="170"/>
      <c r="L265" s="200" t="s">
        <v>212</v>
      </c>
      <c r="M265" s="200"/>
      <c r="N265" s="200"/>
      <c r="O265" s="200"/>
      <c r="P265" s="200"/>
      <c r="Q265" s="201"/>
      <c r="R265" s="201">
        <f>SUM(R257-R264)</f>
        <v>4880122.5599999996</v>
      </c>
      <c r="S265" s="188"/>
    </row>
    <row r="266" spans="1:19" ht="15.75" thickTop="1">
      <c r="A266" s="170"/>
      <c r="B266" s="202" t="s">
        <v>213</v>
      </c>
      <c r="C266" s="186"/>
      <c r="D266" s="186"/>
      <c r="E266" s="186"/>
      <c r="F266" s="186"/>
      <c r="G266" s="296" t="s">
        <v>214</v>
      </c>
      <c r="H266" s="296"/>
      <c r="I266" s="188"/>
      <c r="J266" s="187"/>
      <c r="K266" s="170"/>
      <c r="L266" s="202" t="s">
        <v>213</v>
      </c>
      <c r="M266" s="186"/>
      <c r="N266" s="186"/>
      <c r="O266" s="186"/>
      <c r="P266" s="186"/>
      <c r="Q266" s="296" t="s">
        <v>214</v>
      </c>
      <c r="R266" s="296"/>
      <c r="S266" s="188"/>
    </row>
    <row r="267" spans="1:19">
      <c r="A267" s="170"/>
      <c r="B267" s="186"/>
      <c r="C267" s="186"/>
      <c r="D267" s="186"/>
      <c r="E267" s="186"/>
      <c r="F267" s="186"/>
      <c r="G267" s="187"/>
      <c r="H267" s="187"/>
      <c r="I267" s="188"/>
      <c r="J267" s="187"/>
      <c r="K267" s="170"/>
      <c r="L267" s="186"/>
      <c r="M267" s="186"/>
      <c r="N267" s="186"/>
      <c r="O267" s="186"/>
      <c r="P267" s="186"/>
      <c r="Q267" s="187"/>
      <c r="R267" s="187"/>
      <c r="S267" s="188"/>
    </row>
    <row r="268" spans="1:19">
      <c r="A268" s="170"/>
      <c r="B268" s="186"/>
      <c r="C268" s="186"/>
      <c r="D268" s="186"/>
      <c r="E268" s="186"/>
      <c r="F268" s="186"/>
      <c r="G268" s="187"/>
      <c r="H268" s="187"/>
      <c r="I268" s="188"/>
      <c r="J268" s="187"/>
      <c r="K268" s="170"/>
      <c r="L268" s="186"/>
      <c r="M268" s="186"/>
      <c r="N268" s="186"/>
      <c r="O268" s="186"/>
      <c r="P268" s="186"/>
      <c r="Q268" s="187"/>
      <c r="R268" s="187"/>
      <c r="S268" s="188"/>
    </row>
    <row r="269" spans="1:19">
      <c r="A269" s="170"/>
      <c r="B269" s="203" t="s">
        <v>215</v>
      </c>
      <c r="C269" s="186"/>
      <c r="D269" s="186"/>
      <c r="E269" s="186"/>
      <c r="F269" s="186"/>
      <c r="G269" s="297" t="s">
        <v>216</v>
      </c>
      <c r="H269" s="297"/>
      <c r="I269" s="188"/>
      <c r="J269" s="187"/>
      <c r="K269" s="170"/>
      <c r="L269" s="203" t="s">
        <v>215</v>
      </c>
      <c r="M269" s="186"/>
      <c r="N269" s="186"/>
      <c r="O269" s="186"/>
      <c r="P269" s="186"/>
      <c r="Q269" s="297" t="s">
        <v>216</v>
      </c>
      <c r="R269" s="297"/>
      <c r="S269" s="188"/>
    </row>
    <row r="270" spans="1:19">
      <c r="A270" s="204"/>
      <c r="B270" s="205"/>
      <c r="C270" s="206"/>
      <c r="D270" s="206"/>
      <c r="E270" s="206"/>
      <c r="F270" s="206"/>
      <c r="G270" s="207"/>
      <c r="H270" s="205"/>
      <c r="I270" s="208"/>
      <c r="J270" s="187"/>
      <c r="K270" s="204"/>
      <c r="L270" s="205"/>
      <c r="M270" s="206"/>
      <c r="N270" s="206"/>
      <c r="O270" s="206"/>
      <c r="P270" s="206"/>
      <c r="Q270" s="207"/>
      <c r="R270" s="205"/>
      <c r="S270" s="208"/>
    </row>
    <row r="271" spans="1:19">
      <c r="B271" s="186"/>
      <c r="C271" s="186"/>
      <c r="D271" s="186"/>
      <c r="E271" s="186"/>
      <c r="F271" s="186"/>
      <c r="G271" s="187"/>
      <c r="H271" s="187"/>
      <c r="I271" s="187"/>
      <c r="J271" s="187"/>
      <c r="L271" s="186"/>
      <c r="M271" s="186"/>
      <c r="N271" s="186"/>
      <c r="O271" s="186"/>
      <c r="P271" s="186"/>
      <c r="Q271" s="187"/>
      <c r="R271" s="187"/>
      <c r="S271" s="187"/>
    </row>
    <row r="272" spans="1:19">
      <c r="B272" s="186"/>
      <c r="C272" s="186"/>
      <c r="D272" s="186"/>
      <c r="E272" s="186"/>
      <c r="F272" s="186"/>
      <c r="G272" s="187"/>
      <c r="H272" s="187"/>
      <c r="I272" s="187"/>
      <c r="J272" s="187"/>
      <c r="L272" s="186"/>
      <c r="M272" s="186"/>
      <c r="N272" s="186"/>
      <c r="O272" s="186"/>
      <c r="P272" s="186"/>
      <c r="Q272" s="187"/>
      <c r="R272" s="187"/>
      <c r="S272" s="187"/>
    </row>
    <row r="273" spans="1:19">
      <c r="B273" s="186"/>
      <c r="C273" s="186"/>
      <c r="D273" s="186"/>
      <c r="E273" s="186"/>
      <c r="F273" s="186"/>
      <c r="G273" s="187"/>
      <c r="H273" s="187"/>
      <c r="I273" s="187"/>
      <c r="J273" s="187"/>
      <c r="L273" s="186"/>
      <c r="M273" s="186"/>
      <c r="N273" s="186"/>
      <c r="O273" s="186"/>
      <c r="P273" s="186"/>
      <c r="Q273" s="187"/>
      <c r="R273" s="187"/>
      <c r="S273" s="187"/>
    </row>
    <row r="274" spans="1:19">
      <c r="B274" s="186"/>
      <c r="C274" s="186"/>
      <c r="D274" s="186"/>
      <c r="E274" s="186"/>
      <c r="F274" s="186"/>
      <c r="G274" s="187"/>
      <c r="H274" s="187"/>
      <c r="I274" s="187"/>
      <c r="J274" s="187"/>
      <c r="L274" s="186"/>
      <c r="M274" s="186"/>
      <c r="N274" s="186"/>
      <c r="O274" s="186"/>
      <c r="P274" s="186"/>
      <c r="Q274" s="187"/>
      <c r="R274" s="187"/>
      <c r="S274" s="187"/>
    </row>
    <row r="275" spans="1:19">
      <c r="B275" s="186"/>
      <c r="C275" s="186"/>
      <c r="D275" s="186"/>
      <c r="E275" s="186"/>
      <c r="F275" s="186"/>
      <c r="G275" s="187"/>
      <c r="H275" s="187"/>
      <c r="I275" s="187"/>
      <c r="J275" s="187"/>
      <c r="L275" s="186"/>
      <c r="M275" s="186"/>
      <c r="N275" s="186"/>
      <c r="O275" s="186"/>
      <c r="P275" s="186"/>
      <c r="Q275" s="187"/>
      <c r="R275" s="187"/>
      <c r="S275" s="187"/>
    </row>
    <row r="276" spans="1:19">
      <c r="A276" s="166"/>
      <c r="B276" s="167"/>
      <c r="C276" s="167"/>
      <c r="D276" s="167"/>
      <c r="E276" s="167"/>
      <c r="F276" s="167"/>
      <c r="G276" s="167"/>
      <c r="H276" s="167"/>
      <c r="I276" s="168"/>
      <c r="J276" s="169"/>
      <c r="K276" s="166"/>
      <c r="L276" s="167"/>
      <c r="M276" s="167"/>
      <c r="N276" s="167"/>
      <c r="O276" s="167"/>
      <c r="P276" s="167"/>
      <c r="Q276" s="167"/>
      <c r="R276" s="167"/>
      <c r="S276" s="168"/>
    </row>
    <row r="277" spans="1:19">
      <c r="A277" s="170"/>
      <c r="B277" s="169"/>
      <c r="C277" s="169"/>
      <c r="D277" s="169"/>
      <c r="E277" s="169"/>
      <c r="F277" s="169"/>
      <c r="G277" s="169"/>
      <c r="H277" s="169"/>
      <c r="I277" s="171"/>
      <c r="J277" s="169"/>
      <c r="K277" s="170"/>
      <c r="L277" s="169"/>
      <c r="M277" s="169"/>
      <c r="N277" s="169"/>
      <c r="O277" s="169"/>
      <c r="P277" s="169"/>
      <c r="Q277" s="169"/>
      <c r="R277" s="169"/>
      <c r="S277" s="171"/>
    </row>
    <row r="278" spans="1:19">
      <c r="A278" s="170"/>
      <c r="B278" s="169"/>
      <c r="C278" s="169"/>
      <c r="D278" s="169"/>
      <c r="E278" s="169"/>
      <c r="F278" s="169"/>
      <c r="G278" s="169"/>
      <c r="H278" s="169"/>
      <c r="I278" s="171"/>
      <c r="J278" s="169"/>
      <c r="K278" s="170"/>
      <c r="L278" s="169"/>
      <c r="M278" s="169"/>
      <c r="N278" s="169"/>
      <c r="O278" s="169"/>
      <c r="P278" s="169"/>
      <c r="Q278" s="169"/>
      <c r="R278" s="169"/>
      <c r="S278" s="171"/>
    </row>
    <row r="279" spans="1:19">
      <c r="A279" s="170"/>
      <c r="B279" s="169"/>
      <c r="C279" s="169"/>
      <c r="D279" s="169"/>
      <c r="E279" s="169"/>
      <c r="F279" s="169"/>
      <c r="G279" s="169"/>
      <c r="H279" s="169"/>
      <c r="I279" s="171"/>
      <c r="J279" s="169"/>
      <c r="K279" s="170"/>
      <c r="L279" s="169"/>
      <c r="M279" s="169"/>
      <c r="N279" s="169"/>
      <c r="O279" s="169"/>
      <c r="P279" s="169"/>
      <c r="Q279" s="169"/>
      <c r="R279" s="169"/>
      <c r="S279" s="171"/>
    </row>
    <row r="280" spans="1:19">
      <c r="A280" s="170"/>
      <c r="B280" s="294" t="s">
        <v>196</v>
      </c>
      <c r="C280" s="294"/>
      <c r="D280" s="294"/>
      <c r="E280" s="294"/>
      <c r="F280" s="294"/>
      <c r="G280" s="294"/>
      <c r="H280" s="294"/>
      <c r="I280" s="295"/>
      <c r="J280" s="169"/>
      <c r="K280" s="170"/>
      <c r="L280" s="294" t="s">
        <v>196</v>
      </c>
      <c r="M280" s="294"/>
      <c r="N280" s="294"/>
      <c r="O280" s="294"/>
      <c r="P280" s="294"/>
      <c r="Q280" s="294"/>
      <c r="R280" s="294"/>
      <c r="S280" s="295"/>
    </row>
    <row r="281" spans="1:19">
      <c r="A281" s="172"/>
      <c r="B281" s="173" t="s">
        <v>197</v>
      </c>
      <c r="C281" s="174" t="s">
        <v>198</v>
      </c>
      <c r="D281" s="175">
        <f>'[2]G-STAFF'!A24</f>
        <v>17</v>
      </c>
      <c r="E281" s="173"/>
      <c r="F281" s="173"/>
      <c r="G281" s="173"/>
      <c r="H281" s="173"/>
      <c r="I281" s="176"/>
      <c r="J281" s="173"/>
      <c r="K281" s="172"/>
      <c r="L281" s="173" t="s">
        <v>197</v>
      </c>
      <c r="M281" s="174" t="s">
        <v>198</v>
      </c>
      <c r="N281" s="175">
        <f>'[2]G-STAFF'!A25</f>
        <v>18</v>
      </c>
      <c r="O281" s="175"/>
      <c r="P281" s="173"/>
      <c r="Q281" s="173"/>
      <c r="R281" s="173"/>
      <c r="S281" s="176"/>
    </row>
    <row r="282" spans="1:19">
      <c r="A282" s="172"/>
      <c r="B282" s="173" t="s">
        <v>199</v>
      </c>
      <c r="C282" s="174" t="s">
        <v>198</v>
      </c>
      <c r="D282" s="177" t="str">
        <f>'[2]G-STAFF'!A3</f>
        <v>01 JANUARI  S/D  31 JANUARI  2025</v>
      </c>
      <c r="E282" s="173"/>
      <c r="F282" s="173"/>
      <c r="G282" s="173"/>
      <c r="H282" s="173"/>
      <c r="I282" s="176"/>
      <c r="J282" s="173"/>
      <c r="K282" s="172"/>
      <c r="L282" s="173" t="s">
        <v>199</v>
      </c>
      <c r="M282" s="174" t="s">
        <v>198</v>
      </c>
      <c r="N282" s="177" t="str">
        <f>'[2]G-STAFF'!A3</f>
        <v>01 JANUARI  S/D  31 JANUARI  2025</v>
      </c>
      <c r="O282" s="179"/>
      <c r="P282" s="173"/>
      <c r="Q282" s="173"/>
      <c r="R282" s="173"/>
      <c r="S282" s="176"/>
    </row>
    <row r="283" spans="1:19">
      <c r="A283" s="172"/>
      <c r="B283" s="173" t="s">
        <v>200</v>
      </c>
      <c r="C283" s="174" t="s">
        <v>198</v>
      </c>
      <c r="D283" s="177" t="str">
        <f>'[2]G-STAFF'!B24</f>
        <v>VIRYA ADELIA SAVITRI</v>
      </c>
      <c r="E283" s="173"/>
      <c r="F283" s="173"/>
      <c r="G283" s="173"/>
      <c r="H283" s="173"/>
      <c r="I283" s="176"/>
      <c r="J283" s="173"/>
      <c r="K283" s="172"/>
      <c r="L283" s="173" t="s">
        <v>200</v>
      </c>
      <c r="M283" s="174" t="s">
        <v>198</v>
      </c>
      <c r="N283" s="178" t="str">
        <f>'[2]G-STAFF'!B25</f>
        <v>ZASKIA EVA</v>
      </c>
      <c r="O283" s="173"/>
      <c r="P283" s="173"/>
      <c r="Q283" s="173"/>
      <c r="R283" s="173"/>
      <c r="S283" s="176"/>
    </row>
    <row r="284" spans="1:19" ht="15.75" thickBot="1">
      <c r="A284" s="172"/>
      <c r="B284" s="173" t="s">
        <v>201</v>
      </c>
      <c r="C284" s="174" t="s">
        <v>198</v>
      </c>
      <c r="D284" s="177" t="str">
        <f>'[2]G-STAFF'!H24</f>
        <v>ADM FAKTUR</v>
      </c>
      <c r="E284" s="173"/>
      <c r="F284" s="173"/>
      <c r="G284" s="173"/>
      <c r="H284" s="173"/>
      <c r="I284" s="176"/>
      <c r="J284" s="173"/>
      <c r="K284" s="172"/>
      <c r="L284" s="173" t="s">
        <v>201</v>
      </c>
      <c r="M284" s="174" t="s">
        <v>198</v>
      </c>
      <c r="N284" s="178" t="str">
        <f>'[2]G-STAFF'!H25</f>
        <v>PPIC/MARKETING</v>
      </c>
      <c r="O284" s="179"/>
      <c r="P284" s="173"/>
      <c r="Q284" s="173"/>
      <c r="R284" s="173"/>
      <c r="S284" s="176"/>
    </row>
    <row r="285" spans="1:19" ht="15.75" thickTop="1">
      <c r="A285" s="170"/>
      <c r="B285" s="182"/>
      <c r="C285" s="182"/>
      <c r="D285" s="182"/>
      <c r="E285" s="182"/>
      <c r="F285" s="182"/>
      <c r="G285" s="182"/>
      <c r="H285" s="182"/>
      <c r="I285" s="183"/>
      <c r="J285" s="169"/>
      <c r="K285" s="170"/>
      <c r="L285" s="182"/>
      <c r="M285" s="182"/>
      <c r="N285" s="182"/>
      <c r="O285" s="182"/>
      <c r="P285" s="182"/>
      <c r="Q285" s="182"/>
      <c r="R285" s="182"/>
      <c r="S285" s="183"/>
    </row>
    <row r="286" spans="1:19">
      <c r="A286" s="170"/>
      <c r="B286" s="184" t="s">
        <v>202</v>
      </c>
      <c r="C286" s="185"/>
      <c r="D286" s="185"/>
      <c r="E286" s="185"/>
      <c r="F286" s="185"/>
      <c r="G286" s="185"/>
      <c r="H286" s="185"/>
      <c r="I286" s="183"/>
      <c r="J286" s="169"/>
      <c r="K286" s="170"/>
      <c r="L286" s="184" t="s">
        <v>202</v>
      </c>
      <c r="M286" s="184"/>
      <c r="N286" s="185"/>
      <c r="O286" s="185"/>
      <c r="P286" s="185"/>
      <c r="Q286" s="185"/>
      <c r="R286" s="185"/>
      <c r="S286" s="183"/>
    </row>
    <row r="287" spans="1:19">
      <c r="A287" s="170"/>
      <c r="B287" s="186" t="s">
        <v>111</v>
      </c>
      <c r="C287" s="186"/>
      <c r="D287" s="186"/>
      <c r="E287" s="186"/>
      <c r="F287" s="186"/>
      <c r="G287" s="187"/>
      <c r="H287" s="187">
        <f>+STAFF!G25</f>
        <v>4877211</v>
      </c>
      <c r="I287" s="188"/>
      <c r="J287" s="187"/>
      <c r="K287" s="170"/>
      <c r="L287" s="186" t="s">
        <v>111</v>
      </c>
      <c r="M287" s="186"/>
      <c r="N287" s="186"/>
      <c r="O287" s="186"/>
      <c r="P287" s="186"/>
      <c r="Q287" s="187"/>
      <c r="R287" s="187">
        <f>+STAFF!G26</f>
        <v>4877211</v>
      </c>
      <c r="S287" s="188"/>
    </row>
    <row r="288" spans="1:19">
      <c r="A288" s="170"/>
      <c r="B288" s="186" t="s">
        <v>203</v>
      </c>
      <c r="C288" s="186"/>
      <c r="D288" s="186"/>
      <c r="E288" s="186"/>
      <c r="F288" s="186"/>
      <c r="G288" s="187"/>
      <c r="H288" s="187">
        <f>+STAFF!I25</f>
        <v>200000</v>
      </c>
      <c r="I288" s="188"/>
      <c r="J288" s="209"/>
      <c r="K288" s="170"/>
      <c r="L288" s="186" t="s">
        <v>203</v>
      </c>
      <c r="M288" s="186"/>
      <c r="N288" s="186"/>
      <c r="O288" s="186"/>
      <c r="P288" s="186"/>
      <c r="Q288" s="187"/>
      <c r="R288" s="187">
        <f>+STAFF!I26</f>
        <v>200000</v>
      </c>
      <c r="S288" s="188"/>
    </row>
    <row r="289" spans="1:19">
      <c r="A289" s="170"/>
      <c r="B289" s="186" t="s">
        <v>224</v>
      </c>
      <c r="C289" s="186"/>
      <c r="D289" s="186"/>
      <c r="E289" s="186"/>
      <c r="F289" s="186"/>
      <c r="G289" s="187"/>
      <c r="H289" s="187">
        <f>+STAFF!S25</f>
        <v>456215.69090000005</v>
      </c>
      <c r="I289" s="188"/>
      <c r="J289" s="209"/>
      <c r="K289" s="170"/>
      <c r="L289" s="186" t="s">
        <v>224</v>
      </c>
      <c r="M289" s="186"/>
      <c r="N289" s="186"/>
      <c r="O289" s="186"/>
      <c r="P289" s="186"/>
      <c r="Q289" s="187"/>
      <c r="R289" s="187">
        <f>+STAFF!S26</f>
        <v>456215.69090000005</v>
      </c>
      <c r="S289" s="188"/>
    </row>
    <row r="290" spans="1:19">
      <c r="A290" s="170"/>
      <c r="B290" s="186" t="s">
        <v>195</v>
      </c>
      <c r="C290" s="186"/>
      <c r="D290" s="187">
        <v>0</v>
      </c>
      <c r="E290" s="186" t="s">
        <v>204</v>
      </c>
      <c r="F290" s="186" t="s">
        <v>205</v>
      </c>
      <c r="G290" s="187">
        <v>0</v>
      </c>
      <c r="H290" s="187">
        <f>G290*D290</f>
        <v>0</v>
      </c>
      <c r="I290" s="188"/>
      <c r="J290" s="187"/>
      <c r="K290" s="170"/>
      <c r="L290" s="186" t="s">
        <v>195</v>
      </c>
      <c r="M290" s="186"/>
      <c r="N290" s="187">
        <v>0</v>
      </c>
      <c r="O290" s="186" t="s">
        <v>204</v>
      </c>
      <c r="P290" s="186" t="s">
        <v>205</v>
      </c>
      <c r="Q290" s="187">
        <v>0</v>
      </c>
      <c r="R290" s="187">
        <f>Q290*N290</f>
        <v>0</v>
      </c>
      <c r="S290" s="188"/>
    </row>
    <row r="291" spans="1:19">
      <c r="A291" s="170"/>
      <c r="B291" s="186" t="s">
        <v>206</v>
      </c>
      <c r="C291" s="186"/>
      <c r="D291" s="189">
        <v>0</v>
      </c>
      <c r="E291" s="186" t="s">
        <v>207</v>
      </c>
      <c r="F291" s="186" t="s">
        <v>205</v>
      </c>
      <c r="G291" s="187">
        <v>0</v>
      </c>
      <c r="H291" s="187">
        <f>G291*D291</f>
        <v>0</v>
      </c>
      <c r="I291" s="188"/>
      <c r="J291" s="209"/>
      <c r="K291" s="170"/>
      <c r="L291" s="186" t="s">
        <v>206</v>
      </c>
      <c r="M291" s="186"/>
      <c r="N291" s="189">
        <v>0</v>
      </c>
      <c r="O291" s="186" t="s">
        <v>207</v>
      </c>
      <c r="P291" s="186" t="s">
        <v>205</v>
      </c>
      <c r="Q291" s="187">
        <v>0</v>
      </c>
      <c r="R291" s="187">
        <f>Q291*N291</f>
        <v>0</v>
      </c>
      <c r="S291" s="188"/>
    </row>
    <row r="292" spans="1:19" ht="15.75" thickBot="1">
      <c r="A292" s="170"/>
      <c r="B292" s="190" t="s">
        <v>208</v>
      </c>
      <c r="C292" s="190"/>
      <c r="D292" s="191">
        <v>0</v>
      </c>
      <c r="E292" s="190" t="s">
        <v>207</v>
      </c>
      <c r="F292" s="190" t="s">
        <v>205</v>
      </c>
      <c r="G292" s="192">
        <f>G291</f>
        <v>0</v>
      </c>
      <c r="H292" s="192">
        <f>G292*D292</f>
        <v>0</v>
      </c>
      <c r="I292" s="188"/>
      <c r="J292" s="187"/>
      <c r="K292" s="170"/>
      <c r="L292" s="190" t="s">
        <v>208</v>
      </c>
      <c r="M292" s="190"/>
      <c r="N292" s="191">
        <v>0</v>
      </c>
      <c r="O292" s="190" t="s">
        <v>207</v>
      </c>
      <c r="P292" s="190" t="s">
        <v>205</v>
      </c>
      <c r="Q292" s="192">
        <f>Q291</f>
        <v>0</v>
      </c>
      <c r="R292" s="192">
        <f>Q292*N292</f>
        <v>0</v>
      </c>
      <c r="S292" s="188"/>
    </row>
    <row r="293" spans="1:19" ht="15.75" thickBot="1">
      <c r="A293" s="170"/>
      <c r="B293" s="190" t="s">
        <v>110</v>
      </c>
      <c r="C293" s="190"/>
      <c r="D293" s="191">
        <f>SUM(D290:D292)</f>
        <v>0</v>
      </c>
      <c r="E293" s="190"/>
      <c r="F293" s="190"/>
      <c r="G293" s="192"/>
      <c r="H293" s="192">
        <f>SUM(H287:H292)</f>
        <v>5533426.6908999998</v>
      </c>
      <c r="I293" s="188"/>
      <c r="J293" s="187"/>
      <c r="K293" s="170"/>
      <c r="L293" s="190" t="s">
        <v>110</v>
      </c>
      <c r="M293" s="190"/>
      <c r="N293" s="191">
        <f>SUM(N290:N292)</f>
        <v>0</v>
      </c>
      <c r="O293" s="190"/>
      <c r="P293" s="190"/>
      <c r="Q293" s="192"/>
      <c r="R293" s="192">
        <f>SUM(R287:R292)</f>
        <v>5533426.6908999998</v>
      </c>
      <c r="S293" s="188"/>
    </row>
    <row r="294" spans="1:19">
      <c r="A294" s="170"/>
      <c r="B294" s="186"/>
      <c r="C294" s="186"/>
      <c r="D294" s="189"/>
      <c r="E294" s="186"/>
      <c r="F294" s="186"/>
      <c r="G294" s="187"/>
      <c r="H294" s="187"/>
      <c r="I294" s="188"/>
      <c r="J294" s="187"/>
      <c r="K294" s="170"/>
      <c r="L294" s="186"/>
      <c r="M294" s="186"/>
      <c r="N294" s="189"/>
      <c r="O294" s="186"/>
      <c r="P294" s="186"/>
      <c r="Q294" s="187"/>
      <c r="R294" s="187"/>
      <c r="S294" s="188"/>
    </row>
    <row r="295" spans="1:19">
      <c r="A295" s="170"/>
      <c r="B295" s="196" t="s">
        <v>113</v>
      </c>
      <c r="C295" s="186"/>
      <c r="D295" s="186"/>
      <c r="E295" s="186"/>
      <c r="F295" s="186"/>
      <c r="G295" s="187"/>
      <c r="H295" s="187"/>
      <c r="I295" s="188"/>
      <c r="J295" s="209"/>
      <c r="K295" s="170"/>
      <c r="L295" s="196" t="s">
        <v>113</v>
      </c>
      <c r="M295" s="186"/>
      <c r="N295" s="186"/>
      <c r="O295" s="186"/>
      <c r="P295" s="186"/>
      <c r="Q295" s="187"/>
      <c r="R295" s="187"/>
      <c r="S295" s="188"/>
    </row>
    <row r="296" spans="1:19">
      <c r="A296" s="170"/>
      <c r="B296" s="186" t="s">
        <v>209</v>
      </c>
      <c r="C296" s="186"/>
      <c r="D296" s="197"/>
      <c r="E296" s="186"/>
      <c r="F296" s="186"/>
      <c r="G296" s="198" t="str">
        <f>'[2]G-STAFF'!C24</f>
        <v>TK</v>
      </c>
      <c r="H296" s="187">
        <f>+STAFF!Z25</f>
        <v>0</v>
      </c>
      <c r="I296" s="188"/>
      <c r="J296" s="209"/>
      <c r="K296" s="170"/>
      <c r="L296" s="186" t="s">
        <v>209</v>
      </c>
      <c r="M296" s="186"/>
      <c r="N296" s="198"/>
      <c r="O296" s="186"/>
      <c r="P296" s="186"/>
      <c r="Q296" s="198" t="str">
        <f>'[2]G-STAFF'!C25</f>
        <v>TK</v>
      </c>
      <c r="R296" s="187">
        <f>+STAFF!Z26</f>
        <v>0</v>
      </c>
      <c r="S296" s="188"/>
    </row>
    <row r="297" spans="1:19">
      <c r="A297" s="170"/>
      <c r="B297" s="186" t="s">
        <v>225</v>
      </c>
      <c r="C297" s="186"/>
      <c r="D297" s="197"/>
      <c r="E297" s="186"/>
      <c r="F297" s="186"/>
      <c r="G297" s="198"/>
      <c r="H297" s="187">
        <f>+STAFF!W25+STAFF!X25</f>
        <v>50772.11</v>
      </c>
      <c r="I297" s="188"/>
      <c r="J297" s="209"/>
      <c r="K297" s="170"/>
      <c r="L297" s="186" t="s">
        <v>225</v>
      </c>
      <c r="M297" s="186"/>
      <c r="N297" s="198"/>
      <c r="O297" s="186"/>
      <c r="P297" s="186"/>
      <c r="Q297" s="198"/>
      <c r="R297" s="187">
        <f>+STAFF!W26+STAFF!X26</f>
        <v>50772.11</v>
      </c>
      <c r="S297" s="188"/>
    </row>
    <row r="298" spans="1:19">
      <c r="A298" s="170"/>
      <c r="B298" s="186" t="s">
        <v>226</v>
      </c>
      <c r="C298" s="186"/>
      <c r="D298" s="197"/>
      <c r="E298" s="186"/>
      <c r="F298" s="186"/>
      <c r="G298" s="198"/>
      <c r="H298" s="187">
        <f>+STAFF!U25+STAFF!V25</f>
        <v>146316.33000000002</v>
      </c>
      <c r="I298" s="188"/>
      <c r="J298" s="209"/>
      <c r="K298" s="170"/>
      <c r="L298" s="186" t="s">
        <v>226</v>
      </c>
      <c r="M298" s="186"/>
      <c r="N298" s="198"/>
      <c r="O298" s="186"/>
      <c r="P298" s="186"/>
      <c r="Q298" s="198"/>
      <c r="R298" s="187">
        <f>+STAFF!U26+STAFF!V26</f>
        <v>146316.33000000002</v>
      </c>
      <c r="S298" s="188"/>
    </row>
    <row r="299" spans="1:19">
      <c r="A299" s="170"/>
      <c r="B299" s="186" t="s">
        <v>103</v>
      </c>
      <c r="C299" s="186"/>
      <c r="D299" s="186"/>
      <c r="E299" s="186"/>
      <c r="F299" s="186"/>
      <c r="G299" s="187"/>
      <c r="H299" s="187">
        <f>+H289</f>
        <v>456215.69090000005</v>
      </c>
      <c r="I299" s="188"/>
      <c r="J299" s="209"/>
      <c r="K299" s="170"/>
      <c r="L299" s="186" t="s">
        <v>103</v>
      </c>
      <c r="M299" s="186"/>
      <c r="N299" s="186"/>
      <c r="O299" s="186"/>
      <c r="P299" s="186"/>
      <c r="Q299" s="187"/>
      <c r="R299" s="187">
        <f>+R289</f>
        <v>456215.69090000005</v>
      </c>
      <c r="S299" s="188"/>
    </row>
    <row r="300" spans="1:19" ht="15.75" thickBot="1">
      <c r="A300" s="170"/>
      <c r="B300" s="199" t="s">
        <v>211</v>
      </c>
      <c r="C300" s="190"/>
      <c r="D300" s="190"/>
      <c r="E300" s="190"/>
      <c r="F300" s="190"/>
      <c r="G300" s="192"/>
      <c r="H300" s="192">
        <f>SUM(H296:H299)</f>
        <v>653304.13089999999</v>
      </c>
      <c r="I300" s="188"/>
      <c r="J300" s="187"/>
      <c r="K300" s="170"/>
      <c r="L300" s="199" t="s">
        <v>211</v>
      </c>
      <c r="M300" s="190"/>
      <c r="N300" s="190"/>
      <c r="O300" s="190"/>
      <c r="P300" s="190"/>
      <c r="Q300" s="192"/>
      <c r="R300" s="192">
        <f>SUM(R296:R299)</f>
        <v>653304.13089999999</v>
      </c>
      <c r="S300" s="188"/>
    </row>
    <row r="301" spans="1:19" ht="15.75" thickBot="1">
      <c r="A301" s="170"/>
      <c r="B301" s="200" t="s">
        <v>212</v>
      </c>
      <c r="C301" s="200"/>
      <c r="D301" s="200"/>
      <c r="E301" s="200"/>
      <c r="F301" s="200"/>
      <c r="G301" s="201"/>
      <c r="H301" s="201">
        <f>SUM(H293-H300)</f>
        <v>4880122.5599999996</v>
      </c>
      <c r="I301" s="188"/>
      <c r="J301" s="187"/>
      <c r="K301" s="170"/>
      <c r="L301" s="200" t="s">
        <v>212</v>
      </c>
      <c r="M301" s="200"/>
      <c r="N301" s="200"/>
      <c r="O301" s="200"/>
      <c r="P301" s="200"/>
      <c r="Q301" s="201"/>
      <c r="R301" s="201">
        <f>SUM(R293-R300)</f>
        <v>4880122.5599999996</v>
      </c>
      <c r="S301" s="188"/>
    </row>
    <row r="302" spans="1:19" ht="15.75" thickTop="1">
      <c r="A302" s="170"/>
      <c r="B302" s="202" t="s">
        <v>213</v>
      </c>
      <c r="C302" s="186"/>
      <c r="D302" s="186"/>
      <c r="E302" s="186"/>
      <c r="F302" s="186"/>
      <c r="G302" s="296" t="s">
        <v>214</v>
      </c>
      <c r="H302" s="296"/>
      <c r="I302" s="188"/>
      <c r="J302" s="187"/>
      <c r="K302" s="170"/>
      <c r="L302" s="202" t="s">
        <v>213</v>
      </c>
      <c r="M302" s="186"/>
      <c r="N302" s="186"/>
      <c r="O302" s="186"/>
      <c r="P302" s="186"/>
      <c r="Q302" s="296" t="s">
        <v>214</v>
      </c>
      <c r="R302" s="296"/>
      <c r="S302" s="188"/>
    </row>
    <row r="303" spans="1:19">
      <c r="A303" s="170"/>
      <c r="B303" s="186"/>
      <c r="C303" s="186"/>
      <c r="D303" s="186"/>
      <c r="E303" s="186"/>
      <c r="F303" s="186"/>
      <c r="G303" s="187"/>
      <c r="H303" s="187"/>
      <c r="I303" s="188"/>
      <c r="J303" s="187"/>
      <c r="K303" s="170"/>
      <c r="L303" s="186"/>
      <c r="M303" s="186"/>
      <c r="N303" s="186"/>
      <c r="O303" s="186"/>
      <c r="P303" s="186"/>
      <c r="Q303" s="187"/>
      <c r="R303" s="187"/>
      <c r="S303" s="188"/>
    </row>
    <row r="304" spans="1:19">
      <c r="A304" s="170"/>
      <c r="B304" s="186"/>
      <c r="C304" s="186"/>
      <c r="D304" s="186"/>
      <c r="E304" s="186"/>
      <c r="F304" s="186"/>
      <c r="G304" s="187"/>
      <c r="H304" s="187"/>
      <c r="I304" s="188"/>
      <c r="J304" s="187"/>
      <c r="K304" s="170"/>
      <c r="L304" s="186"/>
      <c r="M304" s="186"/>
      <c r="N304" s="186"/>
      <c r="O304" s="186"/>
      <c r="P304" s="186"/>
      <c r="Q304" s="187"/>
      <c r="R304" s="187"/>
      <c r="S304" s="188"/>
    </row>
    <row r="305" spans="1:19">
      <c r="A305" s="170"/>
      <c r="B305" s="203" t="s">
        <v>215</v>
      </c>
      <c r="C305" s="186"/>
      <c r="D305" s="186"/>
      <c r="E305" s="186"/>
      <c r="F305" s="186"/>
      <c r="G305" s="297" t="s">
        <v>216</v>
      </c>
      <c r="H305" s="297"/>
      <c r="I305" s="188"/>
      <c r="J305" s="187"/>
      <c r="K305" s="170"/>
      <c r="L305" s="203" t="s">
        <v>215</v>
      </c>
      <c r="M305" s="186"/>
      <c r="N305" s="186"/>
      <c r="O305" s="186"/>
      <c r="P305" s="186"/>
      <c r="Q305" s="297" t="s">
        <v>216</v>
      </c>
      <c r="R305" s="297"/>
      <c r="S305" s="188"/>
    </row>
    <row r="306" spans="1:19">
      <c r="A306" s="204"/>
      <c r="B306" s="205"/>
      <c r="C306" s="206"/>
      <c r="D306" s="206"/>
      <c r="E306" s="206"/>
      <c r="F306" s="206"/>
      <c r="G306" s="207"/>
      <c r="H306" s="205"/>
      <c r="I306" s="208"/>
      <c r="J306" s="187"/>
      <c r="K306" s="204"/>
      <c r="L306" s="205"/>
      <c r="M306" s="206"/>
      <c r="N306" s="206"/>
      <c r="O306" s="206"/>
      <c r="P306" s="206"/>
      <c r="Q306" s="207"/>
      <c r="R306" s="205"/>
      <c r="S306" s="208"/>
    </row>
    <row r="307" spans="1:19">
      <c r="A307" s="169"/>
      <c r="B307" s="186"/>
      <c r="C307" s="186"/>
      <c r="D307" s="186"/>
      <c r="E307" s="186"/>
      <c r="F307" s="186"/>
      <c r="G307" s="187"/>
      <c r="H307" s="186"/>
      <c r="I307" s="187"/>
      <c r="J307" s="187"/>
      <c r="K307" s="169"/>
      <c r="L307" s="186"/>
      <c r="M307" s="186"/>
      <c r="N307" s="186"/>
      <c r="O307" s="186"/>
      <c r="P307" s="186"/>
      <c r="Q307" s="187"/>
      <c r="R307" s="187"/>
      <c r="S307" s="187"/>
    </row>
    <row r="308" spans="1:19">
      <c r="A308" s="166"/>
      <c r="B308" s="167"/>
      <c r="C308" s="167"/>
      <c r="D308" s="167"/>
      <c r="E308" s="167"/>
      <c r="F308" s="167"/>
      <c r="G308" s="167"/>
      <c r="H308" s="167"/>
      <c r="I308" s="168"/>
      <c r="J308" s="169"/>
      <c r="K308" s="166"/>
      <c r="L308" s="167"/>
      <c r="M308" s="167"/>
      <c r="N308" s="167"/>
      <c r="O308" s="167"/>
      <c r="P308" s="167"/>
      <c r="Q308" s="167"/>
      <c r="R308" s="167"/>
      <c r="S308" s="168"/>
    </row>
    <row r="309" spans="1:19">
      <c r="A309" s="170"/>
      <c r="B309" s="169"/>
      <c r="C309" s="169"/>
      <c r="D309" s="169"/>
      <c r="E309" s="169"/>
      <c r="F309" s="169"/>
      <c r="G309" s="169"/>
      <c r="H309" s="169"/>
      <c r="I309" s="171"/>
      <c r="J309" s="169"/>
      <c r="K309" s="170"/>
      <c r="L309" s="169"/>
      <c r="M309" s="169"/>
      <c r="N309" s="169"/>
      <c r="O309" s="169"/>
      <c r="P309" s="169"/>
      <c r="Q309" s="169"/>
      <c r="R309" s="169"/>
      <c r="S309" s="171"/>
    </row>
    <row r="310" spans="1:19">
      <c r="A310" s="170"/>
      <c r="B310" s="169"/>
      <c r="C310" s="169"/>
      <c r="D310" s="169"/>
      <c r="E310" s="169"/>
      <c r="F310" s="169"/>
      <c r="G310" s="169"/>
      <c r="H310" s="169"/>
      <c r="I310" s="171"/>
      <c r="J310" s="169"/>
      <c r="K310" s="170"/>
      <c r="L310" s="169"/>
      <c r="M310" s="169"/>
      <c r="N310" s="169"/>
      <c r="O310" s="169"/>
      <c r="P310" s="169"/>
      <c r="Q310" s="169"/>
      <c r="R310" s="169"/>
      <c r="S310" s="171"/>
    </row>
    <row r="311" spans="1:19">
      <c r="A311" s="170"/>
      <c r="B311" s="169"/>
      <c r="C311" s="169"/>
      <c r="D311" s="169"/>
      <c r="E311" s="169"/>
      <c r="F311" s="169"/>
      <c r="G311" s="169"/>
      <c r="H311" s="169"/>
      <c r="I311" s="171"/>
      <c r="J311" s="169"/>
      <c r="K311" s="170"/>
      <c r="L311" s="169"/>
      <c r="M311" s="169"/>
      <c r="N311" s="169"/>
      <c r="O311" s="169"/>
      <c r="P311" s="169"/>
      <c r="Q311" s="169"/>
      <c r="R311" s="169"/>
      <c r="S311" s="171"/>
    </row>
    <row r="312" spans="1:19">
      <c r="A312" s="170"/>
      <c r="B312" s="294" t="s">
        <v>196</v>
      </c>
      <c r="C312" s="294"/>
      <c r="D312" s="294"/>
      <c r="E312" s="294"/>
      <c r="F312" s="294"/>
      <c r="G312" s="294"/>
      <c r="H312" s="294"/>
      <c r="I312" s="295"/>
      <c r="J312" s="169"/>
      <c r="K312" s="170"/>
      <c r="L312" s="294" t="s">
        <v>196</v>
      </c>
      <c r="M312" s="294"/>
      <c r="N312" s="294"/>
      <c r="O312" s="294"/>
      <c r="P312" s="294"/>
      <c r="Q312" s="294"/>
      <c r="R312" s="294"/>
      <c r="S312" s="295"/>
    </row>
    <row r="313" spans="1:19">
      <c r="A313" s="172"/>
      <c r="B313" s="173" t="s">
        <v>197</v>
      </c>
      <c r="C313" s="174" t="s">
        <v>198</v>
      </c>
      <c r="D313" s="211">
        <f>'[2]G-STAFF'!A35</f>
        <v>1</v>
      </c>
      <c r="E313" s="173"/>
      <c r="F313" s="173"/>
      <c r="G313" s="173"/>
      <c r="H313" s="173"/>
      <c r="I313" s="176"/>
      <c r="J313" s="173"/>
      <c r="K313" s="172"/>
      <c r="L313" s="173" t="s">
        <v>197</v>
      </c>
      <c r="M313" s="174" t="s">
        <v>198</v>
      </c>
      <c r="N313" s="211">
        <f>'[2]G-STAFF'!A36</f>
        <v>2</v>
      </c>
      <c r="O313" s="175"/>
      <c r="P313" s="173"/>
      <c r="Q313" s="173"/>
      <c r="R313" s="173"/>
      <c r="S313" s="176"/>
    </row>
    <row r="314" spans="1:19">
      <c r="A314" s="172"/>
      <c r="B314" s="173" t="s">
        <v>199</v>
      </c>
      <c r="C314" s="174" t="s">
        <v>198</v>
      </c>
      <c r="D314" s="177" t="str">
        <f>'[2]G-STAFF'!A3</f>
        <v>01 JANUARI  S/D  31 JANUARI  2025</v>
      </c>
      <c r="E314" s="173"/>
      <c r="F314" s="173"/>
      <c r="G314" s="173"/>
      <c r="H314" s="173"/>
      <c r="I314" s="176"/>
      <c r="J314" s="173"/>
      <c r="K314" s="172"/>
      <c r="L314" s="173" t="s">
        <v>199</v>
      </c>
      <c r="M314" s="174" t="s">
        <v>198</v>
      </c>
      <c r="N314" s="177" t="str">
        <f>'[2]G-STAFF'!A3</f>
        <v>01 JANUARI  S/D  31 JANUARI  2025</v>
      </c>
      <c r="O314" s="179"/>
      <c r="P314" s="173"/>
      <c r="Q314" s="173"/>
      <c r="R314" s="173"/>
      <c r="S314" s="176"/>
    </row>
    <row r="315" spans="1:19">
      <c r="A315" s="172"/>
      <c r="B315" s="173" t="s">
        <v>200</v>
      </c>
      <c r="C315" s="174" t="s">
        <v>198</v>
      </c>
      <c r="D315" s="177" t="str">
        <f>'[2]G-STAFF'!B35</f>
        <v>DEDE IRAWAN</v>
      </c>
      <c r="E315" s="173"/>
      <c r="F315" s="173"/>
      <c r="G315" s="173"/>
      <c r="H315" s="173"/>
      <c r="I315" s="176"/>
      <c r="J315" s="173"/>
      <c r="K315" s="172"/>
      <c r="L315" s="173" t="s">
        <v>200</v>
      </c>
      <c r="M315" s="174" t="s">
        <v>198</v>
      </c>
      <c r="N315" s="178" t="str">
        <f>'[2]G-STAFF'!B36</f>
        <v>DONI IMAM SAPUTRO</v>
      </c>
      <c r="O315" s="173"/>
      <c r="P315" s="173"/>
      <c r="Q315" s="173"/>
      <c r="R315" s="173"/>
      <c r="S315" s="176"/>
    </row>
    <row r="316" spans="1:19" ht="15.75" thickBot="1">
      <c r="A316" s="172"/>
      <c r="B316" s="173" t="s">
        <v>201</v>
      </c>
      <c r="C316" s="174" t="s">
        <v>198</v>
      </c>
      <c r="D316" s="177" t="str">
        <f>'[2]G-STAFF'!H35</f>
        <v>SECURITY</v>
      </c>
      <c r="E316" s="173"/>
      <c r="F316" s="173"/>
      <c r="G316" s="173"/>
      <c r="H316" s="173"/>
      <c r="I316" s="176"/>
      <c r="J316" s="173"/>
      <c r="K316" s="172"/>
      <c r="L316" s="173" t="s">
        <v>201</v>
      </c>
      <c r="M316" s="174" t="s">
        <v>198</v>
      </c>
      <c r="N316" s="178" t="str">
        <f>'[2]G-STAFF'!H36</f>
        <v>SECURITY</v>
      </c>
      <c r="O316" s="179"/>
      <c r="P316" s="173"/>
      <c r="Q316" s="173"/>
      <c r="R316" s="173"/>
      <c r="S316" s="176"/>
    </row>
    <row r="317" spans="1:19" ht="15.75" thickTop="1">
      <c r="A317" s="170"/>
      <c r="B317" s="182"/>
      <c r="C317" s="182"/>
      <c r="D317" s="182"/>
      <c r="E317" s="182"/>
      <c r="F317" s="182"/>
      <c r="G317" s="182"/>
      <c r="H317" s="182"/>
      <c r="I317" s="183"/>
      <c r="J317" s="169"/>
      <c r="K317" s="170"/>
      <c r="L317" s="182"/>
      <c r="M317" s="182"/>
      <c r="N317" s="182"/>
      <c r="O317" s="182"/>
      <c r="P317" s="182"/>
      <c r="Q317" s="182"/>
      <c r="R317" s="182"/>
      <c r="S317" s="183"/>
    </row>
    <row r="318" spans="1:19">
      <c r="A318" s="170"/>
      <c r="B318" s="184" t="s">
        <v>202</v>
      </c>
      <c r="C318" s="185"/>
      <c r="D318" s="185"/>
      <c r="E318" s="185"/>
      <c r="F318" s="185"/>
      <c r="G318" s="185"/>
      <c r="H318" s="185"/>
      <c r="I318" s="183"/>
      <c r="J318" s="169"/>
      <c r="K318" s="170"/>
      <c r="L318" s="184" t="s">
        <v>202</v>
      </c>
      <c r="M318" s="184"/>
      <c r="N318" s="185"/>
      <c r="O318" s="185"/>
      <c r="P318" s="185"/>
      <c r="Q318" s="185"/>
      <c r="R318" s="185"/>
      <c r="S318" s="183"/>
    </row>
    <row r="319" spans="1:19">
      <c r="A319" s="170"/>
      <c r="B319" s="186" t="s">
        <v>111</v>
      </c>
      <c r="C319" s="186"/>
      <c r="D319" s="186"/>
      <c r="E319" s="186"/>
      <c r="F319" s="186"/>
      <c r="G319" s="187"/>
      <c r="H319" s="187">
        <f>'[2]G-STAFF'!J35</f>
        <v>4813937</v>
      </c>
      <c r="I319" s="188"/>
      <c r="J319" s="187"/>
      <c r="K319" s="170"/>
      <c r="L319" s="186" t="s">
        <v>111</v>
      </c>
      <c r="M319" s="186"/>
      <c r="N319" s="186"/>
      <c r="O319" s="186"/>
      <c r="P319" s="186"/>
      <c r="Q319" s="187"/>
      <c r="R319" s="187">
        <f>'[2]G-STAFF'!J36</f>
        <v>3534310</v>
      </c>
      <c r="S319" s="188"/>
    </row>
    <row r="320" spans="1:19">
      <c r="A320" s="170"/>
      <c r="B320" s="186" t="s">
        <v>203</v>
      </c>
      <c r="C320" s="186"/>
      <c r="D320" s="186"/>
      <c r="E320" s="186"/>
      <c r="F320" s="186"/>
      <c r="G320" s="187"/>
      <c r="H320" s="187">
        <f>'[2]G-STAFF'!I35</f>
        <v>0</v>
      </c>
      <c r="I320" s="188"/>
      <c r="J320" s="209"/>
      <c r="K320" s="170"/>
      <c r="L320" s="186" t="s">
        <v>203</v>
      </c>
      <c r="M320" s="186"/>
      <c r="N320" s="186"/>
      <c r="O320" s="186"/>
      <c r="P320" s="186"/>
      <c r="Q320" s="187"/>
      <c r="R320" s="187">
        <f>'[2]G-STAFF'!I36</f>
        <v>0</v>
      </c>
      <c r="S320" s="188"/>
    </row>
    <row r="321" spans="1:19">
      <c r="A321" s="170"/>
      <c r="B321" s="186" t="s">
        <v>195</v>
      </c>
      <c r="C321" s="186"/>
      <c r="D321" s="187">
        <f>'[2]G-STAFF'!Z35</f>
        <v>31</v>
      </c>
      <c r="E321" s="186" t="s">
        <v>204</v>
      </c>
      <c r="F321" s="186" t="s">
        <v>205</v>
      </c>
      <c r="G321" s="187">
        <v>6000</v>
      </c>
      <c r="H321" s="187">
        <f>G321*D321</f>
        <v>186000</v>
      </c>
      <c r="I321" s="188"/>
      <c r="J321" s="187"/>
      <c r="K321" s="170"/>
      <c r="L321" s="186" t="s">
        <v>195</v>
      </c>
      <c r="M321" s="186"/>
      <c r="N321" s="187">
        <f>'[2]G-STAFF'!Z36</f>
        <v>31</v>
      </c>
      <c r="O321" s="186" t="s">
        <v>204</v>
      </c>
      <c r="P321" s="186" t="s">
        <v>205</v>
      </c>
      <c r="Q321" s="187">
        <v>6000</v>
      </c>
      <c r="R321" s="187">
        <f>Q321*N321</f>
        <v>186000</v>
      </c>
      <c r="S321" s="188"/>
    </row>
    <row r="322" spans="1:19">
      <c r="A322" s="170"/>
      <c r="B322" s="186" t="s">
        <v>217</v>
      </c>
      <c r="C322" s="186"/>
      <c r="D322" s="187">
        <f>'[2]G-STAFF'!V35</f>
        <v>0</v>
      </c>
      <c r="E322" s="186" t="s">
        <v>218</v>
      </c>
      <c r="F322" s="186" t="s">
        <v>205</v>
      </c>
      <c r="G322" s="187">
        <f>'[2]G-STAFF'!U35</f>
        <v>160464.56666666668</v>
      </c>
      <c r="H322" s="187">
        <f>G322*D322</f>
        <v>0</v>
      </c>
      <c r="I322" s="188"/>
      <c r="J322" s="209"/>
      <c r="K322" s="170"/>
      <c r="L322" s="186" t="s">
        <v>217</v>
      </c>
      <c r="M322" s="186"/>
      <c r="N322" s="187">
        <f>'[2]G-STAFF'!V36</f>
        <v>0</v>
      </c>
      <c r="O322" s="186" t="s">
        <v>218</v>
      </c>
      <c r="P322" s="186" t="s">
        <v>205</v>
      </c>
      <c r="Q322" s="187">
        <f>'[2]G-STAFF'!U36</f>
        <v>117810.33333333333</v>
      </c>
      <c r="R322" s="187">
        <f>Q322*N322</f>
        <v>0</v>
      </c>
      <c r="S322" s="188"/>
    </row>
    <row r="323" spans="1:19">
      <c r="A323" s="170"/>
      <c r="B323" s="186" t="s">
        <v>206</v>
      </c>
      <c r="C323" s="186"/>
      <c r="D323" s="212">
        <f>'[2]G-STAFF'!CH35</f>
        <v>0</v>
      </c>
      <c r="E323" s="186" t="s">
        <v>207</v>
      </c>
      <c r="F323" s="186" t="s">
        <v>205</v>
      </c>
      <c r="G323" s="187">
        <f>'[2]G-STAFF'!M35</f>
        <v>27826.225433526011</v>
      </c>
      <c r="H323" s="187">
        <f>G323*D323</f>
        <v>0</v>
      </c>
      <c r="I323" s="188"/>
      <c r="J323" s="187"/>
      <c r="K323" s="170"/>
      <c r="L323" s="186" t="s">
        <v>206</v>
      </c>
      <c r="M323" s="186"/>
      <c r="N323" s="212">
        <f>'[2]G-STAFF'!CH36</f>
        <v>0</v>
      </c>
      <c r="O323" s="186" t="s">
        <v>207</v>
      </c>
      <c r="P323" s="186" t="s">
        <v>205</v>
      </c>
      <c r="Q323" s="187">
        <f>'[2]G-STAFF'!M36</f>
        <v>20429.537572254336</v>
      </c>
      <c r="R323" s="187">
        <f>Q323*N323</f>
        <v>0</v>
      </c>
      <c r="S323" s="188"/>
    </row>
    <row r="324" spans="1:19" ht="15.75" thickBot="1">
      <c r="A324" s="170"/>
      <c r="B324" s="190" t="s">
        <v>208</v>
      </c>
      <c r="C324" s="190"/>
      <c r="D324" s="213">
        <f>'[2]G-STAFF'!CG35</f>
        <v>0</v>
      </c>
      <c r="E324" s="190" t="s">
        <v>207</v>
      </c>
      <c r="F324" s="190" t="s">
        <v>205</v>
      </c>
      <c r="G324" s="192">
        <f>G323</f>
        <v>27826.225433526011</v>
      </c>
      <c r="H324" s="192">
        <f>G324*D324</f>
        <v>0</v>
      </c>
      <c r="I324" s="188"/>
      <c r="J324" s="187"/>
      <c r="K324" s="170"/>
      <c r="L324" s="190" t="s">
        <v>208</v>
      </c>
      <c r="M324" s="190"/>
      <c r="N324" s="213">
        <f>'[2]G-STAFF'!CG36</f>
        <v>0</v>
      </c>
      <c r="O324" s="190" t="s">
        <v>207</v>
      </c>
      <c r="P324" s="190" t="s">
        <v>205</v>
      </c>
      <c r="Q324" s="192">
        <f>Q323</f>
        <v>20429.537572254336</v>
      </c>
      <c r="R324" s="192">
        <f>Q324*N324</f>
        <v>0</v>
      </c>
      <c r="S324" s="188"/>
    </row>
    <row r="325" spans="1:19" ht="15.75" thickBot="1">
      <c r="A325" s="170"/>
      <c r="B325" s="190" t="s">
        <v>219</v>
      </c>
      <c r="C325" s="190"/>
      <c r="D325" s="213">
        <f>'[2]G-STAFF'!CI35</f>
        <v>0</v>
      </c>
      <c r="E325" s="190"/>
      <c r="F325" s="190"/>
      <c r="G325" s="192"/>
      <c r="H325" s="192">
        <f>SUM(H319:H324)</f>
        <v>4999937</v>
      </c>
      <c r="I325" s="188"/>
      <c r="J325" s="187"/>
      <c r="K325" s="170"/>
      <c r="L325" s="190" t="s">
        <v>219</v>
      </c>
      <c r="M325" s="190"/>
      <c r="N325" s="213">
        <f>'[2]G-STAFF'!CI36</f>
        <v>0</v>
      </c>
      <c r="O325" s="190"/>
      <c r="P325" s="190"/>
      <c r="Q325" s="192"/>
      <c r="R325" s="192">
        <f>SUM(R319:R324)</f>
        <v>3720310</v>
      </c>
      <c r="S325" s="188"/>
    </row>
    <row r="326" spans="1:19" ht="15.75" thickTop="1">
      <c r="A326" s="170"/>
      <c r="B326" s="182"/>
      <c r="C326" s="182"/>
      <c r="D326" s="182"/>
      <c r="E326" s="182"/>
      <c r="F326" s="182"/>
      <c r="G326" s="182"/>
      <c r="H326" s="182"/>
      <c r="I326" s="183"/>
      <c r="J326" s="169"/>
      <c r="K326" s="170"/>
      <c r="L326" s="182"/>
      <c r="M326" s="182"/>
      <c r="N326" s="182"/>
      <c r="O326" s="182"/>
      <c r="P326" s="182"/>
      <c r="Q326" s="182"/>
      <c r="R326" s="182"/>
      <c r="S326" s="183"/>
    </row>
    <row r="327" spans="1:19">
      <c r="A327" s="170"/>
      <c r="B327" s="196" t="s">
        <v>113</v>
      </c>
      <c r="C327" s="186"/>
      <c r="D327" s="186"/>
      <c r="E327" s="186"/>
      <c r="F327" s="186"/>
      <c r="G327" s="187"/>
      <c r="H327" s="187"/>
      <c r="I327" s="188"/>
      <c r="J327" s="209"/>
      <c r="K327" s="170"/>
      <c r="L327" s="196" t="s">
        <v>113</v>
      </c>
      <c r="M327" s="186"/>
      <c r="N327" s="186"/>
      <c r="O327" s="186"/>
      <c r="P327" s="186"/>
      <c r="Q327" s="187"/>
      <c r="R327" s="187"/>
      <c r="S327" s="188"/>
    </row>
    <row r="328" spans="1:19">
      <c r="A328" s="170"/>
      <c r="B328" s="186" t="s">
        <v>209</v>
      </c>
      <c r="C328" s="186"/>
      <c r="D328" s="197"/>
      <c r="E328" s="186"/>
      <c r="F328" s="186"/>
      <c r="G328" s="198" t="str">
        <f>'[2]G-STAFF'!C35</f>
        <v>K1</v>
      </c>
      <c r="H328" s="187">
        <f>'[2]G-STAFF'!Q35</f>
        <v>0</v>
      </c>
      <c r="I328" s="188"/>
      <c r="J328" s="209"/>
      <c r="K328" s="170"/>
      <c r="L328" s="186" t="s">
        <v>209</v>
      </c>
      <c r="M328" s="186"/>
      <c r="N328" s="198"/>
      <c r="O328" s="186"/>
      <c r="P328" s="186"/>
      <c r="Q328" s="198" t="str">
        <f>'[2]G-STAFF'!C36</f>
        <v>TK</v>
      </c>
      <c r="R328" s="187">
        <f>'[2]G-STAFF'!Q36</f>
        <v>0</v>
      </c>
      <c r="S328" s="188"/>
    </row>
    <row r="329" spans="1:19">
      <c r="A329" s="170"/>
      <c r="B329" s="186" t="s">
        <v>210</v>
      </c>
      <c r="C329" s="186"/>
      <c r="D329" s="186"/>
      <c r="E329" s="186"/>
      <c r="F329" s="186"/>
      <c r="G329" s="198"/>
      <c r="H329" s="187">
        <f>'[2]G-STAFF'!R35</f>
        <v>192557.48</v>
      </c>
      <c r="I329" s="188"/>
      <c r="J329" s="209"/>
      <c r="K329" s="170"/>
      <c r="L329" s="186" t="s">
        <v>210</v>
      </c>
      <c r="M329" s="186"/>
      <c r="N329" s="186"/>
      <c r="O329" s="186"/>
      <c r="P329" s="186"/>
      <c r="Q329" s="187"/>
      <c r="R329" s="187">
        <f>'[2]G-STAFF'!R36</f>
        <v>180808.48</v>
      </c>
      <c r="S329" s="188"/>
    </row>
    <row r="330" spans="1:19" ht="15.75" thickBot="1">
      <c r="A330" s="170"/>
      <c r="B330" s="190" t="s">
        <v>211</v>
      </c>
      <c r="C330" s="190"/>
      <c r="D330" s="190"/>
      <c r="E330" s="190"/>
      <c r="F330" s="190"/>
      <c r="G330" s="192"/>
      <c r="H330" s="192">
        <f>SUM(H328:H329)</f>
        <v>192557.48</v>
      </c>
      <c r="I330" s="188"/>
      <c r="J330" s="209"/>
      <c r="K330" s="170"/>
      <c r="L330" s="190" t="s">
        <v>211</v>
      </c>
      <c r="M330" s="190"/>
      <c r="N330" s="190"/>
      <c r="O330" s="190"/>
      <c r="P330" s="190"/>
      <c r="Q330" s="192"/>
      <c r="R330" s="192">
        <f>SUM(R328:R329)</f>
        <v>180808.48</v>
      </c>
      <c r="S330" s="188"/>
    </row>
    <row r="331" spans="1:19" ht="15.75" thickBot="1">
      <c r="A331" s="170"/>
      <c r="B331" s="193" t="s">
        <v>220</v>
      </c>
      <c r="C331" s="193"/>
      <c r="D331" s="193"/>
      <c r="E331" s="193"/>
      <c r="F331" s="193"/>
      <c r="G331" s="195"/>
      <c r="H331" s="195">
        <f>H325-H330</f>
        <v>4807379.5199999996</v>
      </c>
      <c r="I331" s="188"/>
      <c r="J331" s="209"/>
      <c r="K331" s="170"/>
      <c r="L331" s="193" t="s">
        <v>220</v>
      </c>
      <c r="M331" s="193"/>
      <c r="N331" s="193"/>
      <c r="O331" s="193"/>
      <c r="P331" s="193"/>
      <c r="Q331" s="195"/>
      <c r="R331" s="195">
        <f>SUM(R325-R330)</f>
        <v>3539501.52</v>
      </c>
      <c r="S331" s="188"/>
    </row>
    <row r="332" spans="1:19">
      <c r="A332" s="170"/>
      <c r="B332" s="186" t="s">
        <v>221</v>
      </c>
      <c r="C332" s="186"/>
      <c r="D332" s="186"/>
      <c r="E332" s="186"/>
      <c r="F332" s="186"/>
      <c r="G332" s="187"/>
      <c r="H332" s="187">
        <f>'[2]Urutan Nm'!H68</f>
        <v>10000</v>
      </c>
      <c r="I332" s="188"/>
      <c r="J332" s="209"/>
      <c r="K332" s="170"/>
      <c r="L332" s="186" t="s">
        <v>221</v>
      </c>
      <c r="M332" s="186"/>
      <c r="N332" s="186"/>
      <c r="O332" s="186"/>
      <c r="P332" s="186"/>
      <c r="Q332" s="187"/>
      <c r="R332" s="187">
        <f>'[2]Urutan Nm'!H69</f>
        <v>10000</v>
      </c>
      <c r="S332" s="188"/>
    </row>
    <row r="333" spans="1:19" ht="15.75" thickBot="1">
      <c r="A333" s="170"/>
      <c r="B333" s="199"/>
      <c r="C333" s="190"/>
      <c r="D333" s="190"/>
      <c r="E333" s="190"/>
      <c r="F333" s="190"/>
      <c r="G333" s="192"/>
      <c r="H333" s="192"/>
      <c r="I333" s="188"/>
      <c r="J333" s="187"/>
      <c r="K333" s="170"/>
      <c r="L333" s="199"/>
      <c r="M333" s="190"/>
      <c r="N333" s="190"/>
      <c r="O333" s="190"/>
      <c r="P333" s="190"/>
      <c r="Q333" s="192"/>
      <c r="R333" s="192"/>
      <c r="S333" s="188"/>
    </row>
    <row r="334" spans="1:19" ht="15.75" thickBot="1">
      <c r="A334" s="170"/>
      <c r="B334" s="200" t="s">
        <v>212</v>
      </c>
      <c r="C334" s="200"/>
      <c r="D334" s="200"/>
      <c r="E334" s="200"/>
      <c r="F334" s="200"/>
      <c r="G334" s="201"/>
      <c r="H334" s="201">
        <f>SUM(H331-H332)</f>
        <v>4797379.5199999996</v>
      </c>
      <c r="I334" s="188"/>
      <c r="J334" s="187"/>
      <c r="K334" s="170"/>
      <c r="L334" s="200" t="s">
        <v>212</v>
      </c>
      <c r="M334" s="200"/>
      <c r="N334" s="200"/>
      <c r="O334" s="200"/>
      <c r="P334" s="200"/>
      <c r="Q334" s="201"/>
      <c r="R334" s="201">
        <f>SUM(R331-R332)</f>
        <v>3529501.52</v>
      </c>
      <c r="S334" s="188"/>
    </row>
    <row r="335" spans="1:19" ht="15.75" thickTop="1">
      <c r="A335" s="170"/>
      <c r="B335" s="202" t="s">
        <v>213</v>
      </c>
      <c r="C335" s="186"/>
      <c r="D335" s="186"/>
      <c r="E335" s="186"/>
      <c r="F335" s="186"/>
      <c r="G335" s="296" t="s">
        <v>214</v>
      </c>
      <c r="H335" s="296"/>
      <c r="I335" s="188"/>
      <c r="J335" s="187"/>
      <c r="K335" s="170"/>
      <c r="L335" s="202" t="s">
        <v>213</v>
      </c>
      <c r="M335" s="186"/>
      <c r="N335" s="186"/>
      <c r="O335" s="186"/>
      <c r="P335" s="186"/>
      <c r="Q335" s="296" t="s">
        <v>214</v>
      </c>
      <c r="R335" s="296"/>
      <c r="S335" s="188"/>
    </row>
    <row r="336" spans="1:19">
      <c r="A336" s="170"/>
      <c r="B336" s="186"/>
      <c r="C336" s="186"/>
      <c r="D336" s="186"/>
      <c r="E336" s="186"/>
      <c r="F336" s="186"/>
      <c r="G336" s="187"/>
      <c r="H336" s="187"/>
      <c r="I336" s="188"/>
      <c r="J336" s="187"/>
      <c r="K336" s="170"/>
      <c r="L336" s="186"/>
      <c r="M336" s="186"/>
      <c r="N336" s="186"/>
      <c r="O336" s="186"/>
      <c r="P336" s="186"/>
      <c r="Q336" s="187"/>
      <c r="R336" s="187"/>
      <c r="S336" s="188"/>
    </row>
    <row r="337" spans="1:19">
      <c r="A337" s="170"/>
      <c r="B337" s="186"/>
      <c r="C337" s="186"/>
      <c r="D337" s="186"/>
      <c r="E337" s="186"/>
      <c r="F337" s="186"/>
      <c r="G337" s="187"/>
      <c r="H337" s="187"/>
      <c r="I337" s="188"/>
      <c r="J337" s="187"/>
      <c r="K337" s="170"/>
      <c r="L337" s="186"/>
      <c r="M337" s="186"/>
      <c r="N337" s="186"/>
      <c r="O337" s="186"/>
      <c r="P337" s="186"/>
      <c r="Q337" s="187"/>
      <c r="R337" s="187"/>
      <c r="S337" s="188"/>
    </row>
    <row r="338" spans="1:19">
      <c r="A338" s="170"/>
      <c r="B338" s="203" t="s">
        <v>215</v>
      </c>
      <c r="C338" s="186"/>
      <c r="D338" s="186"/>
      <c r="E338" s="186"/>
      <c r="F338" s="186"/>
      <c r="G338" s="297" t="s">
        <v>216</v>
      </c>
      <c r="H338" s="297"/>
      <c r="I338" s="188"/>
      <c r="J338" s="187"/>
      <c r="K338" s="170"/>
      <c r="L338" s="203" t="s">
        <v>215</v>
      </c>
      <c r="M338" s="186"/>
      <c r="N338" s="186"/>
      <c r="O338" s="186"/>
      <c r="P338" s="186"/>
      <c r="Q338" s="297" t="s">
        <v>216</v>
      </c>
      <c r="R338" s="297"/>
      <c r="S338" s="188"/>
    </row>
    <row r="339" spans="1:19">
      <c r="A339" s="204"/>
      <c r="B339" s="205"/>
      <c r="C339" s="206"/>
      <c r="D339" s="206"/>
      <c r="E339" s="206"/>
      <c r="F339" s="206"/>
      <c r="G339" s="207"/>
      <c r="H339" s="205"/>
      <c r="I339" s="208"/>
      <c r="J339" s="187"/>
      <c r="K339" s="204"/>
      <c r="L339" s="205"/>
      <c r="M339" s="206"/>
      <c r="N339" s="206"/>
      <c r="O339" s="206"/>
      <c r="P339" s="206"/>
      <c r="Q339" s="207"/>
      <c r="R339" s="205"/>
      <c r="S339" s="208"/>
    </row>
    <row r="340" spans="1:19">
      <c r="B340" s="186"/>
      <c r="C340" s="186"/>
      <c r="D340" s="186"/>
      <c r="E340" s="186"/>
      <c r="F340" s="186"/>
      <c r="G340" s="187"/>
      <c r="H340" s="187"/>
      <c r="I340" s="187"/>
      <c r="J340" s="187"/>
      <c r="L340" s="186"/>
      <c r="M340" s="186"/>
      <c r="N340" s="186"/>
      <c r="O340" s="186"/>
      <c r="P340" s="186"/>
      <c r="Q340" s="187"/>
      <c r="R340" s="187"/>
      <c r="S340" s="187"/>
    </row>
    <row r="341" spans="1:19">
      <c r="B341" s="186"/>
      <c r="C341" s="186"/>
      <c r="D341" s="186"/>
      <c r="E341" s="186"/>
      <c r="F341" s="186"/>
      <c r="G341" s="187"/>
      <c r="H341" s="187"/>
      <c r="I341" s="187"/>
      <c r="J341" s="187"/>
      <c r="L341" s="186"/>
      <c r="M341" s="186"/>
      <c r="N341" s="186"/>
      <c r="O341" s="186"/>
      <c r="P341" s="186"/>
      <c r="Q341" s="187"/>
      <c r="R341" s="187"/>
      <c r="S341" s="187"/>
    </row>
    <row r="342" spans="1:19">
      <c r="B342" s="186"/>
      <c r="C342" s="186"/>
      <c r="D342" s="186"/>
      <c r="E342" s="186"/>
      <c r="F342" s="186"/>
      <c r="G342" s="187"/>
      <c r="H342" s="187"/>
      <c r="I342" s="187"/>
      <c r="J342" s="187"/>
      <c r="L342" s="186"/>
      <c r="M342" s="186"/>
      <c r="N342" s="186"/>
      <c r="O342" s="186"/>
      <c r="P342" s="186"/>
      <c r="Q342" s="187"/>
      <c r="R342" s="187"/>
      <c r="S342" s="187"/>
    </row>
    <row r="343" spans="1:19">
      <c r="B343" s="186"/>
      <c r="C343" s="186"/>
      <c r="D343" s="186"/>
      <c r="E343" s="186"/>
      <c r="F343" s="186"/>
      <c r="G343" s="187"/>
      <c r="H343" s="187"/>
      <c r="I343" s="187"/>
      <c r="J343" s="187"/>
      <c r="L343" s="186"/>
      <c r="M343" s="186"/>
      <c r="N343" s="186"/>
      <c r="O343" s="186"/>
      <c r="P343" s="186"/>
      <c r="Q343" s="187"/>
      <c r="R343" s="187"/>
      <c r="S343" s="187"/>
    </row>
    <row r="344" spans="1:19">
      <c r="A344" s="166"/>
      <c r="B344" s="167"/>
      <c r="C344" s="167"/>
      <c r="D344" s="167"/>
      <c r="E344" s="167"/>
      <c r="F344" s="167"/>
      <c r="G344" s="167"/>
      <c r="H344" s="167"/>
      <c r="I344" s="168"/>
      <c r="J344" s="169"/>
      <c r="K344" s="166"/>
      <c r="L344" s="167"/>
      <c r="M344" s="167"/>
      <c r="N344" s="167"/>
      <c r="O344" s="167"/>
      <c r="P344" s="167"/>
      <c r="Q344" s="167"/>
      <c r="R344" s="167"/>
      <c r="S344" s="168"/>
    </row>
    <row r="345" spans="1:19">
      <c r="A345" s="170"/>
      <c r="B345" s="169"/>
      <c r="C345" s="169"/>
      <c r="D345" s="169"/>
      <c r="E345" s="169"/>
      <c r="F345" s="169"/>
      <c r="G345" s="169"/>
      <c r="H345" s="169"/>
      <c r="I345" s="171"/>
      <c r="J345" s="169"/>
      <c r="K345" s="170"/>
      <c r="L345" s="169"/>
      <c r="M345" s="169"/>
      <c r="N345" s="169"/>
      <c r="O345" s="169"/>
      <c r="P345" s="169"/>
      <c r="Q345" s="169"/>
      <c r="R345" s="169"/>
      <c r="S345" s="171"/>
    </row>
    <row r="346" spans="1:19">
      <c r="A346" s="170"/>
      <c r="B346" s="169"/>
      <c r="C346" s="169"/>
      <c r="D346" s="169"/>
      <c r="E346" s="169"/>
      <c r="F346" s="169"/>
      <c r="G346" s="169"/>
      <c r="H346" s="169"/>
      <c r="I346" s="171"/>
      <c r="J346" s="169"/>
      <c r="K346" s="170"/>
      <c r="L346" s="169"/>
      <c r="M346" s="169"/>
      <c r="N346" s="169"/>
      <c r="O346" s="169"/>
      <c r="P346" s="169"/>
      <c r="Q346" s="169"/>
      <c r="R346" s="169"/>
      <c r="S346" s="171"/>
    </row>
    <row r="347" spans="1:19">
      <c r="A347" s="170"/>
      <c r="B347" s="169"/>
      <c r="C347" s="169"/>
      <c r="D347" s="169"/>
      <c r="E347" s="169"/>
      <c r="F347" s="169"/>
      <c r="G347" s="169"/>
      <c r="H347" s="169"/>
      <c r="I347" s="171"/>
      <c r="J347" s="169"/>
      <c r="K347" s="170"/>
      <c r="L347" s="169"/>
      <c r="M347" s="169"/>
      <c r="N347" s="169"/>
      <c r="O347" s="169"/>
      <c r="P347" s="169"/>
      <c r="Q347" s="169"/>
      <c r="R347" s="169"/>
      <c r="S347" s="171"/>
    </row>
    <row r="348" spans="1:19">
      <c r="A348" s="170"/>
      <c r="B348" s="294" t="s">
        <v>196</v>
      </c>
      <c r="C348" s="294"/>
      <c r="D348" s="294"/>
      <c r="E348" s="294"/>
      <c r="F348" s="294"/>
      <c r="G348" s="294"/>
      <c r="H348" s="294"/>
      <c r="I348" s="295"/>
      <c r="J348" s="169"/>
      <c r="K348" s="170"/>
      <c r="L348" s="294" t="s">
        <v>196</v>
      </c>
      <c r="M348" s="294"/>
      <c r="N348" s="294"/>
      <c r="O348" s="294"/>
      <c r="P348" s="294"/>
      <c r="Q348" s="294"/>
      <c r="R348" s="294"/>
      <c r="S348" s="295"/>
    </row>
    <row r="349" spans="1:19">
      <c r="A349" s="172"/>
      <c r="B349" s="173" t="s">
        <v>197</v>
      </c>
      <c r="C349" s="174" t="s">
        <v>198</v>
      </c>
      <c r="D349" s="211">
        <f>'[2]G-STAFF'!A37</f>
        <v>3</v>
      </c>
      <c r="E349" s="173"/>
      <c r="F349" s="173"/>
      <c r="G349" s="173"/>
      <c r="H349" s="173"/>
      <c r="I349" s="176"/>
      <c r="J349" s="173"/>
      <c r="K349" s="172"/>
      <c r="L349" s="173" t="s">
        <v>197</v>
      </c>
      <c r="M349" s="174" t="s">
        <v>198</v>
      </c>
      <c r="N349" s="211">
        <f>'[2]G-STAFF'!A38</f>
        <v>4</v>
      </c>
      <c r="O349" s="175"/>
      <c r="P349" s="173"/>
      <c r="Q349" s="173"/>
      <c r="R349" s="173"/>
      <c r="S349" s="176"/>
    </row>
    <row r="350" spans="1:19">
      <c r="A350" s="172"/>
      <c r="B350" s="173" t="s">
        <v>199</v>
      </c>
      <c r="C350" s="174" t="s">
        <v>198</v>
      </c>
      <c r="D350" s="177" t="str">
        <f>'[2]G-STAFF'!A3</f>
        <v>01 JANUARI  S/D  31 JANUARI  2025</v>
      </c>
      <c r="E350" s="173"/>
      <c r="F350" s="173"/>
      <c r="G350" s="173"/>
      <c r="H350" s="173"/>
      <c r="I350" s="176"/>
      <c r="J350" s="173"/>
      <c r="K350" s="172"/>
      <c r="L350" s="173" t="s">
        <v>199</v>
      </c>
      <c r="M350" s="174" t="s">
        <v>198</v>
      </c>
      <c r="N350" s="177" t="str">
        <f>'[2]G-STAFF'!A3</f>
        <v>01 JANUARI  S/D  31 JANUARI  2025</v>
      </c>
      <c r="O350" s="179"/>
      <c r="P350" s="173"/>
      <c r="Q350" s="173"/>
      <c r="R350" s="173"/>
      <c r="S350" s="176"/>
    </row>
    <row r="351" spans="1:19">
      <c r="A351" s="172"/>
      <c r="B351" s="173" t="s">
        <v>200</v>
      </c>
      <c r="C351" s="174" t="s">
        <v>198</v>
      </c>
      <c r="D351" s="177" t="str">
        <f>'[2]G-STAFF'!B37</f>
        <v>ANDIKA WIJAYA</v>
      </c>
      <c r="E351" s="173"/>
      <c r="F351" s="173"/>
      <c r="G351" s="173"/>
      <c r="H351" s="173"/>
      <c r="I351" s="176"/>
      <c r="J351" s="173"/>
      <c r="K351" s="172"/>
      <c r="L351" s="173" t="s">
        <v>200</v>
      </c>
      <c r="M351" s="174" t="s">
        <v>198</v>
      </c>
      <c r="N351" s="178" t="str">
        <f>'[2]G-STAFF'!B38</f>
        <v>SAMANHUDI</v>
      </c>
      <c r="O351" s="173"/>
      <c r="P351" s="173"/>
      <c r="Q351" s="173"/>
      <c r="R351" s="173"/>
      <c r="S351" s="176"/>
    </row>
    <row r="352" spans="1:19" ht="15.75" thickBot="1">
      <c r="A352" s="172"/>
      <c r="B352" s="173" t="s">
        <v>201</v>
      </c>
      <c r="C352" s="174" t="s">
        <v>198</v>
      </c>
      <c r="D352" s="177" t="str">
        <f>'[2]G-STAFF'!H36</f>
        <v>SECURITY</v>
      </c>
      <c r="E352" s="173"/>
      <c r="F352" s="173"/>
      <c r="G352" s="173"/>
      <c r="H352" s="173"/>
      <c r="I352" s="176"/>
      <c r="J352" s="173"/>
      <c r="K352" s="172"/>
      <c r="L352" s="173" t="s">
        <v>201</v>
      </c>
      <c r="M352" s="174" t="s">
        <v>198</v>
      </c>
      <c r="N352" s="178" t="str">
        <f>'[2]G-STAFF'!H38</f>
        <v>SECURITY</v>
      </c>
      <c r="O352" s="179"/>
      <c r="P352" s="173"/>
      <c r="Q352" s="173"/>
      <c r="R352" s="173"/>
      <c r="S352" s="176"/>
    </row>
    <row r="353" spans="1:19" ht="15.75" thickTop="1">
      <c r="A353" s="170"/>
      <c r="B353" s="182"/>
      <c r="C353" s="182"/>
      <c r="D353" s="182"/>
      <c r="E353" s="182"/>
      <c r="F353" s="182"/>
      <c r="G353" s="182"/>
      <c r="H353" s="182"/>
      <c r="I353" s="183"/>
      <c r="J353" s="169"/>
      <c r="K353" s="170"/>
      <c r="L353" s="182"/>
      <c r="M353" s="182"/>
      <c r="N353" s="182"/>
      <c r="O353" s="182"/>
      <c r="P353" s="182"/>
      <c r="Q353" s="182"/>
      <c r="R353" s="182"/>
      <c r="S353" s="183"/>
    </row>
    <row r="354" spans="1:19">
      <c r="A354" s="170"/>
      <c r="B354" s="184" t="s">
        <v>202</v>
      </c>
      <c r="C354" s="185"/>
      <c r="D354" s="185"/>
      <c r="E354" s="185"/>
      <c r="F354" s="185"/>
      <c r="G354" s="185"/>
      <c r="H354" s="185"/>
      <c r="I354" s="183"/>
      <c r="J354" s="169"/>
      <c r="K354" s="170"/>
      <c r="L354" s="184" t="s">
        <v>202</v>
      </c>
      <c r="M354" s="184"/>
      <c r="N354" s="185"/>
      <c r="O354" s="185"/>
      <c r="P354" s="185"/>
      <c r="Q354" s="185"/>
      <c r="R354" s="185"/>
      <c r="S354" s="183"/>
    </row>
    <row r="355" spans="1:19">
      <c r="A355" s="170"/>
      <c r="B355" s="186" t="s">
        <v>111</v>
      </c>
      <c r="C355" s="186"/>
      <c r="D355" s="186"/>
      <c r="E355" s="186"/>
      <c r="F355" s="186"/>
      <c r="G355" s="187"/>
      <c r="H355" s="187">
        <f>'[2]G-STAFF'!J37</f>
        <v>3826588</v>
      </c>
      <c r="I355" s="188"/>
      <c r="J355" s="187"/>
      <c r="K355" s="170"/>
      <c r="L355" s="186" t="s">
        <v>111</v>
      </c>
      <c r="M355" s="186"/>
      <c r="N355" s="186"/>
      <c r="O355" s="186"/>
      <c r="P355" s="186"/>
      <c r="Q355" s="187"/>
      <c r="R355" s="187">
        <f>'[2]G-STAFF'!J38</f>
        <v>4254440</v>
      </c>
      <c r="S355" s="188"/>
    </row>
    <row r="356" spans="1:19">
      <c r="A356" s="170"/>
      <c r="B356" s="186" t="s">
        <v>203</v>
      </c>
      <c r="C356" s="186"/>
      <c r="D356" s="186"/>
      <c r="E356" s="186"/>
      <c r="F356" s="186"/>
      <c r="G356" s="187"/>
      <c r="H356" s="187">
        <f>'[2]G-STAFF'!I37</f>
        <v>0</v>
      </c>
      <c r="I356" s="188"/>
      <c r="J356" s="209"/>
      <c r="K356" s="170"/>
      <c r="L356" s="186" t="s">
        <v>203</v>
      </c>
      <c r="M356" s="186"/>
      <c r="N356" s="186"/>
      <c r="O356" s="186"/>
      <c r="P356" s="186"/>
      <c r="Q356" s="187"/>
      <c r="R356" s="187">
        <f>'[2]G-STAFF'!I38</f>
        <v>0</v>
      </c>
      <c r="S356" s="188"/>
    </row>
    <row r="357" spans="1:19">
      <c r="A357" s="170"/>
      <c r="B357" s="186" t="s">
        <v>195</v>
      </c>
      <c r="C357" s="186"/>
      <c r="D357" s="187">
        <f>'[2]G-STAFF'!Z37</f>
        <v>31</v>
      </c>
      <c r="E357" s="186" t="s">
        <v>204</v>
      </c>
      <c r="F357" s="186" t="s">
        <v>205</v>
      </c>
      <c r="G357" s="187">
        <v>6000</v>
      </c>
      <c r="H357" s="187">
        <f>G357*D357</f>
        <v>186000</v>
      </c>
      <c r="I357" s="188"/>
      <c r="J357" s="187"/>
      <c r="K357" s="170"/>
      <c r="L357" s="186" t="s">
        <v>195</v>
      </c>
      <c r="M357" s="186"/>
      <c r="N357" s="187">
        <f>'[2]G-STAFF'!Z38</f>
        <v>31</v>
      </c>
      <c r="O357" s="186" t="s">
        <v>204</v>
      </c>
      <c r="P357" s="186" t="s">
        <v>205</v>
      </c>
      <c r="Q357" s="187">
        <v>6000</v>
      </c>
      <c r="R357" s="187">
        <f>Q357*N357</f>
        <v>186000</v>
      </c>
      <c r="S357" s="188"/>
    </row>
    <row r="358" spans="1:19">
      <c r="A358" s="170"/>
      <c r="B358" s="186" t="s">
        <v>217</v>
      </c>
      <c r="C358" s="186"/>
      <c r="D358" s="187">
        <f>'[2]G-STAFF'!V37</f>
        <v>0</v>
      </c>
      <c r="E358" s="186" t="s">
        <v>218</v>
      </c>
      <c r="F358" s="186" t="s">
        <v>205</v>
      </c>
      <c r="G358" s="187">
        <f>'[2]G-STAFF'!U37</f>
        <v>127552.93333333333</v>
      </c>
      <c r="H358" s="187">
        <f>G358*D358</f>
        <v>0</v>
      </c>
      <c r="I358" s="188"/>
      <c r="J358" s="209"/>
      <c r="K358" s="170"/>
      <c r="L358" s="186" t="s">
        <v>217</v>
      </c>
      <c r="M358" s="186"/>
      <c r="N358" s="187">
        <f>'[2]G-STAFF'!V38</f>
        <v>0</v>
      </c>
      <c r="O358" s="186" t="s">
        <v>218</v>
      </c>
      <c r="P358" s="186" t="s">
        <v>205</v>
      </c>
      <c r="Q358" s="187">
        <f>'[2]G-STAFF'!U38</f>
        <v>141814.66666666666</v>
      </c>
      <c r="R358" s="187">
        <f>Q358*N358</f>
        <v>0</v>
      </c>
      <c r="S358" s="188"/>
    </row>
    <row r="359" spans="1:19">
      <c r="A359" s="170"/>
      <c r="B359" s="186" t="s">
        <v>206</v>
      </c>
      <c r="C359" s="186"/>
      <c r="D359" s="212">
        <f>'[2]G-STAFF'!CH37</f>
        <v>0</v>
      </c>
      <c r="E359" s="186" t="s">
        <v>207</v>
      </c>
      <c r="F359" s="186" t="s">
        <v>205</v>
      </c>
      <c r="G359" s="187">
        <f>'[2]G-STAFF'!M37</f>
        <v>22119.005780346823</v>
      </c>
      <c r="H359" s="187">
        <f>G359*D359</f>
        <v>0</v>
      </c>
      <c r="I359" s="188"/>
      <c r="J359" s="187"/>
      <c r="K359" s="170"/>
      <c r="L359" s="186" t="s">
        <v>206</v>
      </c>
      <c r="M359" s="186"/>
      <c r="N359" s="212">
        <f>'[2]G-STAFF'!CH38</f>
        <v>0</v>
      </c>
      <c r="O359" s="186" t="s">
        <v>207</v>
      </c>
      <c r="P359" s="186" t="s">
        <v>205</v>
      </c>
      <c r="Q359" s="187">
        <f>'[2]G-STAFF'!M38</f>
        <v>24592.138728323698</v>
      </c>
      <c r="R359" s="187">
        <f>Q359*N359</f>
        <v>0</v>
      </c>
      <c r="S359" s="188"/>
    </row>
    <row r="360" spans="1:19" ht="15.75" thickBot="1">
      <c r="A360" s="170"/>
      <c r="B360" s="190" t="s">
        <v>208</v>
      </c>
      <c r="C360" s="190"/>
      <c r="D360" s="213">
        <f>'[2]G-STAFF'!CG37</f>
        <v>0</v>
      </c>
      <c r="E360" s="190" t="s">
        <v>207</v>
      </c>
      <c r="F360" s="190" t="s">
        <v>205</v>
      </c>
      <c r="G360" s="192">
        <f>G359</f>
        <v>22119.005780346823</v>
      </c>
      <c r="H360" s="192">
        <f>G360*D360</f>
        <v>0</v>
      </c>
      <c r="I360" s="188"/>
      <c r="J360" s="187"/>
      <c r="K360" s="170"/>
      <c r="L360" s="190" t="s">
        <v>208</v>
      </c>
      <c r="M360" s="190"/>
      <c r="N360" s="213">
        <f>'[2]G-STAFF'!CG38</f>
        <v>0</v>
      </c>
      <c r="O360" s="190" t="s">
        <v>207</v>
      </c>
      <c r="P360" s="190" t="s">
        <v>205</v>
      </c>
      <c r="Q360" s="192">
        <f>Q359</f>
        <v>24592.138728323698</v>
      </c>
      <c r="R360" s="192">
        <f>Q360*N360</f>
        <v>0</v>
      </c>
      <c r="S360" s="188"/>
    </row>
    <row r="361" spans="1:19" ht="15.75" thickBot="1">
      <c r="A361" s="170"/>
      <c r="B361" s="190" t="s">
        <v>222</v>
      </c>
      <c r="C361" s="190"/>
      <c r="D361" s="213">
        <f>'[2]G-STAFF'!CI37</f>
        <v>0</v>
      </c>
      <c r="E361" s="190"/>
      <c r="F361" s="190"/>
      <c r="G361" s="192"/>
      <c r="H361" s="192">
        <f>SUM(H355:H360)</f>
        <v>4012588</v>
      </c>
      <c r="I361" s="188"/>
      <c r="J361" s="187"/>
      <c r="K361" s="170"/>
      <c r="L361" s="190" t="s">
        <v>219</v>
      </c>
      <c r="M361" s="190"/>
      <c r="N361" s="213">
        <f>'[2]G-STAFF'!CI38</f>
        <v>0</v>
      </c>
      <c r="O361" s="190"/>
      <c r="P361" s="190"/>
      <c r="Q361" s="192"/>
      <c r="R361" s="192">
        <f>SUM(R355:R360)</f>
        <v>4440440</v>
      </c>
      <c r="S361" s="188"/>
    </row>
    <row r="362" spans="1:19" ht="15.75" thickTop="1">
      <c r="A362" s="170"/>
      <c r="B362" s="182"/>
      <c r="C362" s="182"/>
      <c r="D362" s="182"/>
      <c r="E362" s="182"/>
      <c r="F362" s="182"/>
      <c r="G362" s="182"/>
      <c r="H362" s="182"/>
      <c r="I362" s="183"/>
      <c r="J362" s="169"/>
      <c r="K362" s="170"/>
      <c r="L362" s="182"/>
      <c r="M362" s="182"/>
      <c r="N362" s="182"/>
      <c r="O362" s="182"/>
      <c r="P362" s="182"/>
      <c r="Q362" s="182"/>
      <c r="R362" s="182"/>
      <c r="S362" s="183"/>
    </row>
    <row r="363" spans="1:19">
      <c r="A363" s="170"/>
      <c r="B363" s="196" t="s">
        <v>113</v>
      </c>
      <c r="C363" s="186"/>
      <c r="D363" s="186"/>
      <c r="E363" s="186"/>
      <c r="F363" s="186"/>
      <c r="G363" s="187"/>
      <c r="H363" s="187"/>
      <c r="I363" s="188"/>
      <c r="J363" s="209"/>
      <c r="K363" s="170"/>
      <c r="L363" s="196" t="s">
        <v>113</v>
      </c>
      <c r="M363" s="186"/>
      <c r="N363" s="186"/>
      <c r="O363" s="186"/>
      <c r="P363" s="186"/>
      <c r="Q363" s="187"/>
      <c r="R363" s="187"/>
      <c r="S363" s="188"/>
    </row>
    <row r="364" spans="1:19">
      <c r="A364" s="170"/>
      <c r="B364" s="186" t="s">
        <v>209</v>
      </c>
      <c r="C364" s="186"/>
      <c r="D364" s="197"/>
      <c r="E364" s="186"/>
      <c r="F364" s="186"/>
      <c r="G364" s="198" t="str">
        <f>'[2]G-STAFF'!C37</f>
        <v>K1</v>
      </c>
      <c r="H364" s="187">
        <f>'[2]G-STAFF'!Q37</f>
        <v>0</v>
      </c>
      <c r="I364" s="188"/>
      <c r="J364" s="209"/>
      <c r="K364" s="170"/>
      <c r="L364" s="186" t="s">
        <v>209</v>
      </c>
      <c r="M364" s="186"/>
      <c r="N364" s="198"/>
      <c r="O364" s="186"/>
      <c r="P364" s="186"/>
      <c r="Q364" s="198" t="str">
        <f>'[2]G-STAFF'!C38</f>
        <v>K</v>
      </c>
      <c r="R364" s="187">
        <f>'[2]G-STAFF'!Q38</f>
        <v>0</v>
      </c>
      <c r="S364" s="188"/>
    </row>
    <row r="365" spans="1:19">
      <c r="A365" s="170"/>
      <c r="B365" s="186" t="s">
        <v>210</v>
      </c>
      <c r="C365" s="186"/>
      <c r="D365" s="186"/>
      <c r="E365" s="186"/>
      <c r="F365" s="186"/>
      <c r="G365" s="187"/>
      <c r="H365" s="187">
        <f>'[2]G-STAFF'!R37</f>
        <v>180808.48</v>
      </c>
      <c r="I365" s="188"/>
      <c r="J365" s="209"/>
      <c r="K365" s="170"/>
      <c r="L365" s="186" t="s">
        <v>210</v>
      </c>
      <c r="M365" s="186"/>
      <c r="N365" s="186"/>
      <c r="O365" s="186"/>
      <c r="P365" s="186"/>
      <c r="Q365" s="187"/>
      <c r="R365" s="187">
        <f>'[2]G-STAFF'!R38</f>
        <v>180808.48</v>
      </c>
      <c r="S365" s="188"/>
    </row>
    <row r="366" spans="1:19" ht="15.75" thickBot="1">
      <c r="A366" s="170"/>
      <c r="B366" s="190" t="s">
        <v>211</v>
      </c>
      <c r="C366" s="190"/>
      <c r="D366" s="190"/>
      <c r="E366" s="190"/>
      <c r="F366" s="190"/>
      <c r="G366" s="192"/>
      <c r="H366" s="192">
        <f>SUM(H364:H365)</f>
        <v>180808.48</v>
      </c>
      <c r="I366" s="188"/>
      <c r="J366" s="209"/>
      <c r="K366" s="170"/>
      <c r="L366" s="190" t="s">
        <v>211</v>
      </c>
      <c r="M366" s="190"/>
      <c r="N366" s="190"/>
      <c r="O366" s="190"/>
      <c r="P366" s="190"/>
      <c r="Q366" s="192"/>
      <c r="R366" s="192">
        <f>SUM(R364:R365)</f>
        <v>180808.48</v>
      </c>
      <c r="S366" s="188"/>
    </row>
    <row r="367" spans="1:19" ht="15.75" thickBot="1">
      <c r="A367" s="170"/>
      <c r="B367" s="193" t="s">
        <v>220</v>
      </c>
      <c r="C367" s="193"/>
      <c r="D367" s="193"/>
      <c r="E367" s="193"/>
      <c r="F367" s="193"/>
      <c r="G367" s="195"/>
      <c r="H367" s="195">
        <f>SUM(H361-H366)</f>
        <v>3831779.52</v>
      </c>
      <c r="I367" s="188"/>
      <c r="J367" s="209"/>
      <c r="K367" s="170"/>
      <c r="L367" s="193" t="s">
        <v>220</v>
      </c>
      <c r="M367" s="193"/>
      <c r="N367" s="193"/>
      <c r="O367" s="193"/>
      <c r="P367" s="193"/>
      <c r="Q367" s="195"/>
      <c r="R367" s="195">
        <f>SUM(R361-R366)</f>
        <v>4259631.5199999996</v>
      </c>
      <c r="S367" s="188"/>
    </row>
    <row r="368" spans="1:19">
      <c r="A368" s="170"/>
      <c r="B368" s="186" t="s">
        <v>221</v>
      </c>
      <c r="C368" s="186"/>
      <c r="D368" s="186"/>
      <c r="E368" s="186"/>
      <c r="F368" s="186"/>
      <c r="G368" s="187"/>
      <c r="H368" s="187">
        <f>'[2]Urutan Nm'!H70</f>
        <v>10000</v>
      </c>
      <c r="I368" s="188"/>
      <c r="J368" s="209"/>
      <c r="K368" s="170"/>
      <c r="L368" s="186" t="s">
        <v>221</v>
      </c>
      <c r="M368" s="186"/>
      <c r="N368" s="186"/>
      <c r="O368" s="186"/>
      <c r="P368" s="186"/>
      <c r="Q368" s="187"/>
      <c r="R368" s="187">
        <f>'[2]Urutan Nm'!H71</f>
        <v>10000</v>
      </c>
      <c r="S368" s="188"/>
    </row>
    <row r="369" spans="1:19" ht="15.75" thickBot="1">
      <c r="A369" s="170"/>
      <c r="B369" s="199"/>
      <c r="C369" s="190"/>
      <c r="D369" s="190"/>
      <c r="E369" s="190"/>
      <c r="F369" s="190"/>
      <c r="G369" s="192"/>
      <c r="H369" s="192"/>
      <c r="I369" s="188"/>
      <c r="J369" s="187"/>
      <c r="K369" s="170"/>
      <c r="L369" s="199"/>
      <c r="M369" s="190"/>
      <c r="N369" s="190"/>
      <c r="O369" s="190"/>
      <c r="P369" s="190"/>
      <c r="Q369" s="192"/>
      <c r="R369" s="192"/>
      <c r="S369" s="188"/>
    </row>
    <row r="370" spans="1:19" ht="15.75" thickBot="1">
      <c r="A370" s="170"/>
      <c r="B370" s="200" t="s">
        <v>212</v>
      </c>
      <c r="C370" s="200"/>
      <c r="D370" s="200"/>
      <c r="E370" s="200"/>
      <c r="F370" s="200"/>
      <c r="G370" s="201"/>
      <c r="H370" s="201">
        <f>SUM(H367-H368)</f>
        <v>3821779.52</v>
      </c>
      <c r="I370" s="188"/>
      <c r="J370" s="187"/>
      <c r="K370" s="170"/>
      <c r="L370" s="200" t="s">
        <v>212</v>
      </c>
      <c r="M370" s="200"/>
      <c r="N370" s="200"/>
      <c r="O370" s="200"/>
      <c r="P370" s="200"/>
      <c r="Q370" s="201"/>
      <c r="R370" s="201">
        <f>SUM(R367-R368)</f>
        <v>4249631.5199999996</v>
      </c>
      <c r="S370" s="188"/>
    </row>
    <row r="371" spans="1:19" ht="15.75" thickTop="1">
      <c r="A371" s="170"/>
      <c r="B371" s="202" t="s">
        <v>213</v>
      </c>
      <c r="C371" s="186"/>
      <c r="D371" s="186"/>
      <c r="E371" s="186"/>
      <c r="F371" s="186"/>
      <c r="G371" s="296" t="s">
        <v>214</v>
      </c>
      <c r="H371" s="296"/>
      <c r="I371" s="188"/>
      <c r="J371" s="187"/>
      <c r="K371" s="170"/>
      <c r="L371" s="202" t="s">
        <v>213</v>
      </c>
      <c r="M371" s="186"/>
      <c r="N371" s="186"/>
      <c r="O371" s="186"/>
      <c r="P371" s="186"/>
      <c r="Q371" s="296" t="s">
        <v>214</v>
      </c>
      <c r="R371" s="296"/>
      <c r="S371" s="188"/>
    </row>
    <row r="372" spans="1:19">
      <c r="A372" s="170"/>
      <c r="B372" s="186"/>
      <c r="C372" s="186"/>
      <c r="D372" s="186"/>
      <c r="E372" s="186"/>
      <c r="F372" s="186"/>
      <c r="G372" s="187"/>
      <c r="H372" s="187"/>
      <c r="I372" s="188"/>
      <c r="J372" s="187"/>
      <c r="K372" s="170"/>
      <c r="L372" s="186"/>
      <c r="M372" s="186"/>
      <c r="N372" s="186"/>
      <c r="O372" s="186"/>
      <c r="P372" s="186"/>
      <c r="Q372" s="187"/>
      <c r="R372" s="187"/>
      <c r="S372" s="188"/>
    </row>
    <row r="373" spans="1:19">
      <c r="A373" s="170"/>
      <c r="B373" s="186"/>
      <c r="C373" s="186"/>
      <c r="D373" s="186"/>
      <c r="E373" s="186"/>
      <c r="F373" s="186"/>
      <c r="G373" s="187"/>
      <c r="H373" s="187"/>
      <c r="I373" s="188"/>
      <c r="J373" s="187"/>
      <c r="K373" s="170"/>
      <c r="L373" s="186"/>
      <c r="M373" s="186"/>
      <c r="N373" s="186"/>
      <c r="O373" s="186"/>
      <c r="P373" s="186"/>
      <c r="Q373" s="187"/>
      <c r="R373" s="187"/>
      <c r="S373" s="188"/>
    </row>
    <row r="374" spans="1:19">
      <c r="A374" s="170"/>
      <c r="B374" s="203" t="s">
        <v>215</v>
      </c>
      <c r="C374" s="186"/>
      <c r="D374" s="186"/>
      <c r="E374" s="186"/>
      <c r="F374" s="186"/>
      <c r="G374" s="297" t="s">
        <v>216</v>
      </c>
      <c r="H374" s="297"/>
      <c r="I374" s="188"/>
      <c r="J374" s="187"/>
      <c r="K374" s="170"/>
      <c r="L374" s="203" t="s">
        <v>215</v>
      </c>
      <c r="M374" s="186"/>
      <c r="N374" s="186"/>
      <c r="O374" s="186"/>
      <c r="P374" s="186"/>
      <c r="Q374" s="297" t="s">
        <v>216</v>
      </c>
      <c r="R374" s="297"/>
      <c r="S374" s="188"/>
    </row>
    <row r="375" spans="1:19">
      <c r="A375" s="204"/>
      <c r="B375" s="205"/>
      <c r="C375" s="206"/>
      <c r="D375" s="206"/>
      <c r="E375" s="206"/>
      <c r="F375" s="206"/>
      <c r="G375" s="207"/>
      <c r="H375" s="205"/>
      <c r="I375" s="208"/>
      <c r="J375" s="187"/>
      <c r="K375" s="204"/>
      <c r="L375" s="205"/>
      <c r="M375" s="206"/>
      <c r="N375" s="206"/>
      <c r="O375" s="206"/>
      <c r="P375" s="206"/>
      <c r="Q375" s="207"/>
      <c r="R375" s="205"/>
      <c r="S375" s="208"/>
    </row>
    <row r="376" spans="1:19">
      <c r="A376" s="169"/>
      <c r="B376" s="186"/>
      <c r="C376" s="186"/>
      <c r="D376" s="186"/>
      <c r="E376" s="186"/>
      <c r="F376" s="186"/>
      <c r="G376" s="187"/>
      <c r="H376" s="186"/>
      <c r="I376" s="187"/>
      <c r="J376" s="187"/>
      <c r="K376" s="169"/>
      <c r="L376" s="186"/>
      <c r="M376" s="186"/>
      <c r="N376" s="186"/>
      <c r="O376" s="186"/>
      <c r="P376" s="186"/>
      <c r="Q376" s="187"/>
      <c r="R376" s="187"/>
      <c r="S376" s="187"/>
    </row>
    <row r="377" spans="1:19">
      <c r="A377" s="166"/>
      <c r="B377" s="167"/>
      <c r="C377" s="167"/>
      <c r="D377" s="167"/>
      <c r="E377" s="167"/>
      <c r="F377" s="167"/>
      <c r="G377" s="167"/>
      <c r="H377" s="167"/>
      <c r="I377" s="168"/>
      <c r="J377" s="169"/>
      <c r="K377" s="166"/>
      <c r="L377" s="167"/>
      <c r="M377" s="167"/>
      <c r="N377" s="167"/>
      <c r="O377" s="167"/>
      <c r="P377" s="167"/>
      <c r="Q377" s="167"/>
      <c r="R377" s="167"/>
      <c r="S377" s="168"/>
    </row>
    <row r="378" spans="1:19">
      <c r="A378" s="170"/>
      <c r="B378" s="169"/>
      <c r="C378" s="169"/>
      <c r="D378" s="169"/>
      <c r="E378" s="169"/>
      <c r="F378" s="169"/>
      <c r="G378" s="169"/>
      <c r="H378" s="169"/>
      <c r="I378" s="171"/>
      <c r="J378" s="169"/>
      <c r="K378" s="170"/>
      <c r="L378" s="169"/>
      <c r="M378" s="169"/>
      <c r="N378" s="169"/>
      <c r="O378" s="169"/>
      <c r="P378" s="169"/>
      <c r="Q378" s="169"/>
      <c r="R378" s="169"/>
      <c r="S378" s="171"/>
    </row>
    <row r="379" spans="1:19">
      <c r="A379" s="170"/>
      <c r="B379" s="169"/>
      <c r="C379" s="169"/>
      <c r="D379" s="169"/>
      <c r="E379" s="169"/>
      <c r="F379" s="169"/>
      <c r="G379" s="169"/>
      <c r="H379" s="169"/>
      <c r="I379" s="171"/>
      <c r="J379" s="169"/>
      <c r="K379" s="170"/>
      <c r="L379" s="169"/>
      <c r="M379" s="169"/>
      <c r="N379" s="169"/>
      <c r="O379" s="169"/>
      <c r="P379" s="169"/>
      <c r="Q379" s="169"/>
      <c r="R379" s="169"/>
      <c r="S379" s="171"/>
    </row>
    <row r="380" spans="1:19">
      <c r="A380" s="170"/>
      <c r="B380" s="169"/>
      <c r="C380" s="169"/>
      <c r="D380" s="169"/>
      <c r="E380" s="169"/>
      <c r="F380" s="169"/>
      <c r="G380" s="169"/>
      <c r="H380" s="169"/>
      <c r="I380" s="171"/>
      <c r="J380" s="169"/>
      <c r="K380" s="170"/>
      <c r="L380" s="169"/>
      <c r="M380" s="169"/>
      <c r="N380" s="169"/>
      <c r="O380" s="169"/>
      <c r="P380" s="169"/>
      <c r="Q380" s="169"/>
      <c r="R380" s="169"/>
      <c r="S380" s="171"/>
    </row>
    <row r="381" spans="1:19">
      <c r="A381" s="170"/>
      <c r="B381" s="294" t="s">
        <v>196</v>
      </c>
      <c r="C381" s="294"/>
      <c r="D381" s="294"/>
      <c r="E381" s="294"/>
      <c r="F381" s="294"/>
      <c r="G381" s="294"/>
      <c r="H381" s="294"/>
      <c r="I381" s="295"/>
      <c r="J381" s="169"/>
      <c r="K381" s="170"/>
      <c r="L381" s="294" t="s">
        <v>196</v>
      </c>
      <c r="M381" s="294"/>
      <c r="N381" s="294"/>
      <c r="O381" s="294"/>
      <c r="P381" s="294"/>
      <c r="Q381" s="294"/>
      <c r="R381" s="294"/>
      <c r="S381" s="295"/>
    </row>
    <row r="382" spans="1:19">
      <c r="A382" s="172"/>
      <c r="B382" s="173" t="s">
        <v>197</v>
      </c>
      <c r="C382" s="174" t="s">
        <v>198</v>
      </c>
      <c r="D382" s="211">
        <f>'[2]G-STAFF'!A39</f>
        <v>5</v>
      </c>
      <c r="E382" s="173"/>
      <c r="F382" s="173"/>
      <c r="G382" s="173"/>
      <c r="H382" s="173"/>
      <c r="I382" s="176"/>
      <c r="J382" s="173"/>
      <c r="K382" s="172"/>
      <c r="L382" s="173" t="s">
        <v>197</v>
      </c>
      <c r="M382" s="174" t="s">
        <v>198</v>
      </c>
      <c r="N382" s="211" t="e">
        <f>'[2]G-STAFF'!A68</f>
        <v>#REF!</v>
      </c>
      <c r="O382" s="175"/>
      <c r="P382" s="173"/>
      <c r="Q382" s="173"/>
      <c r="R382" s="173"/>
      <c r="S382" s="176"/>
    </row>
    <row r="383" spans="1:19">
      <c r="A383" s="172"/>
      <c r="B383" s="173" t="s">
        <v>199</v>
      </c>
      <c r="C383" s="174" t="s">
        <v>198</v>
      </c>
      <c r="D383" s="177" t="str">
        <f>'[2]G-STAFF'!A3</f>
        <v>01 JANUARI  S/D  31 JANUARI  2025</v>
      </c>
      <c r="E383" s="173"/>
      <c r="F383" s="173"/>
      <c r="G383" s="173"/>
      <c r="H383" s="173"/>
      <c r="I383" s="176"/>
      <c r="J383" s="173"/>
      <c r="K383" s="172"/>
      <c r="L383" s="173" t="s">
        <v>199</v>
      </c>
      <c r="M383" s="174" t="s">
        <v>198</v>
      </c>
      <c r="N383" s="187">
        <f>'[2]G-STAFF'!A33</f>
        <v>0</v>
      </c>
      <c r="O383" s="179"/>
      <c r="P383" s="173"/>
      <c r="Q383" s="173"/>
      <c r="R383" s="173"/>
      <c r="S383" s="176"/>
    </row>
    <row r="384" spans="1:19">
      <c r="A384" s="172"/>
      <c r="B384" s="173" t="s">
        <v>200</v>
      </c>
      <c r="C384" s="174" t="s">
        <v>198</v>
      </c>
      <c r="D384" s="177" t="str">
        <f>'[2]G-STAFF'!B39</f>
        <v>HASAN NURDIANSYAH</v>
      </c>
      <c r="E384" s="173"/>
      <c r="F384" s="173"/>
      <c r="G384" s="173"/>
      <c r="H384" s="173"/>
      <c r="I384" s="176"/>
      <c r="J384" s="173"/>
      <c r="K384" s="172"/>
      <c r="L384" s="173" t="s">
        <v>200</v>
      </c>
      <c r="M384" s="174" t="s">
        <v>198</v>
      </c>
      <c r="N384" s="178" t="e">
        <f>'[2]G-STAFF'!B68</f>
        <v>#REF!</v>
      </c>
      <c r="O384" s="173"/>
      <c r="P384" s="173"/>
      <c r="Q384" s="173"/>
      <c r="R384" s="173"/>
      <c r="S384" s="176"/>
    </row>
    <row r="385" spans="1:19" ht="15.75" thickBot="1">
      <c r="A385" s="172"/>
      <c r="B385" s="173" t="s">
        <v>201</v>
      </c>
      <c r="C385" s="174" t="s">
        <v>198</v>
      </c>
      <c r="D385" s="177" t="str">
        <f>'[2]G-STAFF'!H39</f>
        <v>MECHANIK</v>
      </c>
      <c r="E385" s="173"/>
      <c r="F385" s="173"/>
      <c r="G385" s="173"/>
      <c r="H385" s="173"/>
      <c r="I385" s="176"/>
      <c r="J385" s="173"/>
      <c r="K385" s="172"/>
      <c r="L385" s="173" t="s">
        <v>201</v>
      </c>
      <c r="M385" s="174" t="s">
        <v>198</v>
      </c>
      <c r="N385" s="178" t="e">
        <f>'[2]G-STAFF'!H68</f>
        <v>#REF!</v>
      </c>
      <c r="O385" s="179"/>
      <c r="P385" s="173"/>
      <c r="Q385" s="173"/>
      <c r="R385" s="173"/>
      <c r="S385" s="176"/>
    </row>
    <row r="386" spans="1:19" ht="15.75" thickTop="1">
      <c r="A386" s="170"/>
      <c r="B386" s="182"/>
      <c r="C386" s="182"/>
      <c r="D386" s="182"/>
      <c r="E386" s="182"/>
      <c r="F386" s="182"/>
      <c r="G386" s="182"/>
      <c r="H386" s="182"/>
      <c r="I386" s="183"/>
      <c r="J386" s="169"/>
      <c r="K386" s="170"/>
      <c r="L386" s="182"/>
      <c r="M386" s="182"/>
      <c r="N386" s="182"/>
      <c r="O386" s="182"/>
      <c r="P386" s="182"/>
      <c r="Q386" s="182"/>
      <c r="R386" s="182"/>
      <c r="S386" s="183"/>
    </row>
    <row r="387" spans="1:19">
      <c r="A387" s="170"/>
      <c r="B387" s="184" t="s">
        <v>202</v>
      </c>
      <c r="C387" s="185"/>
      <c r="D387" s="185"/>
      <c r="E387" s="185"/>
      <c r="F387" s="185"/>
      <c r="G387" s="185"/>
      <c r="H387" s="185"/>
      <c r="I387" s="183"/>
      <c r="J387" s="169"/>
      <c r="K387" s="170"/>
      <c r="L387" s="184" t="s">
        <v>202</v>
      </c>
      <c r="M387" s="184"/>
      <c r="N387" s="185"/>
      <c r="O387" s="185"/>
      <c r="P387" s="185"/>
      <c r="Q387" s="185"/>
      <c r="R387" s="185"/>
      <c r="S387" s="183"/>
    </row>
    <row r="388" spans="1:19">
      <c r="A388" s="170"/>
      <c r="B388" s="186" t="s">
        <v>111</v>
      </c>
      <c r="C388" s="186"/>
      <c r="D388" s="186"/>
      <c r="E388" s="186"/>
      <c r="F388" s="186"/>
      <c r="G388" s="187"/>
      <c r="H388" s="187">
        <f>'[2]G-STAFF'!J39</f>
        <v>5357814</v>
      </c>
      <c r="I388" s="188"/>
      <c r="J388" s="187"/>
      <c r="K388" s="170"/>
      <c r="L388" s="186" t="s">
        <v>111</v>
      </c>
      <c r="M388" s="186"/>
      <c r="N388" s="186"/>
      <c r="O388" s="186"/>
      <c r="P388" s="186"/>
      <c r="Q388" s="187"/>
      <c r="R388" s="187">
        <v>0</v>
      </c>
      <c r="S388" s="188"/>
    </row>
    <row r="389" spans="1:19">
      <c r="A389" s="170"/>
      <c r="B389" s="186" t="s">
        <v>203</v>
      </c>
      <c r="C389" s="186"/>
      <c r="D389" s="186"/>
      <c r="E389" s="186"/>
      <c r="F389" s="186"/>
      <c r="G389" s="187"/>
      <c r="H389" s="187">
        <f>'[2]G-STAFF'!I39</f>
        <v>300000</v>
      </c>
      <c r="I389" s="188"/>
      <c r="J389" s="209"/>
      <c r="K389" s="170"/>
      <c r="L389" s="186" t="s">
        <v>203</v>
      </c>
      <c r="M389" s="186"/>
      <c r="N389" s="186"/>
      <c r="O389" s="186"/>
      <c r="P389" s="186"/>
      <c r="Q389" s="187"/>
      <c r="R389" s="187">
        <v>0</v>
      </c>
      <c r="S389" s="188"/>
    </row>
    <row r="390" spans="1:19">
      <c r="A390" s="170"/>
      <c r="B390" s="186" t="s">
        <v>195</v>
      </c>
      <c r="C390" s="186"/>
      <c r="D390" s="187">
        <f>'[2]G-STAFF'!Z39</f>
        <v>24</v>
      </c>
      <c r="E390" s="186" t="s">
        <v>204</v>
      </c>
      <c r="F390" s="186" t="s">
        <v>205</v>
      </c>
      <c r="G390" s="187">
        <v>4000</v>
      </c>
      <c r="H390" s="187">
        <f>G390*D390</f>
        <v>96000</v>
      </c>
      <c r="I390" s="188"/>
      <c r="J390" s="187"/>
      <c r="K390" s="170"/>
      <c r="L390" s="186" t="s">
        <v>195</v>
      </c>
      <c r="M390" s="186"/>
      <c r="N390" s="187" t="e">
        <f>'[2]G-STAFF'!#REF!</f>
        <v>#REF!</v>
      </c>
      <c r="O390" s="186" t="s">
        <v>204</v>
      </c>
      <c r="P390" s="186" t="s">
        <v>205</v>
      </c>
      <c r="Q390" s="187">
        <v>6000</v>
      </c>
      <c r="R390" s="187">
        <v>0</v>
      </c>
      <c r="S390" s="188"/>
    </row>
    <row r="391" spans="1:19">
      <c r="A391" s="170"/>
      <c r="B391" s="186" t="s">
        <v>5</v>
      </c>
      <c r="C391" s="186"/>
      <c r="D391" s="186"/>
      <c r="E391" s="186"/>
      <c r="F391" s="186"/>
      <c r="G391" s="187"/>
      <c r="H391" s="187"/>
      <c r="I391" s="188"/>
      <c r="J391" s="209"/>
      <c r="K391" s="170"/>
      <c r="L391" s="186" t="s">
        <v>5</v>
      </c>
      <c r="M391" s="186"/>
      <c r="N391" s="186"/>
      <c r="O391" s="186"/>
      <c r="P391" s="186"/>
      <c r="Q391" s="187"/>
      <c r="R391" s="187"/>
      <c r="S391" s="188"/>
    </row>
    <row r="392" spans="1:19">
      <c r="A392" s="170"/>
      <c r="B392" s="186" t="s">
        <v>206</v>
      </c>
      <c r="C392" s="186"/>
      <c r="D392" s="212">
        <f>'[2]G-STAFF'!CH39</f>
        <v>0</v>
      </c>
      <c r="E392" s="186" t="s">
        <v>207</v>
      </c>
      <c r="F392" s="186" t="s">
        <v>205</v>
      </c>
      <c r="G392" s="187">
        <f>'[2]G-STAFF'!M39</f>
        <v>30970.023121387283</v>
      </c>
      <c r="H392" s="187">
        <f>G392*D392</f>
        <v>0</v>
      </c>
      <c r="I392" s="188"/>
      <c r="J392" s="187"/>
      <c r="K392" s="170"/>
      <c r="L392" s="186" t="s">
        <v>206</v>
      </c>
      <c r="M392" s="186"/>
      <c r="N392" s="212" t="e">
        <f>'[2]G-STAFF'!#REF!</f>
        <v>#REF!</v>
      </c>
      <c r="O392" s="186" t="s">
        <v>207</v>
      </c>
      <c r="P392" s="186" t="s">
        <v>205</v>
      </c>
      <c r="Q392" s="187" t="e">
        <f>'[2]G-STAFF'!#REF!</f>
        <v>#REF!</v>
      </c>
      <c r="R392" s="187" t="e">
        <f>Q392*N392</f>
        <v>#REF!</v>
      </c>
      <c r="S392" s="188"/>
    </row>
    <row r="393" spans="1:19" ht="15.75" thickBot="1">
      <c r="A393" s="170"/>
      <c r="B393" s="190" t="s">
        <v>208</v>
      </c>
      <c r="C393" s="190"/>
      <c r="D393" s="213">
        <f>'[2]G-STAFF'!CG39</f>
        <v>0</v>
      </c>
      <c r="E393" s="190" t="s">
        <v>207</v>
      </c>
      <c r="F393" s="190" t="s">
        <v>205</v>
      </c>
      <c r="G393" s="192">
        <f>G392</f>
        <v>30970.023121387283</v>
      </c>
      <c r="H393" s="192">
        <f>G393*D393</f>
        <v>0</v>
      </c>
      <c r="I393" s="188"/>
      <c r="J393" s="187"/>
      <c r="K393" s="170"/>
      <c r="L393" s="190" t="s">
        <v>208</v>
      </c>
      <c r="M393" s="190"/>
      <c r="N393" s="213" t="e">
        <f>'[2]G-STAFF'!#REF!</f>
        <v>#REF!</v>
      </c>
      <c r="O393" s="190" t="s">
        <v>207</v>
      </c>
      <c r="P393" s="190" t="s">
        <v>205</v>
      </c>
      <c r="Q393" s="192" t="e">
        <f>Q392</f>
        <v>#REF!</v>
      </c>
      <c r="R393" s="192">
        <v>0</v>
      </c>
      <c r="S393" s="188"/>
    </row>
    <row r="394" spans="1:19" ht="15.75" thickBot="1">
      <c r="A394" s="170"/>
      <c r="B394" s="190" t="s">
        <v>222</v>
      </c>
      <c r="C394" s="190"/>
      <c r="D394" s="213">
        <f>'[2]G-STAFF'!CI39</f>
        <v>0</v>
      </c>
      <c r="E394" s="190"/>
      <c r="F394" s="190"/>
      <c r="G394" s="192"/>
      <c r="H394" s="192">
        <f>SUM(H388:H393)</f>
        <v>5753814</v>
      </c>
      <c r="I394" s="188"/>
      <c r="J394" s="187"/>
      <c r="K394" s="170"/>
      <c r="L394" s="190" t="s">
        <v>219</v>
      </c>
      <c r="M394" s="190"/>
      <c r="N394" s="213" t="e">
        <f>'[2]G-STAFF'!#REF!</f>
        <v>#REF!</v>
      </c>
      <c r="O394" s="190"/>
      <c r="P394" s="190"/>
      <c r="Q394" s="192"/>
      <c r="R394" s="192" t="e">
        <f>SUM(R388:R393)</f>
        <v>#REF!</v>
      </c>
      <c r="S394" s="188"/>
    </row>
    <row r="395" spans="1:19" ht="15.75" thickTop="1">
      <c r="A395" s="170"/>
      <c r="B395" s="182"/>
      <c r="C395" s="182"/>
      <c r="D395" s="182"/>
      <c r="E395" s="182"/>
      <c r="F395" s="182"/>
      <c r="G395" s="182"/>
      <c r="H395" s="182"/>
      <c r="I395" s="183"/>
      <c r="J395" s="169"/>
      <c r="K395" s="170"/>
      <c r="L395" s="182"/>
      <c r="M395" s="182"/>
      <c r="N395" s="182"/>
      <c r="O395" s="182"/>
      <c r="P395" s="182"/>
      <c r="Q395" s="182"/>
      <c r="R395" s="182"/>
      <c r="S395" s="183"/>
    </row>
    <row r="396" spans="1:19">
      <c r="A396" s="170"/>
      <c r="B396" s="196" t="s">
        <v>113</v>
      </c>
      <c r="C396" s="186"/>
      <c r="D396" s="186"/>
      <c r="E396" s="186"/>
      <c r="F396" s="186"/>
      <c r="G396" s="187"/>
      <c r="H396" s="187"/>
      <c r="I396" s="188"/>
      <c r="J396" s="209"/>
      <c r="K396" s="170"/>
      <c r="L396" s="196" t="s">
        <v>113</v>
      </c>
      <c r="M396" s="186"/>
      <c r="N396" s="186"/>
      <c r="O396" s="186"/>
      <c r="P396" s="186"/>
      <c r="Q396" s="187"/>
      <c r="R396" s="187"/>
      <c r="S396" s="188"/>
    </row>
    <row r="397" spans="1:19">
      <c r="A397" s="170"/>
      <c r="B397" s="186" t="s">
        <v>209</v>
      </c>
      <c r="C397" s="186"/>
      <c r="D397" s="197"/>
      <c r="E397" s="186"/>
      <c r="F397" s="186"/>
      <c r="G397" s="198" t="str">
        <f>'[2]G-STAFF'!C39</f>
        <v>K1</v>
      </c>
      <c r="H397" s="187">
        <f>'[2]G-STAFF'!Q39</f>
        <v>15977.794963499997</v>
      </c>
      <c r="I397" s="188"/>
      <c r="J397" s="209"/>
      <c r="K397" s="170"/>
      <c r="L397" s="186" t="s">
        <v>209</v>
      </c>
      <c r="M397" s="186"/>
      <c r="N397" s="198" t="e">
        <f>'[2]G-STAFF'!C68</f>
        <v>#REF!</v>
      </c>
      <c r="O397" s="186"/>
      <c r="P397" s="186"/>
      <c r="Q397" s="187" t="e">
        <f>'[2]G-STAFF'!Q68</f>
        <v>#REF!</v>
      </c>
      <c r="R397" s="187"/>
      <c r="S397" s="188"/>
    </row>
    <row r="398" spans="1:19">
      <c r="A398" s="170"/>
      <c r="B398" s="186" t="s">
        <v>210</v>
      </c>
      <c r="C398" s="186"/>
      <c r="D398" s="186"/>
      <c r="E398" s="186"/>
      <c r="F398" s="186"/>
      <c r="G398" s="187"/>
      <c r="H398" s="187">
        <f>'[2]G-STAFF'!R39</f>
        <v>214312.56</v>
      </c>
      <c r="I398" s="188"/>
      <c r="J398" s="209"/>
      <c r="K398" s="170"/>
      <c r="L398" s="186" t="s">
        <v>210</v>
      </c>
      <c r="M398" s="186"/>
      <c r="N398" s="186"/>
      <c r="O398" s="186"/>
      <c r="P398" s="186"/>
      <c r="Q398" s="187" t="e">
        <f>'[2]G-STAFF'!R68</f>
        <v>#REF!</v>
      </c>
      <c r="R398" s="187"/>
      <c r="S398" s="188"/>
    </row>
    <row r="399" spans="1:19" ht="15.75" thickBot="1">
      <c r="A399" s="170"/>
      <c r="B399" s="190" t="s">
        <v>211</v>
      </c>
      <c r="C399" s="190"/>
      <c r="D399" s="190"/>
      <c r="E399" s="190"/>
      <c r="F399" s="190"/>
      <c r="G399" s="192"/>
      <c r="H399" s="192">
        <f>SUM(H397:H398)</f>
        <v>230290.35496349999</v>
      </c>
      <c r="I399" s="188"/>
      <c r="J399" s="209"/>
      <c r="K399" s="170"/>
      <c r="L399" s="190" t="s">
        <v>211</v>
      </c>
      <c r="M399" s="190"/>
      <c r="N399" s="190"/>
      <c r="O399" s="190"/>
      <c r="P399" s="190"/>
      <c r="Q399" s="192"/>
      <c r="R399" s="192">
        <f>SUM(R397:R398)</f>
        <v>0</v>
      </c>
      <c r="S399" s="188"/>
    </row>
    <row r="400" spans="1:19" ht="15.75" thickBot="1">
      <c r="A400" s="170"/>
      <c r="B400" s="193" t="s">
        <v>220</v>
      </c>
      <c r="C400" s="193"/>
      <c r="D400" s="193"/>
      <c r="E400" s="193"/>
      <c r="F400" s="193"/>
      <c r="G400" s="195"/>
      <c r="H400" s="195">
        <f>SUM(H394-H399)</f>
        <v>5523523.6450364999</v>
      </c>
      <c r="I400" s="188"/>
      <c r="J400" s="209"/>
      <c r="K400" s="170"/>
      <c r="L400" s="193" t="s">
        <v>220</v>
      </c>
      <c r="M400" s="193"/>
      <c r="N400" s="193"/>
      <c r="O400" s="193"/>
      <c r="P400" s="193"/>
      <c r="Q400" s="195"/>
      <c r="R400" s="195" t="e">
        <f>SUM(R394-R399)</f>
        <v>#REF!</v>
      </c>
      <c r="S400" s="188"/>
    </row>
    <row r="401" spans="1:19">
      <c r="A401" s="170"/>
      <c r="B401" s="186" t="s">
        <v>221</v>
      </c>
      <c r="C401" s="186"/>
      <c r="D401" s="186"/>
      <c r="E401" s="186"/>
      <c r="F401" s="186"/>
      <c r="G401" s="187"/>
      <c r="H401" s="187">
        <f>'[2]Urutan Nm'!H72</f>
        <v>10000</v>
      </c>
      <c r="I401" s="188"/>
      <c r="J401" s="209"/>
      <c r="K401" s="170"/>
      <c r="L401" s="186" t="s">
        <v>221</v>
      </c>
      <c r="M401" s="186"/>
      <c r="N401" s="186"/>
      <c r="O401" s="186"/>
      <c r="P401" s="186"/>
      <c r="Q401" s="187"/>
      <c r="R401" s="187"/>
      <c r="S401" s="188"/>
    </row>
    <row r="402" spans="1:19" ht="15.75" thickBot="1">
      <c r="A402" s="170"/>
      <c r="B402" s="199"/>
      <c r="C402" s="190"/>
      <c r="D402" s="190"/>
      <c r="E402" s="190"/>
      <c r="F402" s="190"/>
      <c r="G402" s="192"/>
      <c r="H402" s="192"/>
      <c r="I402" s="188"/>
      <c r="J402" s="187"/>
      <c r="K402" s="170"/>
      <c r="L402" s="199"/>
      <c r="M402" s="190"/>
      <c r="N402" s="190"/>
      <c r="O402" s="190"/>
      <c r="P402" s="190"/>
      <c r="Q402" s="192"/>
      <c r="R402" s="192"/>
      <c r="S402" s="188"/>
    </row>
    <row r="403" spans="1:19" ht="15.75" thickBot="1">
      <c r="A403" s="170"/>
      <c r="B403" s="200" t="s">
        <v>212</v>
      </c>
      <c r="C403" s="200"/>
      <c r="D403" s="200"/>
      <c r="E403" s="200"/>
      <c r="F403" s="200"/>
      <c r="G403" s="201"/>
      <c r="H403" s="201">
        <f>SUM(H400-H401)</f>
        <v>5513523.6450364999</v>
      </c>
      <c r="I403" s="188"/>
      <c r="J403" s="187"/>
      <c r="K403" s="170"/>
      <c r="L403" s="200" t="s">
        <v>212</v>
      </c>
      <c r="M403" s="200"/>
      <c r="N403" s="200"/>
      <c r="O403" s="200"/>
      <c r="P403" s="200"/>
      <c r="Q403" s="201"/>
      <c r="R403" s="201" t="e">
        <f>SUM(R394-R402)</f>
        <v>#REF!</v>
      </c>
      <c r="S403" s="188"/>
    </row>
    <row r="404" spans="1:19" ht="15.75" thickTop="1">
      <c r="A404" s="170"/>
      <c r="B404" s="202" t="s">
        <v>213</v>
      </c>
      <c r="C404" s="186"/>
      <c r="D404" s="186"/>
      <c r="E404" s="186"/>
      <c r="F404" s="186"/>
      <c r="G404" s="296" t="s">
        <v>214</v>
      </c>
      <c r="H404" s="296"/>
      <c r="I404" s="188"/>
      <c r="J404" s="187"/>
      <c r="K404" s="170"/>
      <c r="L404" s="202" t="s">
        <v>213</v>
      </c>
      <c r="M404" s="186"/>
      <c r="N404" s="186"/>
      <c r="O404" s="186"/>
      <c r="P404" s="186"/>
      <c r="Q404" s="296" t="s">
        <v>214</v>
      </c>
      <c r="R404" s="296"/>
      <c r="S404" s="188"/>
    </row>
    <row r="405" spans="1:19">
      <c r="A405" s="170"/>
      <c r="B405" s="186"/>
      <c r="C405" s="186"/>
      <c r="D405" s="186"/>
      <c r="E405" s="186"/>
      <c r="F405" s="186"/>
      <c r="G405" s="187"/>
      <c r="H405" s="187"/>
      <c r="I405" s="188"/>
      <c r="J405" s="187"/>
      <c r="K405" s="170"/>
      <c r="L405" s="186"/>
      <c r="M405" s="186"/>
      <c r="N405" s="186"/>
      <c r="O405" s="186"/>
      <c r="P405" s="186"/>
      <c r="Q405" s="187"/>
      <c r="R405" s="187"/>
      <c r="S405" s="188"/>
    </row>
    <row r="406" spans="1:19">
      <c r="A406" s="170"/>
      <c r="B406" s="186"/>
      <c r="C406" s="186"/>
      <c r="D406" s="186"/>
      <c r="E406" s="186"/>
      <c r="F406" s="186"/>
      <c r="G406" s="187"/>
      <c r="H406" s="187"/>
      <c r="I406" s="188"/>
      <c r="J406" s="187"/>
      <c r="K406" s="170"/>
      <c r="L406" s="186"/>
      <c r="M406" s="186"/>
      <c r="N406" s="186"/>
      <c r="O406" s="186"/>
      <c r="P406" s="186"/>
      <c r="Q406" s="187"/>
      <c r="R406" s="187"/>
      <c r="S406" s="188"/>
    </row>
    <row r="407" spans="1:19">
      <c r="A407" s="170"/>
      <c r="B407" s="203" t="s">
        <v>215</v>
      </c>
      <c r="C407" s="186"/>
      <c r="D407" s="186"/>
      <c r="E407" s="186"/>
      <c r="F407" s="186"/>
      <c r="G407" s="297" t="s">
        <v>216</v>
      </c>
      <c r="H407" s="297"/>
      <c r="I407" s="188"/>
      <c r="J407" s="187"/>
      <c r="K407" s="170"/>
      <c r="L407" s="203" t="s">
        <v>215</v>
      </c>
      <c r="M407" s="186"/>
      <c r="N407" s="186"/>
      <c r="O407" s="186"/>
      <c r="P407" s="186"/>
      <c r="Q407" s="297" t="s">
        <v>216</v>
      </c>
      <c r="R407" s="297"/>
      <c r="S407" s="188"/>
    </row>
    <row r="408" spans="1:19">
      <c r="A408" s="204"/>
      <c r="B408" s="205"/>
      <c r="C408" s="206"/>
      <c r="D408" s="206"/>
      <c r="E408" s="206"/>
      <c r="F408" s="206"/>
      <c r="G408" s="207"/>
      <c r="H408" s="205"/>
      <c r="I408" s="208"/>
      <c r="J408" s="187"/>
      <c r="K408" s="204"/>
      <c r="L408" s="205"/>
      <c r="M408" s="206"/>
      <c r="N408" s="206"/>
      <c r="O408" s="206"/>
      <c r="P408" s="206"/>
      <c r="Q408" s="207"/>
      <c r="R408" s="205"/>
      <c r="S408" s="208"/>
    </row>
    <row r="409" spans="1:19">
      <c r="A409" s="167"/>
      <c r="B409" s="214"/>
      <c r="C409" s="215"/>
      <c r="D409" s="215"/>
      <c r="E409" s="215"/>
      <c r="F409" s="215"/>
      <c r="G409" s="216"/>
      <c r="H409" s="214"/>
      <c r="I409" s="216"/>
      <c r="J409" s="187"/>
      <c r="K409" s="167"/>
      <c r="L409" s="214"/>
      <c r="M409" s="215"/>
      <c r="N409" s="215"/>
      <c r="O409" s="215"/>
      <c r="P409" s="215"/>
      <c r="Q409" s="216"/>
      <c r="R409" s="214"/>
      <c r="S409" s="216"/>
    </row>
    <row r="410" spans="1:19">
      <c r="A410" s="169"/>
      <c r="B410" s="203"/>
      <c r="C410" s="186"/>
      <c r="D410" s="186"/>
      <c r="E410" s="186"/>
      <c r="F410" s="186"/>
      <c r="G410" s="187"/>
      <c r="H410" s="203"/>
      <c r="I410" s="187"/>
      <c r="J410" s="187"/>
      <c r="K410" s="169"/>
      <c r="L410" s="203"/>
      <c r="M410" s="186"/>
      <c r="N410" s="186"/>
      <c r="O410" s="186"/>
      <c r="P410" s="186"/>
      <c r="Q410" s="187"/>
      <c r="R410" s="203"/>
      <c r="S410" s="187"/>
    </row>
    <row r="411" spans="1:19">
      <c r="A411" s="169"/>
      <c r="B411" s="203"/>
      <c r="C411" s="186"/>
      <c r="D411" s="186"/>
      <c r="E411" s="186"/>
      <c r="F411" s="186"/>
      <c r="G411" s="187"/>
      <c r="H411" s="203"/>
      <c r="I411" s="187"/>
      <c r="J411" s="187"/>
      <c r="K411" s="169"/>
      <c r="L411" s="203"/>
      <c r="M411" s="186"/>
      <c r="N411" s="186"/>
      <c r="O411" s="186"/>
      <c r="P411" s="186"/>
      <c r="Q411" s="187"/>
      <c r="R411" s="203"/>
      <c r="S411" s="187"/>
    </row>
    <row r="412" spans="1:19">
      <c r="A412" s="166"/>
      <c r="B412" s="167"/>
      <c r="C412" s="167"/>
      <c r="D412" s="167"/>
      <c r="E412" s="167"/>
      <c r="F412" s="167"/>
      <c r="G412" s="167"/>
      <c r="H412" s="167"/>
      <c r="I412" s="168"/>
      <c r="J412" s="169"/>
      <c r="K412" s="166"/>
      <c r="L412" s="167"/>
      <c r="M412" s="167"/>
      <c r="N412" s="167"/>
      <c r="O412" s="167"/>
      <c r="P412" s="167"/>
      <c r="Q412" s="167"/>
      <c r="R412" s="167"/>
      <c r="S412" s="168"/>
    </row>
    <row r="413" spans="1:19">
      <c r="A413" s="170"/>
      <c r="B413" s="169"/>
      <c r="C413" s="169"/>
      <c r="D413" s="169"/>
      <c r="E413" s="169"/>
      <c r="F413" s="169"/>
      <c r="G413" s="169"/>
      <c r="H413" s="169"/>
      <c r="I413" s="171"/>
      <c r="J413" s="169"/>
      <c r="K413" s="170"/>
      <c r="L413" s="169"/>
      <c r="M413" s="169"/>
      <c r="N413" s="169"/>
      <c r="O413" s="169"/>
      <c r="P413" s="169"/>
      <c r="Q413" s="169"/>
      <c r="R413" s="169"/>
      <c r="S413" s="171"/>
    </row>
    <row r="414" spans="1:19">
      <c r="A414" s="170"/>
      <c r="B414" s="169"/>
      <c r="C414" s="169"/>
      <c r="D414" s="169"/>
      <c r="E414" s="169"/>
      <c r="F414" s="169"/>
      <c r="G414" s="169"/>
      <c r="H414" s="169"/>
      <c r="I414" s="171"/>
      <c r="J414" s="169"/>
      <c r="K414" s="170"/>
      <c r="L414" s="169"/>
      <c r="M414" s="169"/>
      <c r="N414" s="169"/>
      <c r="O414" s="169"/>
      <c r="P414" s="169"/>
      <c r="Q414" s="169"/>
      <c r="R414" s="169"/>
      <c r="S414" s="171"/>
    </row>
    <row r="415" spans="1:19">
      <c r="A415" s="170"/>
      <c r="B415" s="169"/>
      <c r="C415" s="169"/>
      <c r="D415" s="169"/>
      <c r="E415" s="169"/>
      <c r="F415" s="169"/>
      <c r="G415" s="169"/>
      <c r="H415" s="169"/>
      <c r="I415" s="171"/>
      <c r="J415" s="169"/>
      <c r="K415" s="170"/>
      <c r="L415" s="169"/>
      <c r="M415" s="169"/>
      <c r="N415" s="169"/>
      <c r="O415" s="169"/>
      <c r="P415" s="169"/>
      <c r="Q415" s="169"/>
      <c r="R415" s="169"/>
      <c r="S415" s="171"/>
    </row>
    <row r="416" spans="1:19">
      <c r="A416" s="170"/>
      <c r="B416" s="294" t="s">
        <v>196</v>
      </c>
      <c r="C416" s="294"/>
      <c r="D416" s="294"/>
      <c r="E416" s="294"/>
      <c r="F416" s="294"/>
      <c r="G416" s="294"/>
      <c r="H416" s="294"/>
      <c r="I416" s="295"/>
      <c r="J416" s="169"/>
      <c r="K416" s="170"/>
      <c r="L416" s="294" t="s">
        <v>196</v>
      </c>
      <c r="M416" s="294"/>
      <c r="N416" s="294"/>
      <c r="O416" s="294"/>
      <c r="P416" s="294"/>
      <c r="Q416" s="294"/>
      <c r="R416" s="294"/>
      <c r="S416" s="295"/>
    </row>
    <row r="417" spans="1:19">
      <c r="A417" s="172"/>
      <c r="B417" s="173" t="s">
        <v>197</v>
      </c>
      <c r="C417" s="174" t="s">
        <v>198</v>
      </c>
      <c r="D417" s="211">
        <f>'[2]G-STAFF'!A40</f>
        <v>6</v>
      </c>
      <c r="E417" s="173"/>
      <c r="F417" s="173"/>
      <c r="G417" s="173"/>
      <c r="H417" s="173"/>
      <c r="I417" s="176"/>
      <c r="J417" s="173"/>
      <c r="K417" s="172"/>
      <c r="L417" s="173" t="s">
        <v>197</v>
      </c>
      <c r="M417" s="174" t="s">
        <v>198</v>
      </c>
      <c r="N417" s="211">
        <f>'[2]G-STAFF'!A41</f>
        <v>7</v>
      </c>
      <c r="O417" s="175"/>
      <c r="P417" s="173"/>
      <c r="Q417" s="173"/>
      <c r="R417" s="173"/>
      <c r="S417" s="176"/>
    </row>
    <row r="418" spans="1:19">
      <c r="A418" s="172"/>
      <c r="B418" s="173" t="s">
        <v>199</v>
      </c>
      <c r="C418" s="174" t="s">
        <v>198</v>
      </c>
      <c r="D418" s="177" t="str">
        <f>'[2]G-STAFF'!A3</f>
        <v>01 JANUARI  S/D  31 JANUARI  2025</v>
      </c>
      <c r="E418" s="173"/>
      <c r="F418" s="173"/>
      <c r="G418" s="173"/>
      <c r="H418" s="173"/>
      <c r="I418" s="176"/>
      <c r="J418" s="173"/>
      <c r="K418" s="172"/>
      <c r="L418" s="173" t="s">
        <v>199</v>
      </c>
      <c r="M418" s="174" t="s">
        <v>198</v>
      </c>
      <c r="N418" s="177" t="str">
        <f>'[2]G-STAFF'!A3</f>
        <v>01 JANUARI  S/D  31 JANUARI  2025</v>
      </c>
      <c r="O418" s="179"/>
      <c r="P418" s="173"/>
      <c r="Q418" s="173"/>
      <c r="R418" s="173"/>
      <c r="S418" s="176"/>
    </row>
    <row r="419" spans="1:19">
      <c r="A419" s="172"/>
      <c r="B419" s="173" t="s">
        <v>200</v>
      </c>
      <c r="C419" s="174" t="s">
        <v>198</v>
      </c>
      <c r="D419" s="177" t="str">
        <f>'[2]G-STAFF'!B40</f>
        <v>SUTRIS</v>
      </c>
      <c r="E419" s="173"/>
      <c r="F419" s="173"/>
      <c r="G419" s="173"/>
      <c r="H419" s="173"/>
      <c r="I419" s="176"/>
      <c r="J419" s="173"/>
      <c r="K419" s="172"/>
      <c r="L419" s="173" t="s">
        <v>200</v>
      </c>
      <c r="M419" s="174" t="s">
        <v>198</v>
      </c>
      <c r="N419" s="178" t="str">
        <f>'[2]G-STAFF'!B41</f>
        <v>SUCIPTO</v>
      </c>
      <c r="O419" s="173"/>
      <c r="P419" s="173"/>
      <c r="Q419" s="173"/>
      <c r="R419" s="173"/>
      <c r="S419" s="176"/>
    </row>
    <row r="420" spans="1:19" ht="15.75" thickBot="1">
      <c r="A420" s="172"/>
      <c r="B420" s="173" t="s">
        <v>201</v>
      </c>
      <c r="C420" s="174" t="s">
        <v>198</v>
      </c>
      <c r="D420" s="177" t="str">
        <f>'[2]G-STAFF'!H40</f>
        <v>DRIVER</v>
      </c>
      <c r="E420" s="173"/>
      <c r="F420" s="173"/>
      <c r="G420" s="173"/>
      <c r="H420" s="173"/>
      <c r="I420" s="176"/>
      <c r="J420" s="173"/>
      <c r="K420" s="172"/>
      <c r="L420" s="173" t="s">
        <v>201</v>
      </c>
      <c r="M420" s="174" t="s">
        <v>198</v>
      </c>
      <c r="N420" s="178" t="str">
        <f>'[2]G-STAFF'!H41</f>
        <v>DRIVER</v>
      </c>
      <c r="O420" s="179"/>
      <c r="P420" s="173"/>
      <c r="Q420" s="173"/>
      <c r="R420" s="173"/>
      <c r="S420" s="176"/>
    </row>
    <row r="421" spans="1:19" ht="15.75" thickTop="1">
      <c r="A421" s="170"/>
      <c r="B421" s="182"/>
      <c r="C421" s="182"/>
      <c r="D421" s="182"/>
      <c r="E421" s="182"/>
      <c r="F421" s="182"/>
      <c r="G421" s="182"/>
      <c r="H421" s="182"/>
      <c r="I421" s="183"/>
      <c r="J421" s="169"/>
      <c r="K421" s="170"/>
      <c r="L421" s="182"/>
      <c r="M421" s="182"/>
      <c r="N421" s="182"/>
      <c r="O421" s="182"/>
      <c r="P421" s="182"/>
      <c r="Q421" s="182"/>
      <c r="R421" s="182"/>
      <c r="S421" s="183"/>
    </row>
    <row r="422" spans="1:19">
      <c r="A422" s="170"/>
      <c r="B422" s="184" t="s">
        <v>202</v>
      </c>
      <c r="C422" s="185"/>
      <c r="D422" s="185"/>
      <c r="E422" s="185"/>
      <c r="F422" s="185"/>
      <c r="G422" s="185"/>
      <c r="H422" s="185"/>
      <c r="I422" s="183"/>
      <c r="J422" s="169"/>
      <c r="K422" s="170"/>
      <c r="L422" s="184" t="s">
        <v>202</v>
      </c>
      <c r="M422" s="184"/>
      <c r="N422" s="185"/>
      <c r="O422" s="185"/>
      <c r="P422" s="185"/>
      <c r="Q422" s="185"/>
      <c r="R422" s="185"/>
      <c r="S422" s="183"/>
    </row>
    <row r="423" spans="1:19">
      <c r="A423" s="170"/>
      <c r="B423" s="186" t="s">
        <v>223</v>
      </c>
      <c r="C423" s="186"/>
      <c r="D423" s="187">
        <f>'[2]G-STAFF'!W40</f>
        <v>27</v>
      </c>
      <c r="E423" s="186"/>
      <c r="F423" s="186" t="s">
        <v>205</v>
      </c>
      <c r="G423" s="187">
        <f>'[2]G-STAFF'!X40</f>
        <v>145452</v>
      </c>
      <c r="H423" s="187">
        <f>'[2]G-STAFF'!J40</f>
        <v>3927204</v>
      </c>
      <c r="I423" s="188"/>
      <c r="J423" s="187"/>
      <c r="K423" s="170"/>
      <c r="L423" s="186" t="s">
        <v>111</v>
      </c>
      <c r="M423" s="186"/>
      <c r="N423" s="187">
        <f>'[2]G-STAFF'!W41</f>
        <v>28</v>
      </c>
      <c r="O423" s="186"/>
      <c r="P423" s="186" t="s">
        <v>205</v>
      </c>
      <c r="Q423" s="187">
        <f>'[2]G-STAFF'!X41</f>
        <v>145452</v>
      </c>
      <c r="R423" s="187">
        <f>'[2]G-STAFF'!J41</f>
        <v>4072656</v>
      </c>
      <c r="S423" s="188"/>
    </row>
    <row r="424" spans="1:19">
      <c r="A424" s="170"/>
      <c r="B424" s="186" t="s">
        <v>203</v>
      </c>
      <c r="C424" s="186"/>
      <c r="D424" s="186"/>
      <c r="E424" s="186"/>
      <c r="F424" s="186"/>
      <c r="G424" s="187"/>
      <c r="H424" s="187">
        <f>'[2]G-STAFF'!I40</f>
        <v>100000</v>
      </c>
      <c r="I424" s="188"/>
      <c r="J424" s="209"/>
      <c r="K424" s="170"/>
      <c r="L424" s="186" t="s">
        <v>203</v>
      </c>
      <c r="M424" s="186"/>
      <c r="N424" s="186"/>
      <c r="O424" s="186"/>
      <c r="P424" s="186"/>
      <c r="Q424" s="187"/>
      <c r="R424" s="187">
        <f>'[2]G-STAFF'!I41</f>
        <v>0</v>
      </c>
      <c r="S424" s="188"/>
    </row>
    <row r="425" spans="1:19">
      <c r="A425" s="170"/>
      <c r="B425" s="186" t="s">
        <v>195</v>
      </c>
      <c r="C425" s="186"/>
      <c r="D425" s="187">
        <f>'[2]G-STAFF'!Z40</f>
        <v>19</v>
      </c>
      <c r="E425" s="186" t="s">
        <v>204</v>
      </c>
      <c r="F425" s="186" t="s">
        <v>205</v>
      </c>
      <c r="G425" s="187">
        <v>6000</v>
      </c>
      <c r="H425" s="187">
        <f>G425*D425</f>
        <v>114000</v>
      </c>
      <c r="I425" s="188"/>
      <c r="J425" s="187"/>
      <c r="K425" s="170"/>
      <c r="L425" s="186" t="s">
        <v>195</v>
      </c>
      <c r="M425" s="186"/>
      <c r="N425" s="187">
        <f>'[2]G-STAFF'!Z41</f>
        <v>20</v>
      </c>
      <c r="O425" s="186" t="s">
        <v>204</v>
      </c>
      <c r="P425" s="186" t="s">
        <v>205</v>
      </c>
      <c r="Q425" s="187">
        <v>6000</v>
      </c>
      <c r="R425" s="187">
        <f>Q425*N425</f>
        <v>120000</v>
      </c>
      <c r="S425" s="188"/>
    </row>
    <row r="426" spans="1:19">
      <c r="A426" s="170"/>
      <c r="B426" s="186" t="s">
        <v>5</v>
      </c>
      <c r="C426" s="186"/>
      <c r="D426" s="186"/>
      <c r="E426" s="186"/>
      <c r="F426" s="186"/>
      <c r="G426" s="187"/>
      <c r="H426" s="187"/>
      <c r="I426" s="188"/>
      <c r="J426" s="209"/>
      <c r="K426" s="170"/>
      <c r="L426" s="186" t="s">
        <v>5</v>
      </c>
      <c r="M426" s="186"/>
      <c r="N426" s="186"/>
      <c r="O426" s="186"/>
      <c r="P426" s="186"/>
      <c r="Q426" s="187"/>
      <c r="R426" s="187">
        <v>0</v>
      </c>
      <c r="S426" s="188"/>
    </row>
    <row r="427" spans="1:19">
      <c r="A427" s="170"/>
      <c r="B427" s="186" t="s">
        <v>206</v>
      </c>
      <c r="C427" s="186"/>
      <c r="D427" s="212">
        <f>'[2]G-STAFF'!CH40</f>
        <v>10</v>
      </c>
      <c r="E427" s="186" t="s">
        <v>207</v>
      </c>
      <c r="F427" s="186" t="s">
        <v>205</v>
      </c>
      <c r="G427" s="187">
        <f>'[2]G-STAFF'!M40</f>
        <v>25222.890173410404</v>
      </c>
      <c r="H427" s="187">
        <f>G427*D427</f>
        <v>252228.90173410403</v>
      </c>
      <c r="I427" s="188"/>
      <c r="J427" s="187"/>
      <c r="K427" s="170"/>
      <c r="L427" s="186" t="s">
        <v>206</v>
      </c>
      <c r="M427" s="186"/>
      <c r="N427" s="212">
        <f>'[2]G-STAFF'!CH41</f>
        <v>10</v>
      </c>
      <c r="O427" s="186" t="s">
        <v>207</v>
      </c>
      <c r="P427" s="186" t="s">
        <v>205</v>
      </c>
      <c r="Q427" s="187">
        <f>'[2]G-STAFF'!M41</f>
        <v>25222.890173410404</v>
      </c>
      <c r="R427" s="187">
        <f>Q427*N427</f>
        <v>252228.90173410403</v>
      </c>
      <c r="S427" s="188"/>
    </row>
    <row r="428" spans="1:19" ht="15.75" thickBot="1">
      <c r="A428" s="170"/>
      <c r="B428" s="190" t="s">
        <v>208</v>
      </c>
      <c r="C428" s="190"/>
      <c r="D428" s="213">
        <f>'[2]G-STAFF'!CG40</f>
        <v>53.5</v>
      </c>
      <c r="E428" s="190" t="s">
        <v>207</v>
      </c>
      <c r="F428" s="190" t="s">
        <v>205</v>
      </c>
      <c r="G428" s="192">
        <f>G427</f>
        <v>25222.890173410404</v>
      </c>
      <c r="H428" s="192">
        <f>G428*D428</f>
        <v>1349424.6242774567</v>
      </c>
      <c r="I428" s="188"/>
      <c r="J428" s="187"/>
      <c r="K428" s="170"/>
      <c r="L428" s="190" t="s">
        <v>208</v>
      </c>
      <c r="M428" s="190"/>
      <c r="N428" s="213">
        <f>'[2]G-STAFF'!CG41</f>
        <v>44</v>
      </c>
      <c r="O428" s="190" t="s">
        <v>207</v>
      </c>
      <c r="P428" s="190" t="s">
        <v>205</v>
      </c>
      <c r="Q428" s="192">
        <f>Q427</f>
        <v>25222.890173410404</v>
      </c>
      <c r="R428" s="192">
        <f>Q428*N428</f>
        <v>1109807.1676300578</v>
      </c>
      <c r="S428" s="188"/>
    </row>
    <row r="429" spans="1:19" ht="15.75" thickBot="1">
      <c r="A429" s="170"/>
      <c r="B429" s="190" t="s">
        <v>219</v>
      </c>
      <c r="C429" s="190"/>
      <c r="D429" s="213">
        <f>'[2]G-STAFF'!CI40</f>
        <v>63.5</v>
      </c>
      <c r="E429" s="190"/>
      <c r="F429" s="190"/>
      <c r="G429" s="192"/>
      <c r="H429" s="192">
        <f>SUM(H423:H428)</f>
        <v>5742857.526011561</v>
      </c>
      <c r="I429" s="188"/>
      <c r="J429" s="187"/>
      <c r="K429" s="170"/>
      <c r="L429" s="190" t="s">
        <v>222</v>
      </c>
      <c r="M429" s="190"/>
      <c r="N429" s="213">
        <f>'[2]G-STAFF'!CI41</f>
        <v>54</v>
      </c>
      <c r="O429" s="190"/>
      <c r="P429" s="190"/>
      <c r="Q429" s="192"/>
      <c r="R429" s="192">
        <f>SUM(R423:R428)</f>
        <v>5554692.0693641622</v>
      </c>
      <c r="S429" s="188"/>
    </row>
    <row r="430" spans="1:19" ht="15.75" thickTop="1">
      <c r="A430" s="170"/>
      <c r="B430" s="182"/>
      <c r="C430" s="182"/>
      <c r="D430" s="182"/>
      <c r="E430" s="182"/>
      <c r="F430" s="182"/>
      <c r="G430" s="182"/>
      <c r="H430" s="182"/>
      <c r="I430" s="183"/>
      <c r="J430" s="169"/>
      <c r="K430" s="170"/>
      <c r="L430" s="182"/>
      <c r="M430" s="182"/>
      <c r="N430" s="182"/>
      <c r="O430" s="182"/>
      <c r="P430" s="182"/>
      <c r="Q430" s="182"/>
      <c r="R430" s="182"/>
      <c r="S430" s="183"/>
    </row>
    <row r="431" spans="1:19">
      <c r="A431" s="170"/>
      <c r="B431" s="196" t="s">
        <v>113</v>
      </c>
      <c r="C431" s="186"/>
      <c r="D431" s="186"/>
      <c r="E431" s="186"/>
      <c r="F431" s="186"/>
      <c r="G431" s="187"/>
      <c r="H431" s="187"/>
      <c r="I431" s="188"/>
      <c r="J431" s="209"/>
      <c r="K431" s="170"/>
      <c r="L431" s="196" t="s">
        <v>113</v>
      </c>
      <c r="M431" s="186"/>
      <c r="N431" s="186"/>
      <c r="O431" s="186"/>
      <c r="P431" s="186"/>
      <c r="Q431" s="187"/>
      <c r="R431" s="187"/>
      <c r="S431" s="188"/>
    </row>
    <row r="432" spans="1:19">
      <c r="A432" s="170"/>
      <c r="B432" s="186" t="s">
        <v>209</v>
      </c>
      <c r="C432" s="186"/>
      <c r="D432" s="197"/>
      <c r="E432" s="186"/>
      <c r="F432" s="186"/>
      <c r="G432" s="198" t="str">
        <f>'[2]G-STAFF'!C40</f>
        <v>K1</v>
      </c>
      <c r="H432" s="187">
        <f>'[2]G-STAFF'!Q40</f>
        <v>14648.867118549098</v>
      </c>
      <c r="I432" s="188"/>
      <c r="J432" s="209"/>
      <c r="K432" s="170"/>
      <c r="L432" s="186" t="s">
        <v>209</v>
      </c>
      <c r="M432" s="186"/>
      <c r="N432" s="198"/>
      <c r="O432" s="186"/>
      <c r="P432" s="186"/>
      <c r="Q432" s="198" t="str">
        <f>'[2]G-STAFF'!C41</f>
        <v>K</v>
      </c>
      <c r="R432" s="187">
        <f>'[2]G-STAFF'!Q41</f>
        <v>24461.007927797735</v>
      </c>
      <c r="S432" s="188"/>
    </row>
    <row r="433" spans="1:19">
      <c r="A433" s="170"/>
      <c r="B433" s="186" t="s">
        <v>210</v>
      </c>
      <c r="C433" s="186"/>
      <c r="D433" s="186"/>
      <c r="E433" s="186"/>
      <c r="F433" s="186"/>
      <c r="G433" s="187"/>
      <c r="H433" s="187">
        <f>'[2]G-STAFF'!R40</f>
        <v>180808.48</v>
      </c>
      <c r="I433" s="188"/>
      <c r="J433" s="209"/>
      <c r="K433" s="170"/>
      <c r="L433" s="186" t="s">
        <v>210</v>
      </c>
      <c r="M433" s="186"/>
      <c r="N433" s="186"/>
      <c r="O433" s="186"/>
      <c r="P433" s="186"/>
      <c r="Q433" s="187"/>
      <c r="R433" s="187">
        <f>'[2]G-STAFF'!R41</f>
        <v>180808.48</v>
      </c>
      <c r="S433" s="188"/>
    </row>
    <row r="434" spans="1:19" ht="15.75" thickBot="1">
      <c r="A434" s="170"/>
      <c r="B434" s="190" t="s">
        <v>211</v>
      </c>
      <c r="C434" s="190"/>
      <c r="D434" s="190"/>
      <c r="E434" s="190"/>
      <c r="F434" s="190"/>
      <c r="G434" s="192"/>
      <c r="H434" s="192">
        <f>SUM(H432:H433)</f>
        <v>195457.34711854911</v>
      </c>
      <c r="I434" s="188"/>
      <c r="J434" s="209"/>
      <c r="K434" s="170"/>
      <c r="L434" s="190" t="s">
        <v>211</v>
      </c>
      <c r="M434" s="190"/>
      <c r="N434" s="190"/>
      <c r="O434" s="190"/>
      <c r="P434" s="190"/>
      <c r="Q434" s="192"/>
      <c r="R434" s="192">
        <f>SUM(R432:R433)</f>
        <v>205269.48792779775</v>
      </c>
      <c r="S434" s="188"/>
    </row>
    <row r="435" spans="1:19" ht="15.75" thickBot="1">
      <c r="A435" s="170"/>
      <c r="B435" s="193" t="s">
        <v>220</v>
      </c>
      <c r="C435" s="193"/>
      <c r="D435" s="193"/>
      <c r="E435" s="193"/>
      <c r="F435" s="193"/>
      <c r="G435" s="195"/>
      <c r="H435" s="195">
        <f>SUM(H429-H434)</f>
        <v>5547400.178893012</v>
      </c>
      <c r="I435" s="188"/>
      <c r="J435" s="209"/>
      <c r="K435" s="170"/>
      <c r="L435" s="193" t="s">
        <v>220</v>
      </c>
      <c r="M435" s="193"/>
      <c r="N435" s="193"/>
      <c r="O435" s="193"/>
      <c r="P435" s="193"/>
      <c r="Q435" s="195"/>
      <c r="R435" s="195">
        <f>SUM(R429-R434)</f>
        <v>5349422.581436364</v>
      </c>
      <c r="S435" s="188"/>
    </row>
    <row r="436" spans="1:19">
      <c r="A436" s="170"/>
      <c r="B436" s="186" t="s">
        <v>221</v>
      </c>
      <c r="C436" s="186"/>
      <c r="D436" s="186"/>
      <c r="E436" s="186"/>
      <c r="F436" s="186"/>
      <c r="G436" s="187"/>
      <c r="H436" s="187">
        <f>'[2]Urutan Nm'!H73</f>
        <v>10000</v>
      </c>
      <c r="I436" s="188"/>
      <c r="J436" s="209"/>
      <c r="K436" s="170"/>
      <c r="L436" s="186" t="s">
        <v>221</v>
      </c>
      <c r="M436" s="186"/>
      <c r="N436" s="186"/>
      <c r="O436" s="186"/>
      <c r="P436" s="186"/>
      <c r="Q436" s="187"/>
      <c r="R436" s="187">
        <f>'[2]Urutan Nm'!H74</f>
        <v>10000</v>
      </c>
      <c r="S436" s="188"/>
    </row>
    <row r="437" spans="1:19" ht="15.75" thickBot="1">
      <c r="A437" s="170"/>
      <c r="B437" s="199"/>
      <c r="C437" s="190"/>
      <c r="D437" s="190"/>
      <c r="E437" s="190"/>
      <c r="F437" s="190"/>
      <c r="G437" s="192"/>
      <c r="H437" s="192"/>
      <c r="I437" s="188"/>
      <c r="J437" s="187"/>
      <c r="K437" s="170"/>
      <c r="L437" s="199"/>
      <c r="M437" s="190"/>
      <c r="N437" s="190"/>
      <c r="O437" s="190"/>
      <c r="P437" s="190"/>
      <c r="Q437" s="192"/>
      <c r="R437" s="192"/>
      <c r="S437" s="188"/>
    </row>
    <row r="438" spans="1:19" ht="15.75" thickBot="1">
      <c r="A438" s="170"/>
      <c r="B438" s="200" t="s">
        <v>212</v>
      </c>
      <c r="C438" s="200"/>
      <c r="D438" s="200"/>
      <c r="E438" s="200"/>
      <c r="F438" s="200"/>
      <c r="G438" s="201"/>
      <c r="H438" s="201">
        <f>SUM(H435-H436)</f>
        <v>5537400.178893012</v>
      </c>
      <c r="I438" s="188"/>
      <c r="J438" s="187"/>
      <c r="K438" s="170"/>
      <c r="L438" s="200" t="s">
        <v>212</v>
      </c>
      <c r="M438" s="200"/>
      <c r="N438" s="200"/>
      <c r="O438" s="200"/>
      <c r="P438" s="200"/>
      <c r="Q438" s="201"/>
      <c r="R438" s="201">
        <f>SUM(R435-R436)</f>
        <v>5339422.581436364</v>
      </c>
      <c r="S438" s="188"/>
    </row>
    <row r="439" spans="1:19" ht="15.75" thickTop="1">
      <c r="A439" s="170"/>
      <c r="B439" s="202" t="s">
        <v>213</v>
      </c>
      <c r="C439" s="186"/>
      <c r="D439" s="186"/>
      <c r="E439" s="186"/>
      <c r="F439" s="186"/>
      <c r="G439" s="296" t="s">
        <v>214</v>
      </c>
      <c r="H439" s="296"/>
      <c r="I439" s="188"/>
      <c r="J439" s="187"/>
      <c r="K439" s="170"/>
      <c r="L439" s="202" t="s">
        <v>213</v>
      </c>
      <c r="M439" s="186"/>
      <c r="N439" s="186"/>
      <c r="O439" s="186"/>
      <c r="P439" s="186"/>
      <c r="Q439" s="296" t="s">
        <v>214</v>
      </c>
      <c r="R439" s="296"/>
      <c r="S439" s="188"/>
    </row>
    <row r="440" spans="1:19">
      <c r="A440" s="170"/>
      <c r="B440" s="186"/>
      <c r="C440" s="186"/>
      <c r="D440" s="186"/>
      <c r="E440" s="186"/>
      <c r="F440" s="186"/>
      <c r="G440" s="187"/>
      <c r="H440" s="187"/>
      <c r="I440" s="188"/>
      <c r="J440" s="187"/>
      <c r="K440" s="170"/>
      <c r="L440" s="186"/>
      <c r="M440" s="186"/>
      <c r="N440" s="186"/>
      <c r="O440" s="186"/>
      <c r="P440" s="186"/>
      <c r="Q440" s="187"/>
      <c r="R440" s="187"/>
      <c r="S440" s="188"/>
    </row>
    <row r="441" spans="1:19">
      <c r="A441" s="170"/>
      <c r="B441" s="186"/>
      <c r="C441" s="186"/>
      <c r="D441" s="186"/>
      <c r="E441" s="186"/>
      <c r="F441" s="186"/>
      <c r="G441" s="187"/>
      <c r="H441" s="187"/>
      <c r="I441" s="188"/>
      <c r="J441" s="187"/>
      <c r="K441" s="170"/>
      <c r="L441" s="186"/>
      <c r="M441" s="186"/>
      <c r="N441" s="186"/>
      <c r="O441" s="186"/>
      <c r="P441" s="186"/>
      <c r="Q441" s="187"/>
      <c r="R441" s="187"/>
      <c r="S441" s="188"/>
    </row>
    <row r="442" spans="1:19">
      <c r="A442" s="170"/>
      <c r="B442" s="203" t="s">
        <v>215</v>
      </c>
      <c r="C442" s="186"/>
      <c r="D442" s="186"/>
      <c r="E442" s="186"/>
      <c r="F442" s="186"/>
      <c r="G442" s="297" t="s">
        <v>216</v>
      </c>
      <c r="H442" s="297"/>
      <c r="I442" s="188"/>
      <c r="J442" s="187"/>
      <c r="K442" s="170"/>
      <c r="L442" s="203" t="s">
        <v>215</v>
      </c>
      <c r="M442" s="186"/>
      <c r="N442" s="186"/>
      <c r="O442" s="186"/>
      <c r="P442" s="186"/>
      <c r="Q442" s="297" t="s">
        <v>216</v>
      </c>
      <c r="R442" s="297"/>
      <c r="S442" s="188"/>
    </row>
    <row r="443" spans="1:19">
      <c r="A443" s="204"/>
      <c r="B443" s="205"/>
      <c r="C443" s="206"/>
      <c r="D443" s="206"/>
      <c r="E443" s="206"/>
      <c r="F443" s="206"/>
      <c r="G443" s="207"/>
      <c r="H443" s="205"/>
      <c r="I443" s="208"/>
      <c r="J443" s="187"/>
      <c r="K443" s="204"/>
      <c r="L443" s="205"/>
      <c r="M443" s="206"/>
      <c r="N443" s="206"/>
      <c r="O443" s="206"/>
      <c r="P443" s="206"/>
      <c r="Q443" s="207"/>
      <c r="R443" s="205"/>
      <c r="S443" s="208"/>
    </row>
    <row r="444" spans="1:19">
      <c r="A444" s="169"/>
      <c r="B444" s="186"/>
      <c r="C444" s="186"/>
      <c r="D444" s="186"/>
      <c r="E444" s="186"/>
      <c r="F444" s="186"/>
      <c r="G444" s="187"/>
      <c r="H444" s="186"/>
      <c r="I444" s="187"/>
      <c r="J444" s="187"/>
      <c r="K444" s="169"/>
      <c r="L444" s="186"/>
      <c r="M444" s="186"/>
      <c r="N444" s="186"/>
      <c r="O444" s="186"/>
      <c r="P444" s="186"/>
      <c r="Q444" s="187"/>
      <c r="R444" s="187"/>
      <c r="S444" s="187"/>
    </row>
    <row r="445" spans="1:19">
      <c r="A445" s="166"/>
      <c r="B445" s="167"/>
      <c r="C445" s="167"/>
      <c r="D445" s="167"/>
      <c r="E445" s="167"/>
      <c r="F445" s="167"/>
      <c r="G445" s="167"/>
      <c r="H445" s="167"/>
      <c r="I445" s="168"/>
      <c r="J445" s="169"/>
      <c r="K445" s="166"/>
      <c r="L445" s="167"/>
      <c r="M445" s="167"/>
      <c r="N445" s="167"/>
      <c r="O445" s="167"/>
      <c r="P445" s="167"/>
      <c r="Q445" s="167"/>
      <c r="R445" s="167"/>
      <c r="S445" s="168"/>
    </row>
    <row r="446" spans="1:19">
      <c r="A446" s="170"/>
      <c r="B446" s="169"/>
      <c r="C446" s="169"/>
      <c r="D446" s="169"/>
      <c r="E446" s="169"/>
      <c r="F446" s="169"/>
      <c r="G446" s="169"/>
      <c r="H446" s="169"/>
      <c r="I446" s="171"/>
      <c r="J446" s="169"/>
      <c r="K446" s="170"/>
      <c r="L446" s="169"/>
      <c r="M446" s="169"/>
      <c r="N446" s="169"/>
      <c r="O446" s="169"/>
      <c r="P446" s="169"/>
      <c r="Q446" s="169"/>
      <c r="R446" s="169"/>
      <c r="S446" s="171"/>
    </row>
    <row r="447" spans="1:19">
      <c r="A447" s="170"/>
      <c r="B447" s="169"/>
      <c r="C447" s="169"/>
      <c r="D447" s="169"/>
      <c r="E447" s="169"/>
      <c r="F447" s="169"/>
      <c r="G447" s="169"/>
      <c r="H447" s="169"/>
      <c r="I447" s="171"/>
      <c r="J447" s="169"/>
      <c r="K447" s="170"/>
      <c r="L447" s="169"/>
      <c r="M447" s="169"/>
      <c r="N447" s="169"/>
      <c r="O447" s="169"/>
      <c r="P447" s="169"/>
      <c r="Q447" s="169"/>
      <c r="R447" s="169"/>
      <c r="S447" s="171"/>
    </row>
    <row r="448" spans="1:19">
      <c r="A448" s="170"/>
      <c r="B448" s="169"/>
      <c r="C448" s="169"/>
      <c r="D448" s="169"/>
      <c r="E448" s="169"/>
      <c r="F448" s="169"/>
      <c r="G448" s="169"/>
      <c r="H448" s="169"/>
      <c r="I448" s="171"/>
      <c r="J448" s="169"/>
      <c r="K448" s="170"/>
      <c r="L448" s="169"/>
      <c r="M448" s="169"/>
      <c r="N448" s="169"/>
      <c r="O448" s="169"/>
      <c r="P448" s="169"/>
      <c r="Q448" s="169"/>
      <c r="R448" s="169"/>
      <c r="S448" s="171"/>
    </row>
    <row r="449" spans="1:19">
      <c r="A449" s="170"/>
      <c r="B449" s="294" t="s">
        <v>196</v>
      </c>
      <c r="C449" s="294"/>
      <c r="D449" s="294"/>
      <c r="E449" s="294"/>
      <c r="F449" s="294"/>
      <c r="G449" s="294"/>
      <c r="H449" s="294"/>
      <c r="I449" s="295"/>
      <c r="J449" s="169"/>
      <c r="K449" s="170"/>
      <c r="L449" s="294" t="s">
        <v>196</v>
      </c>
      <c r="M449" s="294"/>
      <c r="N449" s="294"/>
      <c r="O449" s="294"/>
      <c r="P449" s="294"/>
      <c r="Q449" s="294"/>
      <c r="R449" s="294"/>
      <c r="S449" s="295"/>
    </row>
    <row r="450" spans="1:19">
      <c r="A450" s="172"/>
      <c r="B450" s="173" t="s">
        <v>197</v>
      </c>
      <c r="C450" s="174" t="s">
        <v>198</v>
      </c>
      <c r="D450" s="211">
        <f>'[2]G-STAFF'!A42</f>
        <v>8</v>
      </c>
      <c r="E450" s="173"/>
      <c r="F450" s="173"/>
      <c r="G450" s="173"/>
      <c r="H450" s="173"/>
      <c r="I450" s="176"/>
      <c r="J450" s="173"/>
      <c r="K450" s="172"/>
      <c r="L450" s="173" t="s">
        <v>197</v>
      </c>
      <c r="M450" s="174" t="s">
        <v>198</v>
      </c>
      <c r="N450" s="211">
        <f>'[2]G-STAFF'!A43</f>
        <v>9</v>
      </c>
      <c r="O450" s="175"/>
      <c r="P450" s="173"/>
      <c r="Q450" s="173"/>
      <c r="R450" s="173"/>
      <c r="S450" s="176"/>
    </row>
    <row r="451" spans="1:19">
      <c r="A451" s="172"/>
      <c r="B451" s="173" t="s">
        <v>199</v>
      </c>
      <c r="C451" s="174" t="s">
        <v>198</v>
      </c>
      <c r="D451" s="177" t="str">
        <f>'[2]G-STAFF'!A3</f>
        <v>01 JANUARI  S/D  31 JANUARI  2025</v>
      </c>
      <c r="E451" s="173"/>
      <c r="F451" s="173"/>
      <c r="G451" s="173"/>
      <c r="H451" s="173"/>
      <c r="I451" s="176"/>
      <c r="J451" s="173"/>
      <c r="K451" s="172"/>
      <c r="L451" s="173" t="s">
        <v>199</v>
      </c>
      <c r="M451" s="174" t="s">
        <v>198</v>
      </c>
      <c r="N451" s="177" t="str">
        <f>'[2]G-STAFF'!A3</f>
        <v>01 JANUARI  S/D  31 JANUARI  2025</v>
      </c>
      <c r="O451" s="179"/>
      <c r="P451" s="173"/>
      <c r="Q451" s="173"/>
      <c r="R451" s="173"/>
      <c r="S451" s="176"/>
    </row>
    <row r="452" spans="1:19">
      <c r="A452" s="172"/>
      <c r="B452" s="173" t="s">
        <v>200</v>
      </c>
      <c r="C452" s="174" t="s">
        <v>198</v>
      </c>
      <c r="D452" s="177" t="str">
        <f>'[2]G-STAFF'!B42</f>
        <v>UDI</v>
      </c>
      <c r="E452" s="173"/>
      <c r="F452" s="173"/>
      <c r="G452" s="173"/>
      <c r="H452" s="173"/>
      <c r="I452" s="176"/>
      <c r="J452" s="173"/>
      <c r="K452" s="172"/>
      <c r="L452" s="173" t="s">
        <v>200</v>
      </c>
      <c r="M452" s="174" t="s">
        <v>198</v>
      </c>
      <c r="N452" s="178" t="str">
        <f>'[2]G-STAFF'!B43</f>
        <v>ANDI</v>
      </c>
      <c r="O452" s="173"/>
      <c r="P452" s="173"/>
      <c r="Q452" s="173"/>
      <c r="R452" s="173"/>
      <c r="S452" s="176"/>
    </row>
    <row r="453" spans="1:19" ht="15.75" thickBot="1">
      <c r="A453" s="172"/>
      <c r="B453" s="173" t="s">
        <v>201</v>
      </c>
      <c r="C453" s="174" t="s">
        <v>198</v>
      </c>
      <c r="D453" s="177" t="str">
        <f>'[2]G-STAFF'!H42</f>
        <v>DRIVER</v>
      </c>
      <c r="E453" s="173"/>
      <c r="F453" s="173"/>
      <c r="G453" s="173"/>
      <c r="H453" s="173"/>
      <c r="I453" s="176"/>
      <c r="J453" s="173"/>
      <c r="K453" s="172"/>
      <c r="L453" s="173" t="s">
        <v>201</v>
      </c>
      <c r="M453" s="174" t="s">
        <v>198</v>
      </c>
      <c r="N453" s="178" t="str">
        <f>'[2]G-STAFF'!H43</f>
        <v>DRIVER</v>
      </c>
      <c r="O453" s="179"/>
      <c r="P453" s="173"/>
      <c r="Q453" s="173"/>
      <c r="R453" s="173"/>
      <c r="S453" s="176"/>
    </row>
    <row r="454" spans="1:19" ht="15.75" thickTop="1">
      <c r="A454" s="170"/>
      <c r="B454" s="182"/>
      <c r="C454" s="182"/>
      <c r="D454" s="182"/>
      <c r="E454" s="182"/>
      <c r="F454" s="182"/>
      <c r="G454" s="182"/>
      <c r="H454" s="182"/>
      <c r="I454" s="183"/>
      <c r="J454" s="169"/>
      <c r="K454" s="170"/>
      <c r="L454" s="182"/>
      <c r="M454" s="182"/>
      <c r="N454" s="182"/>
      <c r="O454" s="182"/>
      <c r="P454" s="182"/>
      <c r="Q454" s="182"/>
      <c r="R454" s="182"/>
      <c r="S454" s="183"/>
    </row>
    <row r="455" spans="1:19">
      <c r="A455" s="170"/>
      <c r="B455" s="184" t="s">
        <v>202</v>
      </c>
      <c r="C455" s="185"/>
      <c r="D455" s="185"/>
      <c r="E455" s="185"/>
      <c r="F455" s="185"/>
      <c r="G455" s="185"/>
      <c r="H455" s="185"/>
      <c r="I455" s="183"/>
      <c r="J455" s="169"/>
      <c r="K455" s="170"/>
      <c r="L455" s="184" t="s">
        <v>202</v>
      </c>
      <c r="M455" s="184"/>
      <c r="N455" s="185"/>
      <c r="O455" s="185"/>
      <c r="P455" s="185"/>
      <c r="Q455" s="185"/>
      <c r="R455" s="185"/>
      <c r="S455" s="183"/>
    </row>
    <row r="456" spans="1:19">
      <c r="A456" s="170"/>
      <c r="B456" s="186" t="s">
        <v>223</v>
      </c>
      <c r="C456" s="186"/>
      <c r="D456" s="187">
        <f>'[2]G-STAFF'!W42</f>
        <v>27</v>
      </c>
      <c r="E456" s="186"/>
      <c r="F456" s="186" t="s">
        <v>205</v>
      </c>
      <c r="G456" s="187">
        <f>'[2]G-STAFF'!X42</f>
        <v>139858</v>
      </c>
      <c r="H456" s="187">
        <f>'[2]G-STAFF'!J42</f>
        <v>3776166</v>
      </c>
      <c r="I456" s="188"/>
      <c r="J456" s="187"/>
      <c r="K456" s="170"/>
      <c r="L456" s="186" t="s">
        <v>111</v>
      </c>
      <c r="M456" s="186"/>
      <c r="N456" s="187">
        <f>'[2]G-STAFF'!W43</f>
        <v>28</v>
      </c>
      <c r="O456" s="186"/>
      <c r="P456" s="186" t="s">
        <v>205</v>
      </c>
      <c r="Q456" s="187">
        <f>'[2]G-STAFF'!X43</f>
        <v>139858</v>
      </c>
      <c r="R456" s="187">
        <f>'[2]G-STAFF'!J43</f>
        <v>3916024</v>
      </c>
      <c r="S456" s="188"/>
    </row>
    <row r="457" spans="1:19">
      <c r="A457" s="170"/>
      <c r="B457" s="186" t="s">
        <v>203</v>
      </c>
      <c r="C457" s="186"/>
      <c r="D457" s="186"/>
      <c r="E457" s="186"/>
      <c r="F457" s="186"/>
      <c r="G457" s="187"/>
      <c r="H457" s="187">
        <f>'[2]G-STAFF'!I42</f>
        <v>0</v>
      </c>
      <c r="I457" s="188"/>
      <c r="J457" s="209"/>
      <c r="K457" s="170"/>
      <c r="L457" s="186" t="s">
        <v>203</v>
      </c>
      <c r="M457" s="186"/>
      <c r="N457" s="186"/>
      <c r="O457" s="186"/>
      <c r="P457" s="186"/>
      <c r="Q457" s="187"/>
      <c r="R457" s="187">
        <f>'[2]G-STAFF'!I43</f>
        <v>0</v>
      </c>
      <c r="S457" s="188"/>
    </row>
    <row r="458" spans="1:19">
      <c r="A458" s="170"/>
      <c r="B458" s="186" t="s">
        <v>195</v>
      </c>
      <c r="C458" s="186"/>
      <c r="D458" s="187">
        <f>'[2]G-STAFF'!Z42</f>
        <v>18</v>
      </c>
      <c r="E458" s="186" t="s">
        <v>204</v>
      </c>
      <c r="F458" s="186" t="s">
        <v>205</v>
      </c>
      <c r="G458" s="187">
        <v>6000</v>
      </c>
      <c r="H458" s="187">
        <f>G458*D458</f>
        <v>108000</v>
      </c>
      <c r="I458" s="188"/>
      <c r="J458" s="187"/>
      <c r="K458" s="170"/>
      <c r="L458" s="186" t="s">
        <v>195</v>
      </c>
      <c r="M458" s="186"/>
      <c r="N458" s="187">
        <f>'[2]G-STAFF'!Z43</f>
        <v>20</v>
      </c>
      <c r="O458" s="186" t="s">
        <v>204</v>
      </c>
      <c r="P458" s="186" t="s">
        <v>205</v>
      </c>
      <c r="Q458" s="187">
        <v>6000</v>
      </c>
      <c r="R458" s="187">
        <f>Q458*N458</f>
        <v>120000</v>
      </c>
      <c r="S458" s="188"/>
    </row>
    <row r="459" spans="1:19">
      <c r="A459" s="170"/>
      <c r="B459" s="186" t="s">
        <v>5</v>
      </c>
      <c r="C459" s="186"/>
      <c r="D459" s="186"/>
      <c r="E459" s="186"/>
      <c r="F459" s="186"/>
      <c r="G459" s="187"/>
      <c r="H459" s="187"/>
      <c r="I459" s="188"/>
      <c r="J459" s="209"/>
      <c r="K459" s="170"/>
      <c r="L459" s="186" t="s">
        <v>5</v>
      </c>
      <c r="M459" s="186"/>
      <c r="N459" s="186"/>
      <c r="O459" s="186"/>
      <c r="P459" s="186"/>
      <c r="Q459" s="187"/>
      <c r="R459" s="187">
        <v>0</v>
      </c>
      <c r="S459" s="188"/>
    </row>
    <row r="460" spans="1:19">
      <c r="A460" s="170"/>
      <c r="B460" s="186" t="s">
        <v>206</v>
      </c>
      <c r="C460" s="186"/>
      <c r="D460" s="212">
        <f>'[2]G-STAFF'!CH42</f>
        <v>32</v>
      </c>
      <c r="E460" s="186" t="s">
        <v>207</v>
      </c>
      <c r="F460" s="186" t="s">
        <v>205</v>
      </c>
      <c r="G460" s="187">
        <f>'[2]G-STAFF'!M42</f>
        <v>24252.832369942196</v>
      </c>
      <c r="H460" s="187">
        <f>G460*D460</f>
        <v>776090.63583815028</v>
      </c>
      <c r="I460" s="188"/>
      <c r="J460" s="187"/>
      <c r="K460" s="170"/>
      <c r="L460" s="186" t="s">
        <v>206</v>
      </c>
      <c r="M460" s="186"/>
      <c r="N460" s="212">
        <f>'[2]G-STAFF'!CH43</f>
        <v>10</v>
      </c>
      <c r="O460" s="186" t="s">
        <v>207</v>
      </c>
      <c r="P460" s="186" t="s">
        <v>205</v>
      </c>
      <c r="Q460" s="187">
        <f>'[2]G-STAFF'!M43</f>
        <v>24252.832369942196</v>
      </c>
      <c r="R460" s="187">
        <f>Q460*N460</f>
        <v>242528.32369942195</v>
      </c>
      <c r="S460" s="188"/>
    </row>
    <row r="461" spans="1:19" ht="15.75" thickBot="1">
      <c r="A461" s="170"/>
      <c r="B461" s="190" t="s">
        <v>208</v>
      </c>
      <c r="C461" s="190"/>
      <c r="D461" s="213">
        <f>'[2]G-STAFF'!CG42</f>
        <v>166.5</v>
      </c>
      <c r="E461" s="190" t="s">
        <v>207</v>
      </c>
      <c r="F461" s="190" t="s">
        <v>205</v>
      </c>
      <c r="G461" s="192">
        <f>G460</f>
        <v>24252.832369942196</v>
      </c>
      <c r="H461" s="192">
        <f>G461*D461</f>
        <v>4038096.5895953756</v>
      </c>
      <c r="I461" s="188"/>
      <c r="J461" s="187"/>
      <c r="K461" s="170"/>
      <c r="L461" s="190" t="s">
        <v>208</v>
      </c>
      <c r="M461" s="190"/>
      <c r="N461" s="213">
        <f>'[2]G-STAFF'!CG43</f>
        <v>79.5</v>
      </c>
      <c r="O461" s="190" t="s">
        <v>207</v>
      </c>
      <c r="P461" s="190" t="s">
        <v>205</v>
      </c>
      <c r="Q461" s="192">
        <f>Q460</f>
        <v>24252.832369942196</v>
      </c>
      <c r="R461" s="192">
        <f>Q461*N461</f>
        <v>1928100.1734104047</v>
      </c>
      <c r="S461" s="188"/>
    </row>
    <row r="462" spans="1:19" ht="15.75" thickBot="1">
      <c r="A462" s="170"/>
      <c r="B462" s="190" t="s">
        <v>219</v>
      </c>
      <c r="C462" s="190"/>
      <c r="D462" s="213">
        <f>'[2]G-STAFF'!CI42</f>
        <v>198.5</v>
      </c>
      <c r="E462" s="190"/>
      <c r="F462" s="190"/>
      <c r="G462" s="192"/>
      <c r="H462" s="192">
        <f>SUM(H456:H461)</f>
        <v>8698353.2254335247</v>
      </c>
      <c r="I462" s="188"/>
      <c r="J462" s="187"/>
      <c r="K462" s="170"/>
      <c r="L462" s="190" t="s">
        <v>222</v>
      </c>
      <c r="M462" s="190"/>
      <c r="N462" s="213">
        <f>'[2]G-STAFF'!CI43</f>
        <v>89.5</v>
      </c>
      <c r="O462" s="190"/>
      <c r="P462" s="190"/>
      <c r="Q462" s="192"/>
      <c r="R462" s="192">
        <f>SUM(R456:R461)</f>
        <v>6206652.4971098267</v>
      </c>
      <c r="S462" s="188"/>
    </row>
    <row r="463" spans="1:19" ht="15.75" thickTop="1">
      <c r="A463" s="170"/>
      <c r="B463" s="182"/>
      <c r="C463" s="182"/>
      <c r="D463" s="182"/>
      <c r="E463" s="182"/>
      <c r="F463" s="182"/>
      <c r="G463" s="182"/>
      <c r="H463" s="182"/>
      <c r="I463" s="183"/>
      <c r="J463" s="169"/>
      <c r="K463" s="170"/>
      <c r="L463" s="182"/>
      <c r="M463" s="182"/>
      <c r="N463" s="182"/>
      <c r="O463" s="182"/>
      <c r="P463" s="182"/>
      <c r="Q463" s="182"/>
      <c r="R463" s="182"/>
      <c r="S463" s="183"/>
    </row>
    <row r="464" spans="1:19">
      <c r="A464" s="170"/>
      <c r="B464" s="196" t="s">
        <v>113</v>
      </c>
      <c r="C464" s="186"/>
      <c r="D464" s="186"/>
      <c r="E464" s="186"/>
      <c r="F464" s="186"/>
      <c r="G464" s="187"/>
      <c r="H464" s="187"/>
      <c r="I464" s="188"/>
      <c r="J464" s="209"/>
      <c r="K464" s="170"/>
      <c r="L464" s="196" t="s">
        <v>113</v>
      </c>
      <c r="M464" s="186"/>
      <c r="N464" s="186"/>
      <c r="O464" s="186"/>
      <c r="P464" s="186"/>
      <c r="Q464" s="187"/>
      <c r="R464" s="187"/>
      <c r="S464" s="188"/>
    </row>
    <row r="465" spans="1:19">
      <c r="A465" s="170"/>
      <c r="B465" s="186" t="s">
        <v>209</v>
      </c>
      <c r="C465" s="186"/>
      <c r="D465" s="197"/>
      <c r="E465" s="186"/>
      <c r="F465" s="186"/>
      <c r="G465" s="198" t="str">
        <f>'[2]G-STAFF'!C42</f>
        <v>K1</v>
      </c>
      <c r="H465" s="187">
        <f>'[2]G-STAFF'!Q42</f>
        <v>155034.91284109247</v>
      </c>
      <c r="I465" s="188"/>
      <c r="J465" s="209"/>
      <c r="K465" s="170"/>
      <c r="L465" s="186" t="s">
        <v>209</v>
      </c>
      <c r="M465" s="186"/>
      <c r="N465" s="198"/>
      <c r="O465" s="186"/>
      <c r="P465" s="186"/>
      <c r="Q465" s="198" t="str">
        <f>'[2]G-STAFF'!C43</f>
        <v>K1</v>
      </c>
      <c r="R465" s="187">
        <f>'[2]G-STAFF'!Q43</f>
        <v>36679.128245716791</v>
      </c>
      <c r="S465" s="188"/>
    </row>
    <row r="466" spans="1:19">
      <c r="A466" s="170"/>
      <c r="B466" s="186" t="s">
        <v>210</v>
      </c>
      <c r="C466" s="186"/>
      <c r="D466" s="186"/>
      <c r="E466" s="186"/>
      <c r="F466" s="186"/>
      <c r="G466" s="187"/>
      <c r="H466" s="187">
        <f>'[2]G-STAFF'!R42</f>
        <v>180808.48</v>
      </c>
      <c r="I466" s="188"/>
      <c r="J466" s="209"/>
      <c r="K466" s="170"/>
      <c r="L466" s="186" t="s">
        <v>210</v>
      </c>
      <c r="M466" s="186"/>
      <c r="N466" s="186"/>
      <c r="O466" s="186"/>
      <c r="P466" s="186"/>
      <c r="Q466" s="187"/>
      <c r="R466" s="187">
        <f>'[2]G-STAFF'!R43</f>
        <v>180808.48</v>
      </c>
      <c r="S466" s="188"/>
    </row>
    <row r="467" spans="1:19" ht="15.75" thickBot="1">
      <c r="A467" s="170"/>
      <c r="B467" s="190" t="s">
        <v>211</v>
      </c>
      <c r="C467" s="190"/>
      <c r="D467" s="190"/>
      <c r="E467" s="190"/>
      <c r="F467" s="190"/>
      <c r="G467" s="192"/>
      <c r="H467" s="192">
        <f>SUM(H465:H466)</f>
        <v>335843.39284109249</v>
      </c>
      <c r="I467" s="188"/>
      <c r="J467" s="209"/>
      <c r="K467" s="170"/>
      <c r="L467" s="190" t="s">
        <v>211</v>
      </c>
      <c r="M467" s="190"/>
      <c r="N467" s="190"/>
      <c r="O467" s="190"/>
      <c r="P467" s="190"/>
      <c r="Q467" s="192"/>
      <c r="R467" s="192">
        <f>SUM(R465:R466)</f>
        <v>217487.60824571681</v>
      </c>
      <c r="S467" s="188"/>
    </row>
    <row r="468" spans="1:19" ht="15.75" thickBot="1">
      <c r="A468" s="170"/>
      <c r="B468" s="193" t="s">
        <v>220</v>
      </c>
      <c r="C468" s="193"/>
      <c r="D468" s="193"/>
      <c r="E468" s="193"/>
      <c r="F468" s="193"/>
      <c r="G468" s="195"/>
      <c r="H468" s="195">
        <f>SUM(H462-H467)</f>
        <v>8362509.8325924324</v>
      </c>
      <c r="I468" s="188"/>
      <c r="J468" s="209"/>
      <c r="K468" s="170"/>
      <c r="L468" s="193" t="s">
        <v>220</v>
      </c>
      <c r="M468" s="193"/>
      <c r="N468" s="193"/>
      <c r="O468" s="193"/>
      <c r="P468" s="193"/>
      <c r="Q468" s="195"/>
      <c r="R468" s="195">
        <f>SUM(R462-R467)</f>
        <v>5989164.8888641102</v>
      </c>
      <c r="S468" s="188"/>
    </row>
    <row r="469" spans="1:19">
      <c r="A469" s="170"/>
      <c r="B469" s="186" t="s">
        <v>221</v>
      </c>
      <c r="C469" s="186"/>
      <c r="D469" s="186"/>
      <c r="E469" s="186"/>
      <c r="F469" s="186"/>
      <c r="G469" s="187"/>
      <c r="H469" s="187">
        <f>'[2]Urutan Nm'!H75</f>
        <v>10000</v>
      </c>
      <c r="I469" s="188"/>
      <c r="J469" s="209"/>
      <c r="K469" s="170"/>
      <c r="L469" s="186" t="s">
        <v>221</v>
      </c>
      <c r="M469" s="186"/>
      <c r="N469" s="186"/>
      <c r="O469" s="186"/>
      <c r="P469" s="186"/>
      <c r="Q469" s="187"/>
      <c r="R469" s="187">
        <f>'[2]Urutan Nm'!H76</f>
        <v>10000</v>
      </c>
      <c r="S469" s="188"/>
    </row>
    <row r="470" spans="1:19" ht="15.75" thickBot="1">
      <c r="A470" s="170"/>
      <c r="B470" s="199"/>
      <c r="C470" s="190"/>
      <c r="D470" s="190"/>
      <c r="E470" s="190"/>
      <c r="F470" s="190"/>
      <c r="G470" s="192"/>
      <c r="H470" s="192"/>
      <c r="I470" s="188"/>
      <c r="J470" s="187"/>
      <c r="K470" s="170"/>
      <c r="L470" s="199"/>
      <c r="M470" s="190"/>
      <c r="N470" s="190"/>
      <c r="O470" s="190"/>
      <c r="P470" s="190"/>
      <c r="Q470" s="192"/>
      <c r="R470" s="192"/>
      <c r="S470" s="188"/>
    </row>
    <row r="471" spans="1:19" ht="15.75" thickBot="1">
      <c r="A471" s="170"/>
      <c r="B471" s="200" t="s">
        <v>212</v>
      </c>
      <c r="C471" s="200"/>
      <c r="D471" s="200"/>
      <c r="E471" s="200"/>
      <c r="F471" s="200"/>
      <c r="G471" s="201"/>
      <c r="H471" s="201">
        <f>SUM(H468-H469)</f>
        <v>8352509.8325924324</v>
      </c>
      <c r="I471" s="188"/>
      <c r="J471" s="187"/>
      <c r="K471" s="170"/>
      <c r="L471" s="200" t="s">
        <v>212</v>
      </c>
      <c r="M471" s="200"/>
      <c r="N471" s="200"/>
      <c r="O471" s="200"/>
      <c r="P471" s="200"/>
      <c r="Q471" s="201"/>
      <c r="R471" s="201">
        <f>SUM(R468-R469)</f>
        <v>5979164.8888641102</v>
      </c>
      <c r="S471" s="188"/>
    </row>
    <row r="472" spans="1:19" ht="15.75" thickTop="1">
      <c r="A472" s="170"/>
      <c r="B472" s="202" t="s">
        <v>213</v>
      </c>
      <c r="C472" s="186"/>
      <c r="D472" s="186"/>
      <c r="E472" s="186"/>
      <c r="F472" s="186"/>
      <c r="G472" s="296" t="s">
        <v>214</v>
      </c>
      <c r="H472" s="296"/>
      <c r="I472" s="188"/>
      <c r="J472" s="187"/>
      <c r="K472" s="170"/>
      <c r="L472" s="202" t="s">
        <v>213</v>
      </c>
      <c r="M472" s="186"/>
      <c r="N472" s="186"/>
      <c r="O472" s="186"/>
      <c r="P472" s="186"/>
      <c r="Q472" s="296" t="s">
        <v>214</v>
      </c>
      <c r="R472" s="296"/>
      <c r="S472" s="188"/>
    </row>
    <row r="473" spans="1:19">
      <c r="A473" s="170"/>
      <c r="B473" s="186"/>
      <c r="C473" s="186"/>
      <c r="D473" s="186"/>
      <c r="E473" s="186"/>
      <c r="F473" s="186"/>
      <c r="G473" s="187"/>
      <c r="H473" s="187"/>
      <c r="I473" s="188"/>
      <c r="J473" s="187"/>
      <c r="K473" s="170"/>
      <c r="L473" s="186"/>
      <c r="M473" s="186"/>
      <c r="N473" s="186"/>
      <c r="O473" s="186"/>
      <c r="P473" s="186"/>
      <c r="Q473" s="187"/>
      <c r="R473" s="187"/>
      <c r="S473" s="188"/>
    </row>
    <row r="474" spans="1:19">
      <c r="A474" s="170"/>
      <c r="B474" s="186"/>
      <c r="C474" s="186"/>
      <c r="D474" s="186"/>
      <c r="E474" s="186"/>
      <c r="F474" s="186"/>
      <c r="G474" s="187"/>
      <c r="H474" s="187"/>
      <c r="I474" s="188"/>
      <c r="J474" s="187"/>
      <c r="K474" s="170"/>
      <c r="L474" s="186"/>
      <c r="M474" s="186"/>
      <c r="N474" s="186"/>
      <c r="O474" s="186"/>
      <c r="P474" s="186"/>
      <c r="Q474" s="187"/>
      <c r="R474" s="187"/>
      <c r="S474" s="188"/>
    </row>
    <row r="475" spans="1:19">
      <c r="A475" s="170"/>
      <c r="B475" s="203" t="s">
        <v>215</v>
      </c>
      <c r="C475" s="186"/>
      <c r="D475" s="186"/>
      <c r="E475" s="186"/>
      <c r="F475" s="186"/>
      <c r="G475" s="297" t="s">
        <v>216</v>
      </c>
      <c r="H475" s="297"/>
      <c r="I475" s="188"/>
      <c r="J475" s="187"/>
      <c r="K475" s="170"/>
      <c r="L475" s="203" t="s">
        <v>215</v>
      </c>
      <c r="M475" s="186"/>
      <c r="N475" s="186"/>
      <c r="O475" s="186"/>
      <c r="P475" s="186"/>
      <c r="Q475" s="297" t="s">
        <v>216</v>
      </c>
      <c r="R475" s="297"/>
      <c r="S475" s="188"/>
    </row>
    <row r="476" spans="1:19">
      <c r="A476" s="204"/>
      <c r="B476" s="205"/>
      <c r="C476" s="206"/>
      <c r="D476" s="206"/>
      <c r="E476" s="206"/>
      <c r="F476" s="206"/>
      <c r="G476" s="207"/>
      <c r="H476" s="205"/>
      <c r="I476" s="208"/>
      <c r="J476" s="187"/>
      <c r="K476" s="204"/>
      <c r="L476" s="205"/>
      <c r="M476" s="206"/>
      <c r="N476" s="206"/>
      <c r="O476" s="206"/>
      <c r="P476" s="206"/>
      <c r="Q476" s="207"/>
      <c r="R476" s="205"/>
      <c r="S476" s="208"/>
    </row>
    <row r="477" spans="1:19">
      <c r="A477" s="169"/>
      <c r="B477" s="203"/>
      <c r="C477" s="186"/>
      <c r="D477" s="186"/>
      <c r="E477" s="186"/>
      <c r="F477" s="186"/>
      <c r="G477" s="187"/>
      <c r="H477" s="203"/>
      <c r="I477" s="187"/>
      <c r="J477" s="187"/>
      <c r="K477" s="169"/>
      <c r="L477" s="203"/>
      <c r="M477" s="186"/>
      <c r="N477" s="186"/>
      <c r="O477" s="186"/>
      <c r="P477" s="186"/>
      <c r="Q477" s="187"/>
      <c r="R477" s="203"/>
      <c r="S477" s="187"/>
    </row>
    <row r="478" spans="1:19">
      <c r="A478" s="169"/>
      <c r="B478" s="203"/>
      <c r="C478" s="186"/>
      <c r="D478" s="186"/>
      <c r="E478" s="186"/>
      <c r="F478" s="186"/>
      <c r="G478" s="187"/>
      <c r="H478" s="203"/>
      <c r="I478" s="187"/>
      <c r="J478" s="187"/>
      <c r="K478" s="169"/>
      <c r="L478" s="203"/>
      <c r="M478" s="186"/>
      <c r="N478" s="186"/>
      <c r="O478" s="186"/>
      <c r="P478" s="186"/>
      <c r="Q478" s="187"/>
      <c r="R478" s="203"/>
      <c r="S478" s="187"/>
    </row>
    <row r="479" spans="1:19">
      <c r="A479" s="169"/>
      <c r="B479" s="203"/>
      <c r="C479" s="186"/>
      <c r="D479" s="186"/>
      <c r="E479" s="186"/>
      <c r="F479" s="186"/>
      <c r="G479" s="187"/>
      <c r="H479" s="203"/>
      <c r="I479" s="187"/>
      <c r="J479" s="187"/>
      <c r="K479" s="169"/>
      <c r="L479" s="203"/>
      <c r="M479" s="186"/>
      <c r="N479" s="186"/>
      <c r="O479" s="186"/>
      <c r="P479" s="186"/>
      <c r="Q479" s="187"/>
      <c r="R479" s="203"/>
      <c r="S479" s="187"/>
    </row>
    <row r="480" spans="1:19">
      <c r="A480" s="166"/>
      <c r="B480" s="214"/>
      <c r="C480" s="215"/>
      <c r="D480" s="215"/>
      <c r="E480" s="215"/>
      <c r="F480" s="215"/>
      <c r="G480" s="216"/>
      <c r="H480" s="214"/>
      <c r="I480" s="217"/>
      <c r="J480" s="187"/>
      <c r="K480" s="166"/>
      <c r="L480" s="214"/>
      <c r="M480" s="215"/>
      <c r="N480" s="215"/>
      <c r="O480" s="215"/>
      <c r="P480" s="215"/>
      <c r="Q480" s="216"/>
      <c r="R480" s="214"/>
      <c r="S480" s="217"/>
    </row>
    <row r="481" spans="1:19">
      <c r="A481" s="170"/>
      <c r="B481" s="169"/>
      <c r="C481" s="169"/>
      <c r="D481" s="169"/>
      <c r="E481" s="169"/>
      <c r="F481" s="169"/>
      <c r="G481" s="169"/>
      <c r="H481" s="169"/>
      <c r="I481" s="171"/>
      <c r="J481" s="169"/>
      <c r="K481" s="170"/>
      <c r="L481" s="169"/>
      <c r="M481" s="169"/>
      <c r="N481" s="169"/>
      <c r="O481" s="169"/>
      <c r="P481" s="169"/>
      <c r="Q481" s="169"/>
      <c r="R481" s="169"/>
      <c r="S481" s="171"/>
    </row>
    <row r="482" spans="1:19">
      <c r="A482" s="170"/>
      <c r="B482" s="169"/>
      <c r="C482" s="169"/>
      <c r="D482" s="169"/>
      <c r="E482" s="169"/>
      <c r="F482" s="169"/>
      <c r="G482" s="169"/>
      <c r="H482" s="169"/>
      <c r="I482" s="171"/>
      <c r="J482" s="169"/>
      <c r="K482" s="170"/>
      <c r="L482" s="169"/>
      <c r="M482" s="169"/>
      <c r="N482" s="169"/>
      <c r="O482" s="169"/>
      <c r="P482" s="169"/>
      <c r="Q482" s="169"/>
      <c r="R482" s="169"/>
      <c r="S482" s="171"/>
    </row>
    <row r="483" spans="1:19">
      <c r="A483" s="170"/>
      <c r="B483" s="169"/>
      <c r="C483" s="169"/>
      <c r="D483" s="169"/>
      <c r="E483" s="169"/>
      <c r="F483" s="169"/>
      <c r="G483" s="169"/>
      <c r="H483" s="169"/>
      <c r="I483" s="171"/>
      <c r="J483" s="169"/>
      <c r="K483" s="170"/>
      <c r="L483" s="169"/>
      <c r="M483" s="169"/>
      <c r="N483" s="169"/>
      <c r="O483" s="169"/>
      <c r="P483" s="169"/>
      <c r="Q483" s="169"/>
      <c r="R483" s="169"/>
      <c r="S483" s="171"/>
    </row>
    <row r="484" spans="1:19">
      <c r="A484" s="170"/>
      <c r="B484" s="294" t="s">
        <v>196</v>
      </c>
      <c r="C484" s="294"/>
      <c r="D484" s="294"/>
      <c r="E484" s="294"/>
      <c r="F484" s="294"/>
      <c r="G484" s="294"/>
      <c r="H484" s="294"/>
      <c r="I484" s="295"/>
      <c r="J484" s="169"/>
      <c r="K484" s="170"/>
      <c r="L484" s="294" t="s">
        <v>196</v>
      </c>
      <c r="M484" s="294"/>
      <c r="N484" s="294"/>
      <c r="O484" s="294"/>
      <c r="P484" s="294"/>
      <c r="Q484" s="294"/>
      <c r="R484" s="294"/>
      <c r="S484" s="295"/>
    </row>
    <row r="485" spans="1:19">
      <c r="A485" s="172"/>
      <c r="B485" s="173" t="s">
        <v>197</v>
      </c>
      <c r="C485" s="174" t="s">
        <v>198</v>
      </c>
      <c r="D485" s="211">
        <f>'[2]G-STAFF'!A44</f>
        <v>10</v>
      </c>
      <c r="E485" s="173"/>
      <c r="F485" s="173"/>
      <c r="G485" s="173"/>
      <c r="H485" s="173"/>
      <c r="I485" s="176"/>
      <c r="J485" s="173"/>
      <c r="K485" s="172"/>
      <c r="L485" s="173" t="s">
        <v>197</v>
      </c>
      <c r="M485" s="174" t="s">
        <v>198</v>
      </c>
      <c r="N485" s="211">
        <f>'[2]G-STAFF'!A45</f>
        <v>11</v>
      </c>
      <c r="O485" s="175"/>
      <c r="P485" s="173"/>
      <c r="Q485" s="173"/>
      <c r="R485" s="173"/>
      <c r="S485" s="176"/>
    </row>
    <row r="486" spans="1:19">
      <c r="A486" s="172"/>
      <c r="B486" s="173" t="s">
        <v>199</v>
      </c>
      <c r="C486" s="174" t="s">
        <v>198</v>
      </c>
      <c r="D486" s="177" t="str">
        <f>'[2]G-STAFF'!A3</f>
        <v>01 JANUARI  S/D  31 JANUARI  2025</v>
      </c>
      <c r="E486" s="173"/>
      <c r="F486" s="173"/>
      <c r="G486" s="173"/>
      <c r="H486" s="173"/>
      <c r="I486" s="176"/>
      <c r="J486" s="173"/>
      <c r="K486" s="172"/>
      <c r="L486" s="173" t="s">
        <v>199</v>
      </c>
      <c r="M486" s="174" t="s">
        <v>198</v>
      </c>
      <c r="N486" s="177" t="str">
        <f>'[2]G-STAFF'!A3</f>
        <v>01 JANUARI  S/D  31 JANUARI  2025</v>
      </c>
      <c r="O486" s="179"/>
      <c r="P486" s="173"/>
      <c r="Q486" s="173"/>
      <c r="R486" s="173"/>
      <c r="S486" s="176"/>
    </row>
    <row r="487" spans="1:19">
      <c r="A487" s="172"/>
      <c r="B487" s="173" t="s">
        <v>200</v>
      </c>
      <c r="C487" s="174" t="s">
        <v>198</v>
      </c>
      <c r="D487" s="177" t="str">
        <f>'[2]G-STAFF'!B44</f>
        <v>OMAN HERMAWAN</v>
      </c>
      <c r="E487" s="173"/>
      <c r="F487" s="173"/>
      <c r="G487" s="173"/>
      <c r="H487" s="173"/>
      <c r="I487" s="176"/>
      <c r="J487" s="173"/>
      <c r="K487" s="172"/>
      <c r="L487" s="173" t="s">
        <v>200</v>
      </c>
      <c r="M487" s="174" t="s">
        <v>198</v>
      </c>
      <c r="N487" s="178" t="str">
        <f>'[2]G-STAFF'!B45</f>
        <v>ZULKARNAEN</v>
      </c>
      <c r="O487" s="173"/>
      <c r="P487" s="173"/>
      <c r="Q487" s="173"/>
      <c r="R487" s="173"/>
      <c r="S487" s="176"/>
    </row>
    <row r="488" spans="1:19" ht="15.75" thickBot="1">
      <c r="A488" s="172"/>
      <c r="B488" s="173" t="s">
        <v>201</v>
      </c>
      <c r="C488" s="174" t="s">
        <v>198</v>
      </c>
      <c r="D488" s="177" t="str">
        <f>'[2]G-STAFF'!H44</f>
        <v>DRIVER</v>
      </c>
      <c r="E488" s="173"/>
      <c r="F488" s="173"/>
      <c r="G488" s="173"/>
      <c r="H488" s="173"/>
      <c r="I488" s="176"/>
      <c r="J488" s="173"/>
      <c r="K488" s="172"/>
      <c r="L488" s="173" t="s">
        <v>201</v>
      </c>
      <c r="M488" s="174" t="s">
        <v>198</v>
      </c>
      <c r="N488" s="178" t="str">
        <f>'[2]G-STAFF'!H45</f>
        <v>DRIVER</v>
      </c>
      <c r="O488" s="179"/>
      <c r="P488" s="173"/>
      <c r="Q488" s="173"/>
      <c r="R488" s="173"/>
      <c r="S488" s="176"/>
    </row>
    <row r="489" spans="1:19" ht="15.75" thickTop="1">
      <c r="A489" s="170"/>
      <c r="B489" s="182"/>
      <c r="C489" s="182"/>
      <c r="D489" s="182"/>
      <c r="E489" s="182"/>
      <c r="F489" s="182"/>
      <c r="G489" s="182"/>
      <c r="H489" s="182"/>
      <c r="I489" s="183"/>
      <c r="J489" s="169"/>
      <c r="K489" s="170"/>
      <c r="L489" s="182"/>
      <c r="M489" s="182"/>
      <c r="N489" s="182"/>
      <c r="O489" s="182"/>
      <c r="P489" s="182"/>
      <c r="Q489" s="182"/>
      <c r="R489" s="182"/>
      <c r="S489" s="183"/>
    </row>
    <row r="490" spans="1:19">
      <c r="A490" s="170"/>
      <c r="B490" s="184" t="s">
        <v>202</v>
      </c>
      <c r="C490" s="185"/>
      <c r="D490" s="185"/>
      <c r="E490" s="185"/>
      <c r="F490" s="185"/>
      <c r="G490" s="185"/>
      <c r="H490" s="185"/>
      <c r="I490" s="183"/>
      <c r="J490" s="169"/>
      <c r="K490" s="170"/>
      <c r="L490" s="184" t="s">
        <v>202</v>
      </c>
      <c r="M490" s="184"/>
      <c r="N490" s="185"/>
      <c r="O490" s="185"/>
      <c r="P490" s="185"/>
      <c r="Q490" s="185"/>
      <c r="R490" s="185"/>
      <c r="S490" s="183"/>
    </row>
    <row r="491" spans="1:19">
      <c r="A491" s="170"/>
      <c r="B491" s="186" t="s">
        <v>223</v>
      </c>
      <c r="C491" s="186"/>
      <c r="D491" s="187">
        <f>'[2]G-STAFF'!W44</f>
        <v>27</v>
      </c>
      <c r="E491" s="186"/>
      <c r="F491" s="186" t="s">
        <v>205</v>
      </c>
      <c r="G491" s="187">
        <f>'[2]G-STAFF'!X44</f>
        <v>137061</v>
      </c>
      <c r="H491" s="187">
        <f>'[2]G-STAFF'!J44</f>
        <v>3700647</v>
      </c>
      <c r="I491" s="188"/>
      <c r="J491" s="187"/>
      <c r="K491" s="170"/>
      <c r="L491" s="186" t="s">
        <v>111</v>
      </c>
      <c r="M491" s="186"/>
      <c r="N491" s="187">
        <f>'[2]G-STAFF'!W45</f>
        <v>26</v>
      </c>
      <c r="O491" s="186"/>
      <c r="P491" s="186" t="s">
        <v>205</v>
      </c>
      <c r="Q491" s="187">
        <f>'[2]G-STAFF'!X45</f>
        <v>145452</v>
      </c>
      <c r="R491" s="187">
        <f>'[2]G-STAFF'!J45</f>
        <v>3781752</v>
      </c>
      <c r="S491" s="188"/>
    </row>
    <row r="492" spans="1:19">
      <c r="A492" s="170"/>
      <c r="B492" s="186" t="s">
        <v>203</v>
      </c>
      <c r="C492" s="186"/>
      <c r="D492" s="186"/>
      <c r="E492" s="186"/>
      <c r="F492" s="186"/>
      <c r="G492" s="187"/>
      <c r="H492" s="187">
        <f>'[2]G-STAFF'!I44</f>
        <v>0</v>
      </c>
      <c r="I492" s="188"/>
      <c r="J492" s="209"/>
      <c r="K492" s="170"/>
      <c r="L492" s="186" t="s">
        <v>203</v>
      </c>
      <c r="M492" s="186"/>
      <c r="N492" s="186"/>
      <c r="O492" s="186"/>
      <c r="P492" s="186"/>
      <c r="Q492" s="187"/>
      <c r="R492" s="187">
        <f>'[2]G-STAFF'!I45</f>
        <v>0</v>
      </c>
      <c r="S492" s="188"/>
    </row>
    <row r="493" spans="1:19">
      <c r="A493" s="170"/>
      <c r="B493" s="186" t="s">
        <v>195</v>
      </c>
      <c r="C493" s="186"/>
      <c r="D493" s="187">
        <f>'[2]G-STAFF'!Z44</f>
        <v>19</v>
      </c>
      <c r="E493" s="186" t="s">
        <v>204</v>
      </c>
      <c r="F493" s="186" t="s">
        <v>205</v>
      </c>
      <c r="G493" s="187">
        <v>6000</v>
      </c>
      <c r="H493" s="187">
        <f>G493*D493</f>
        <v>114000</v>
      </c>
      <c r="I493" s="188"/>
      <c r="J493" s="187"/>
      <c r="K493" s="170"/>
      <c r="L493" s="186" t="s">
        <v>195</v>
      </c>
      <c r="M493" s="186"/>
      <c r="N493" s="187">
        <f>'[2]G-STAFF'!Z45</f>
        <v>18</v>
      </c>
      <c r="O493" s="186" t="s">
        <v>204</v>
      </c>
      <c r="P493" s="186" t="s">
        <v>205</v>
      </c>
      <c r="Q493" s="187">
        <v>6000</v>
      </c>
      <c r="R493" s="187">
        <f>Q493*N493</f>
        <v>108000</v>
      </c>
      <c r="S493" s="188"/>
    </row>
    <row r="494" spans="1:19">
      <c r="A494" s="170"/>
      <c r="B494" s="186" t="s">
        <v>5</v>
      </c>
      <c r="C494" s="186"/>
      <c r="D494" s="187"/>
      <c r="E494" s="186"/>
      <c r="F494" s="186"/>
      <c r="G494" s="187"/>
      <c r="H494" s="187"/>
      <c r="I494" s="188"/>
      <c r="J494" s="187"/>
      <c r="K494" s="170"/>
      <c r="L494" s="186" t="s">
        <v>5</v>
      </c>
      <c r="M494" s="186"/>
      <c r="N494" s="187"/>
      <c r="O494" s="186"/>
      <c r="P494" s="186"/>
      <c r="Q494" s="187"/>
      <c r="R494" s="187"/>
      <c r="S494" s="188"/>
    </row>
    <row r="495" spans="1:19">
      <c r="A495" s="170"/>
      <c r="B495" s="186" t="s">
        <v>206</v>
      </c>
      <c r="C495" s="186"/>
      <c r="D495" s="212">
        <f>'[2]G-STAFF'!CH44</f>
        <v>10</v>
      </c>
      <c r="E495" s="186" t="s">
        <v>207</v>
      </c>
      <c r="F495" s="186" t="s">
        <v>205</v>
      </c>
      <c r="G495" s="187">
        <f>'[2]G-STAFF'!M44</f>
        <v>23767.803468208094</v>
      </c>
      <c r="H495" s="187">
        <f>G495*D495</f>
        <v>237678.03468208094</v>
      </c>
      <c r="I495" s="188"/>
      <c r="J495" s="187"/>
      <c r="K495" s="170"/>
      <c r="L495" s="186" t="s">
        <v>206</v>
      </c>
      <c r="M495" s="186"/>
      <c r="N495" s="212">
        <f>'[2]G-STAFF'!CH45</f>
        <v>10</v>
      </c>
      <c r="O495" s="186" t="s">
        <v>207</v>
      </c>
      <c r="P495" s="186" t="s">
        <v>205</v>
      </c>
      <c r="Q495" s="187">
        <f>'[2]G-STAFF'!M45</f>
        <v>25222.890173410404</v>
      </c>
      <c r="R495" s="187">
        <f>Q495*N495</f>
        <v>252228.90173410403</v>
      </c>
      <c r="S495" s="188"/>
    </row>
    <row r="496" spans="1:19" ht="15.75" thickBot="1">
      <c r="A496" s="170"/>
      <c r="B496" s="190" t="s">
        <v>208</v>
      </c>
      <c r="C496" s="190"/>
      <c r="D496" s="213">
        <f>'[2]G-STAFF'!CG44</f>
        <v>57</v>
      </c>
      <c r="E496" s="190" t="s">
        <v>207</v>
      </c>
      <c r="F496" s="190" t="s">
        <v>205</v>
      </c>
      <c r="G496" s="192">
        <f>G495</f>
        <v>23767.803468208094</v>
      </c>
      <c r="H496" s="192">
        <f>G496*D496</f>
        <v>1354764.7976878614</v>
      </c>
      <c r="I496" s="188"/>
      <c r="J496" s="187"/>
      <c r="K496" s="170"/>
      <c r="L496" s="190" t="s">
        <v>208</v>
      </c>
      <c r="M496" s="190"/>
      <c r="N496" s="213">
        <f>'[2]G-STAFF'!CG45</f>
        <v>55</v>
      </c>
      <c r="O496" s="190" t="s">
        <v>207</v>
      </c>
      <c r="P496" s="190" t="s">
        <v>205</v>
      </c>
      <c r="Q496" s="192">
        <f>Q495</f>
        <v>25222.890173410404</v>
      </c>
      <c r="R496" s="192">
        <f>Q496*N496</f>
        <v>1387258.9595375722</v>
      </c>
      <c r="S496" s="188"/>
    </row>
    <row r="497" spans="1:19" ht="15.75" thickBot="1">
      <c r="A497" s="170"/>
      <c r="B497" s="190" t="s">
        <v>219</v>
      </c>
      <c r="C497" s="190"/>
      <c r="D497" s="213">
        <f>'[2]G-STAFF'!CI44</f>
        <v>67</v>
      </c>
      <c r="E497" s="190"/>
      <c r="F497" s="190"/>
      <c r="G497" s="192"/>
      <c r="H497" s="192">
        <f>SUM(H491:H496)</f>
        <v>5407089.8323699422</v>
      </c>
      <c r="I497" s="188"/>
      <c r="J497" s="187"/>
      <c r="K497" s="170"/>
      <c r="L497" s="190" t="s">
        <v>219</v>
      </c>
      <c r="M497" s="190"/>
      <c r="N497" s="213">
        <f>'[2]G-STAFF'!CI45</f>
        <v>65</v>
      </c>
      <c r="O497" s="190"/>
      <c r="P497" s="190"/>
      <c r="Q497" s="192"/>
      <c r="R497" s="192">
        <f>SUM(R491:R496)</f>
        <v>5529239.8612716757</v>
      </c>
      <c r="S497" s="188"/>
    </row>
    <row r="498" spans="1:19" ht="15.75" thickTop="1">
      <c r="A498" s="170"/>
      <c r="B498" s="182"/>
      <c r="C498" s="182"/>
      <c r="D498" s="182"/>
      <c r="E498" s="182"/>
      <c r="F498" s="182"/>
      <c r="G498" s="182"/>
      <c r="H498" s="182"/>
      <c r="I498" s="183"/>
      <c r="J498" s="169"/>
      <c r="K498" s="170"/>
      <c r="L498" s="182"/>
      <c r="M498" s="182"/>
      <c r="N498" s="182"/>
      <c r="O498" s="182"/>
      <c r="P498" s="182"/>
      <c r="Q498" s="182"/>
      <c r="R498" s="182"/>
      <c r="S498" s="183"/>
    </row>
    <row r="499" spans="1:19">
      <c r="A499" s="170"/>
      <c r="B499" s="196" t="s">
        <v>113</v>
      </c>
      <c r="C499" s="186"/>
      <c r="D499" s="186"/>
      <c r="E499" s="186"/>
      <c r="F499" s="186"/>
      <c r="G499" s="187"/>
      <c r="H499" s="187"/>
      <c r="I499" s="188"/>
      <c r="J499" s="209"/>
      <c r="K499" s="170"/>
      <c r="L499" s="196" t="s">
        <v>113</v>
      </c>
      <c r="M499" s="186"/>
      <c r="N499" s="186"/>
      <c r="O499" s="186"/>
      <c r="P499" s="186"/>
      <c r="Q499" s="187"/>
      <c r="R499" s="187"/>
      <c r="S499" s="188"/>
    </row>
    <row r="500" spans="1:19">
      <c r="A500" s="170"/>
      <c r="B500" s="186" t="s">
        <v>209</v>
      </c>
      <c r="C500" s="186"/>
      <c r="D500" s="197"/>
      <c r="E500" s="186"/>
      <c r="F500" s="186"/>
      <c r="G500" s="198" t="str">
        <f>'[2]G-STAFF'!C44</f>
        <v>K2</v>
      </c>
      <c r="H500" s="187">
        <f>'[2]G-STAFF'!Q44</f>
        <v>0</v>
      </c>
      <c r="I500" s="188"/>
      <c r="J500" s="209"/>
      <c r="K500" s="170"/>
      <c r="L500" s="186" t="s">
        <v>209</v>
      </c>
      <c r="M500" s="186"/>
      <c r="N500" s="198"/>
      <c r="O500" s="186"/>
      <c r="P500" s="186"/>
      <c r="Q500" s="198" t="str">
        <f>'[2]G-STAFF'!C45</f>
        <v>K2</v>
      </c>
      <c r="R500" s="187">
        <f>'[2]G-STAFF'!Q45</f>
        <v>0</v>
      </c>
      <c r="S500" s="188"/>
    </row>
    <row r="501" spans="1:19">
      <c r="A501" s="170"/>
      <c r="B501" s="186" t="s">
        <v>210</v>
      </c>
      <c r="C501" s="186"/>
      <c r="D501" s="186"/>
      <c r="E501" s="186"/>
      <c r="F501" s="186"/>
      <c r="G501" s="187"/>
      <c r="H501" s="187">
        <f>'[2]G-STAFF'!R44</f>
        <v>180808.48</v>
      </c>
      <c r="I501" s="188"/>
      <c r="J501" s="209"/>
      <c r="K501" s="170"/>
      <c r="L501" s="186" t="s">
        <v>210</v>
      </c>
      <c r="M501" s="186"/>
      <c r="N501" s="186"/>
      <c r="O501" s="186"/>
      <c r="P501" s="186"/>
      <c r="Q501" s="187"/>
      <c r="R501" s="187">
        <f>'[2]G-STAFF'!R45</f>
        <v>180808.48</v>
      </c>
      <c r="S501" s="188"/>
    </row>
    <row r="502" spans="1:19" ht="15.75" thickBot="1">
      <c r="A502" s="170"/>
      <c r="B502" s="190" t="s">
        <v>211</v>
      </c>
      <c r="C502" s="190"/>
      <c r="D502" s="190"/>
      <c r="E502" s="190"/>
      <c r="F502" s="190"/>
      <c r="G502" s="192"/>
      <c r="H502" s="192">
        <f>SUM(H500:H501)</f>
        <v>180808.48</v>
      </c>
      <c r="I502" s="188"/>
      <c r="J502" s="209"/>
      <c r="K502" s="170"/>
      <c r="L502" s="190" t="s">
        <v>211</v>
      </c>
      <c r="M502" s="190"/>
      <c r="N502" s="190"/>
      <c r="O502" s="190"/>
      <c r="P502" s="190"/>
      <c r="Q502" s="192"/>
      <c r="R502" s="192">
        <f>SUM(R500:R501)</f>
        <v>180808.48</v>
      </c>
      <c r="S502" s="188"/>
    </row>
    <row r="503" spans="1:19" ht="15.75" thickBot="1">
      <c r="A503" s="170"/>
      <c r="B503" s="193" t="s">
        <v>220</v>
      </c>
      <c r="C503" s="193"/>
      <c r="D503" s="193"/>
      <c r="E503" s="193"/>
      <c r="F503" s="193"/>
      <c r="G503" s="195"/>
      <c r="H503" s="195">
        <f>SUM(H497-H502)</f>
        <v>5226281.3523699418</v>
      </c>
      <c r="I503" s="188"/>
      <c r="J503" s="209"/>
      <c r="K503" s="170"/>
      <c r="L503" s="193" t="s">
        <v>220</v>
      </c>
      <c r="M503" s="193"/>
      <c r="N503" s="193"/>
      <c r="O503" s="193"/>
      <c r="P503" s="193"/>
      <c r="Q503" s="195"/>
      <c r="R503" s="195">
        <f>SUM(R497-R502)</f>
        <v>5348431.3812716752</v>
      </c>
      <c r="S503" s="188"/>
    </row>
    <row r="504" spans="1:19">
      <c r="A504" s="170"/>
      <c r="B504" s="186" t="s">
        <v>221</v>
      </c>
      <c r="C504" s="186"/>
      <c r="D504" s="186"/>
      <c r="E504" s="186"/>
      <c r="F504" s="186"/>
      <c r="G504" s="187"/>
      <c r="H504" s="187">
        <f>'[2]Urutan Nm'!H77</f>
        <v>10000</v>
      </c>
      <c r="I504" s="188"/>
      <c r="J504" s="209"/>
      <c r="K504" s="170"/>
      <c r="L504" s="186" t="s">
        <v>221</v>
      </c>
      <c r="M504" s="186"/>
      <c r="N504" s="186"/>
      <c r="O504" s="186"/>
      <c r="P504" s="186"/>
      <c r="Q504" s="187"/>
      <c r="R504" s="187">
        <f>'[2]Urutan Nm'!H78</f>
        <v>10000</v>
      </c>
      <c r="S504" s="188"/>
    </row>
    <row r="505" spans="1:19" ht="15.75" thickBot="1">
      <c r="A505" s="170"/>
      <c r="B505" s="199"/>
      <c r="C505" s="190"/>
      <c r="D505" s="190"/>
      <c r="E505" s="190"/>
      <c r="F505" s="190"/>
      <c r="G505" s="192"/>
      <c r="H505" s="192"/>
      <c r="I505" s="188"/>
      <c r="J505" s="187"/>
      <c r="K505" s="170"/>
      <c r="L505" s="199"/>
      <c r="M505" s="190"/>
      <c r="N505" s="190"/>
      <c r="O505" s="190"/>
      <c r="P505" s="190"/>
      <c r="Q505" s="192"/>
      <c r="R505" s="192"/>
      <c r="S505" s="188"/>
    </row>
    <row r="506" spans="1:19" ht="15.75" thickBot="1">
      <c r="A506" s="170"/>
      <c r="B506" s="200" t="s">
        <v>212</v>
      </c>
      <c r="C506" s="200"/>
      <c r="D506" s="200"/>
      <c r="E506" s="200"/>
      <c r="F506" s="200"/>
      <c r="G506" s="201"/>
      <c r="H506" s="201">
        <f>SUM(H503-H504)</f>
        <v>5216281.3523699418</v>
      </c>
      <c r="I506" s="188"/>
      <c r="J506" s="187"/>
      <c r="K506" s="170"/>
      <c r="L506" s="200" t="s">
        <v>212</v>
      </c>
      <c r="M506" s="200"/>
      <c r="N506" s="200"/>
      <c r="O506" s="200"/>
      <c r="P506" s="200"/>
      <c r="Q506" s="201"/>
      <c r="R506" s="201">
        <f>SUM(R497-R505)</f>
        <v>5529239.8612716757</v>
      </c>
      <c r="S506" s="188"/>
    </row>
    <row r="507" spans="1:19" ht="15.75" thickTop="1">
      <c r="A507" s="170"/>
      <c r="B507" s="202" t="s">
        <v>213</v>
      </c>
      <c r="C507" s="186"/>
      <c r="D507" s="186"/>
      <c r="E507" s="186"/>
      <c r="F507" s="186"/>
      <c r="G507" s="296" t="s">
        <v>214</v>
      </c>
      <c r="H507" s="296"/>
      <c r="I507" s="188"/>
      <c r="J507" s="187"/>
      <c r="K507" s="170"/>
      <c r="L507" s="202" t="s">
        <v>213</v>
      </c>
      <c r="M507" s="186"/>
      <c r="N507" s="186"/>
      <c r="O507" s="186"/>
      <c r="P507" s="186"/>
      <c r="Q507" s="296" t="s">
        <v>214</v>
      </c>
      <c r="R507" s="296"/>
      <c r="S507" s="188"/>
    </row>
    <row r="508" spans="1:19">
      <c r="A508" s="170"/>
      <c r="B508" s="186"/>
      <c r="C508" s="186"/>
      <c r="D508" s="186"/>
      <c r="E508" s="186"/>
      <c r="F508" s="186"/>
      <c r="G508" s="187"/>
      <c r="H508" s="187"/>
      <c r="I508" s="188"/>
      <c r="J508" s="187"/>
      <c r="K508" s="170"/>
      <c r="L508" s="186"/>
      <c r="M508" s="186"/>
      <c r="N508" s="186"/>
      <c r="O508" s="186"/>
      <c r="P508" s="186"/>
      <c r="Q508" s="187"/>
      <c r="R508" s="187"/>
      <c r="S508" s="188"/>
    </row>
    <row r="509" spans="1:19">
      <c r="A509" s="170"/>
      <c r="B509" s="186"/>
      <c r="C509" s="186"/>
      <c r="D509" s="186"/>
      <c r="E509" s="186"/>
      <c r="F509" s="186"/>
      <c r="G509" s="187"/>
      <c r="H509" s="187"/>
      <c r="I509" s="188"/>
      <c r="J509" s="187"/>
      <c r="K509" s="170"/>
      <c r="L509" s="186"/>
      <c r="M509" s="186"/>
      <c r="N509" s="186"/>
      <c r="O509" s="186"/>
      <c r="P509" s="186"/>
      <c r="Q509" s="187"/>
      <c r="R509" s="187"/>
      <c r="S509" s="188"/>
    </row>
    <row r="510" spans="1:19">
      <c r="A510" s="170"/>
      <c r="B510" s="203" t="s">
        <v>215</v>
      </c>
      <c r="C510" s="186"/>
      <c r="D510" s="186"/>
      <c r="E510" s="186"/>
      <c r="F510" s="186"/>
      <c r="G510" s="297" t="s">
        <v>216</v>
      </c>
      <c r="H510" s="297"/>
      <c r="I510" s="188"/>
      <c r="J510" s="187"/>
      <c r="K510" s="170"/>
      <c r="L510" s="203" t="s">
        <v>215</v>
      </c>
      <c r="M510" s="186"/>
      <c r="N510" s="186"/>
      <c r="O510" s="186"/>
      <c r="P510" s="186"/>
      <c r="Q510" s="297" t="s">
        <v>216</v>
      </c>
      <c r="R510" s="297"/>
      <c r="S510" s="188"/>
    </row>
    <row r="511" spans="1:19">
      <c r="A511" s="204"/>
      <c r="B511" s="205"/>
      <c r="C511" s="206"/>
      <c r="D511" s="206"/>
      <c r="E511" s="206"/>
      <c r="F511" s="206"/>
      <c r="G511" s="207"/>
      <c r="H511" s="205"/>
      <c r="I511" s="208"/>
      <c r="J511" s="187"/>
      <c r="K511" s="204"/>
      <c r="L511" s="205"/>
      <c r="M511" s="206"/>
      <c r="N511" s="206"/>
      <c r="O511" s="206"/>
      <c r="P511" s="206"/>
      <c r="Q511" s="207"/>
      <c r="R511" s="205"/>
      <c r="S511" s="208"/>
    </row>
    <row r="512" spans="1:19">
      <c r="A512" s="169"/>
      <c r="B512" s="186"/>
      <c r="C512" s="186"/>
      <c r="D512" s="186"/>
      <c r="E512" s="186"/>
      <c r="F512" s="186"/>
      <c r="G512" s="187"/>
      <c r="H512" s="186"/>
      <c r="I512" s="187"/>
      <c r="J512" s="187"/>
      <c r="K512" s="169"/>
      <c r="L512" s="186"/>
      <c r="M512" s="186"/>
      <c r="N512" s="186"/>
      <c r="O512" s="186"/>
      <c r="P512" s="186"/>
      <c r="Q512" s="187"/>
      <c r="R512" s="187"/>
      <c r="S512" s="187"/>
    </row>
    <row r="513" spans="1:19">
      <c r="A513" s="166"/>
      <c r="B513" s="167"/>
      <c r="C513" s="167"/>
      <c r="D513" s="167"/>
      <c r="E513" s="167"/>
      <c r="F513" s="167"/>
      <c r="G513" s="167"/>
      <c r="H513" s="167"/>
      <c r="I513" s="168"/>
      <c r="J513" s="169"/>
      <c r="K513" s="166"/>
      <c r="L513" s="167"/>
      <c r="M513" s="167"/>
      <c r="N513" s="167"/>
      <c r="O513" s="167"/>
      <c r="P513" s="167"/>
      <c r="Q513" s="167"/>
      <c r="R513" s="167"/>
      <c r="S513" s="168"/>
    </row>
    <row r="514" spans="1:19">
      <c r="A514" s="170"/>
      <c r="B514" s="169"/>
      <c r="C514" s="169"/>
      <c r="D514" s="169"/>
      <c r="E514" s="169"/>
      <c r="F514" s="169"/>
      <c r="G514" s="169"/>
      <c r="H514" s="169"/>
      <c r="I514" s="171"/>
      <c r="J514" s="169"/>
      <c r="K514" s="170"/>
      <c r="L514" s="169"/>
      <c r="M514" s="169"/>
      <c r="N514" s="169"/>
      <c r="O514" s="169"/>
      <c r="P514" s="169"/>
      <c r="Q514" s="169"/>
      <c r="R514" s="169"/>
      <c r="S514" s="171"/>
    </row>
    <row r="515" spans="1:19">
      <c r="A515" s="170"/>
      <c r="B515" s="169"/>
      <c r="C515" s="169"/>
      <c r="D515" s="169"/>
      <c r="E515" s="169"/>
      <c r="F515" s="169"/>
      <c r="G515" s="169"/>
      <c r="H515" s="169"/>
      <c r="I515" s="171"/>
      <c r="J515" s="169"/>
      <c r="K515" s="170"/>
      <c r="L515" s="169"/>
      <c r="M515" s="169"/>
      <c r="N515" s="169"/>
      <c r="O515" s="169"/>
      <c r="P515" s="169"/>
      <c r="Q515" s="169"/>
      <c r="R515" s="169"/>
      <c r="S515" s="171"/>
    </row>
    <row r="516" spans="1:19">
      <c r="A516" s="170"/>
      <c r="B516" s="169"/>
      <c r="C516" s="169"/>
      <c r="D516" s="169"/>
      <c r="E516" s="169"/>
      <c r="F516" s="169"/>
      <c r="G516" s="169"/>
      <c r="H516" s="169"/>
      <c r="I516" s="171"/>
      <c r="J516" s="169"/>
      <c r="K516" s="170"/>
      <c r="L516" s="169"/>
      <c r="M516" s="169"/>
      <c r="N516" s="169"/>
      <c r="O516" s="169"/>
      <c r="P516" s="169"/>
      <c r="Q516" s="169"/>
      <c r="R516" s="169"/>
      <c r="S516" s="171"/>
    </row>
    <row r="517" spans="1:19">
      <c r="A517" s="170"/>
      <c r="B517" s="294" t="s">
        <v>196</v>
      </c>
      <c r="C517" s="294"/>
      <c r="D517" s="294"/>
      <c r="E517" s="294"/>
      <c r="F517" s="294"/>
      <c r="G517" s="294"/>
      <c r="H517" s="294"/>
      <c r="I517" s="295"/>
      <c r="J517" s="169"/>
      <c r="K517" s="170"/>
      <c r="L517" s="294" t="s">
        <v>196</v>
      </c>
      <c r="M517" s="294"/>
      <c r="N517" s="294"/>
      <c r="O517" s="294"/>
      <c r="P517" s="294"/>
      <c r="Q517" s="294"/>
      <c r="R517" s="294"/>
      <c r="S517" s="295"/>
    </row>
    <row r="518" spans="1:19">
      <c r="A518" s="172"/>
      <c r="B518" s="173" t="s">
        <v>197</v>
      </c>
      <c r="C518" s="174" t="s">
        <v>198</v>
      </c>
      <c r="D518" s="211">
        <f>'[2]G-STAFF'!A46</f>
        <v>12</v>
      </c>
      <c r="E518" s="173"/>
      <c r="F518" s="173"/>
      <c r="G518" s="173"/>
      <c r="H518" s="173"/>
      <c r="I518" s="176"/>
      <c r="J518" s="173"/>
      <c r="K518" s="172"/>
      <c r="L518" s="173" t="s">
        <v>197</v>
      </c>
      <c r="M518" s="174" t="s">
        <v>198</v>
      </c>
      <c r="N518" s="211">
        <f>'[2]G-STAFF'!A47</f>
        <v>13</v>
      </c>
      <c r="O518" s="175"/>
      <c r="P518" s="173"/>
      <c r="Q518" s="173"/>
      <c r="R518" s="173"/>
      <c r="S518" s="176"/>
    </row>
    <row r="519" spans="1:19">
      <c r="A519" s="172"/>
      <c r="B519" s="173" t="s">
        <v>199</v>
      </c>
      <c r="C519" s="174" t="s">
        <v>198</v>
      </c>
      <c r="D519" s="177" t="str">
        <f>'[2]G-STAFF'!A3</f>
        <v>01 JANUARI  S/D  31 JANUARI  2025</v>
      </c>
      <c r="E519" s="173"/>
      <c r="F519" s="173"/>
      <c r="G519" s="173"/>
      <c r="H519" s="173"/>
      <c r="I519" s="176"/>
      <c r="J519" s="173"/>
      <c r="K519" s="172"/>
      <c r="L519" s="173" t="s">
        <v>199</v>
      </c>
      <c r="M519" s="174" t="s">
        <v>198</v>
      </c>
      <c r="N519" s="177" t="str">
        <f>'[2]G-STAFF'!A3</f>
        <v>01 JANUARI  S/D  31 JANUARI  2025</v>
      </c>
      <c r="O519" s="179"/>
      <c r="P519" s="173"/>
      <c r="Q519" s="173"/>
      <c r="R519" s="173"/>
      <c r="S519" s="176"/>
    </row>
    <row r="520" spans="1:19">
      <c r="A520" s="172"/>
      <c r="B520" s="173" t="s">
        <v>200</v>
      </c>
      <c r="C520" s="174" t="s">
        <v>198</v>
      </c>
      <c r="D520" s="177" t="str">
        <f>'[2]G-STAFF'!B46</f>
        <v>NOVA SUGANDI</v>
      </c>
      <c r="E520" s="173"/>
      <c r="F520" s="173"/>
      <c r="G520" s="173"/>
      <c r="H520" s="173"/>
      <c r="I520" s="176"/>
      <c r="J520" s="173"/>
      <c r="K520" s="172"/>
      <c r="L520" s="173" t="s">
        <v>200</v>
      </c>
      <c r="M520" s="174" t="s">
        <v>198</v>
      </c>
      <c r="N520" s="178" t="str">
        <f>'[2]G-STAFF'!B47</f>
        <v>JAMALUDIN</v>
      </c>
      <c r="O520" s="173"/>
      <c r="P520" s="173"/>
      <c r="Q520" s="173"/>
      <c r="R520" s="173"/>
      <c r="S520" s="176"/>
    </row>
    <row r="521" spans="1:19" ht="15.75" thickBot="1">
      <c r="A521" s="172"/>
      <c r="B521" s="173" t="s">
        <v>201</v>
      </c>
      <c r="C521" s="174" t="s">
        <v>198</v>
      </c>
      <c r="D521" s="177" t="str">
        <f>'[2]G-STAFF'!H46</f>
        <v>DRIVER</v>
      </c>
      <c r="E521" s="173"/>
      <c r="F521" s="173"/>
      <c r="G521" s="173"/>
      <c r="H521" s="173"/>
      <c r="I521" s="176"/>
      <c r="J521" s="173"/>
      <c r="K521" s="172"/>
      <c r="L521" s="173" t="s">
        <v>201</v>
      </c>
      <c r="M521" s="174" t="s">
        <v>198</v>
      </c>
      <c r="N521" s="178" t="str">
        <f>'[2]G-STAFF'!H47</f>
        <v>DRIVER</v>
      </c>
      <c r="O521" s="179"/>
      <c r="P521" s="173"/>
      <c r="Q521" s="173"/>
      <c r="R521" s="173"/>
      <c r="S521" s="176"/>
    </row>
    <row r="522" spans="1:19" ht="15.75" thickTop="1">
      <c r="A522" s="170"/>
      <c r="B522" s="182"/>
      <c r="C522" s="182"/>
      <c r="D522" s="182"/>
      <c r="E522" s="182"/>
      <c r="F522" s="182"/>
      <c r="G522" s="182"/>
      <c r="H522" s="182"/>
      <c r="I522" s="183"/>
      <c r="J522" s="169"/>
      <c r="K522" s="170"/>
      <c r="L522" s="182"/>
      <c r="M522" s="182"/>
      <c r="N522" s="182"/>
      <c r="O522" s="182"/>
      <c r="P522" s="182"/>
      <c r="Q522" s="182"/>
      <c r="R522" s="182"/>
      <c r="S522" s="183"/>
    </row>
    <row r="523" spans="1:19">
      <c r="A523" s="170"/>
      <c r="B523" s="184" t="s">
        <v>202</v>
      </c>
      <c r="C523" s="185"/>
      <c r="D523" s="185"/>
      <c r="E523" s="185"/>
      <c r="F523" s="185"/>
      <c r="G523" s="185"/>
      <c r="H523" s="185"/>
      <c r="I523" s="183"/>
      <c r="J523" s="169"/>
      <c r="K523" s="170"/>
      <c r="L523" s="184" t="s">
        <v>202</v>
      </c>
      <c r="M523" s="184"/>
      <c r="N523" s="185"/>
      <c r="O523" s="185"/>
      <c r="P523" s="185"/>
      <c r="Q523" s="185"/>
      <c r="R523" s="185"/>
      <c r="S523" s="183"/>
    </row>
    <row r="524" spans="1:19">
      <c r="A524" s="170"/>
      <c r="B524" s="186" t="s">
        <v>223</v>
      </c>
      <c r="C524" s="186"/>
      <c r="D524" s="187">
        <f>'[2]G-STAFF'!W46</f>
        <v>28</v>
      </c>
      <c r="E524" s="186"/>
      <c r="F524" s="186" t="s">
        <v>205</v>
      </c>
      <c r="G524" s="187">
        <f>'[2]G-STAFF'!X46</f>
        <v>145452</v>
      </c>
      <c r="H524" s="187">
        <f>'[2]G-STAFF'!J46</f>
        <v>4072656</v>
      </c>
      <c r="I524" s="188"/>
      <c r="J524" s="187"/>
      <c r="K524" s="170"/>
      <c r="L524" s="186" t="s">
        <v>111</v>
      </c>
      <c r="M524" s="186"/>
      <c r="N524" s="187">
        <f>'[2]G-STAFF'!W47</f>
        <v>28</v>
      </c>
      <c r="O524" s="186"/>
      <c r="P524" s="186" t="s">
        <v>205</v>
      </c>
      <c r="Q524" s="187">
        <f>'[2]G-STAFF'!X47</f>
        <v>118740</v>
      </c>
      <c r="R524" s="187">
        <f>'[2]G-STAFF'!J47</f>
        <v>3324720</v>
      </c>
      <c r="S524" s="188"/>
    </row>
    <row r="525" spans="1:19">
      <c r="A525" s="170"/>
      <c r="B525" s="186" t="s">
        <v>203</v>
      </c>
      <c r="C525" s="186"/>
      <c r="D525" s="186"/>
      <c r="E525" s="186"/>
      <c r="F525" s="186"/>
      <c r="G525" s="187"/>
      <c r="H525" s="187">
        <f>'[2]G-STAFF'!I46</f>
        <v>0</v>
      </c>
      <c r="I525" s="188"/>
      <c r="J525" s="209"/>
      <c r="K525" s="170"/>
      <c r="L525" s="186" t="s">
        <v>203</v>
      </c>
      <c r="M525" s="186"/>
      <c r="N525" s="186"/>
      <c r="O525" s="186"/>
      <c r="P525" s="186"/>
      <c r="Q525" s="187"/>
      <c r="R525" s="187">
        <f>'[2]G-STAFF'!I47</f>
        <v>0</v>
      </c>
      <c r="S525" s="188"/>
    </row>
    <row r="526" spans="1:19">
      <c r="A526" s="170"/>
      <c r="B526" s="186" t="s">
        <v>195</v>
      </c>
      <c r="C526" s="186"/>
      <c r="D526" s="187">
        <f>'[2]G-STAFF'!Z46</f>
        <v>20</v>
      </c>
      <c r="E526" s="186" t="s">
        <v>204</v>
      </c>
      <c r="F526" s="186" t="s">
        <v>205</v>
      </c>
      <c r="G526" s="187">
        <v>6000</v>
      </c>
      <c r="H526" s="187">
        <f>G526*D526</f>
        <v>120000</v>
      </c>
      <c r="I526" s="188"/>
      <c r="J526" s="187"/>
      <c r="K526" s="170"/>
      <c r="L526" s="186" t="s">
        <v>195</v>
      </c>
      <c r="M526" s="186"/>
      <c r="N526" s="187">
        <f>'[2]G-STAFF'!Z47</f>
        <v>20</v>
      </c>
      <c r="O526" s="186" t="s">
        <v>204</v>
      </c>
      <c r="P526" s="186" t="s">
        <v>205</v>
      </c>
      <c r="Q526" s="187">
        <v>6000</v>
      </c>
      <c r="R526" s="187">
        <f>Q526*N526</f>
        <v>120000</v>
      </c>
      <c r="S526" s="188"/>
    </row>
    <row r="527" spans="1:19">
      <c r="A527" s="170"/>
      <c r="B527" s="186" t="s">
        <v>5</v>
      </c>
      <c r="C527" s="186"/>
      <c r="D527" s="186"/>
      <c r="E527" s="186"/>
      <c r="F527" s="186"/>
      <c r="G527" s="187"/>
      <c r="H527" s="187">
        <f>'[2]G-STAFF'!K47</f>
        <v>0</v>
      </c>
      <c r="I527" s="188"/>
      <c r="J527" s="209"/>
      <c r="K527" s="170"/>
      <c r="L527" s="186" t="s">
        <v>5</v>
      </c>
      <c r="M527" s="186"/>
      <c r="N527" s="186"/>
      <c r="O527" s="186"/>
      <c r="P527" s="186"/>
      <c r="Q527" s="187"/>
      <c r="R527" s="187">
        <f>'[2]G-STAFF'!K47</f>
        <v>0</v>
      </c>
      <c r="S527" s="188"/>
    </row>
    <row r="528" spans="1:19">
      <c r="A528" s="170"/>
      <c r="B528" s="186" t="s">
        <v>206</v>
      </c>
      <c r="C528" s="186"/>
      <c r="D528" s="212">
        <f>'[2]G-STAFF'!CH46</f>
        <v>10</v>
      </c>
      <c r="E528" s="186" t="s">
        <v>207</v>
      </c>
      <c r="F528" s="186" t="s">
        <v>205</v>
      </c>
      <c r="G528" s="187">
        <f>'[2]G-STAFF'!M46</f>
        <v>25222.890173410404</v>
      </c>
      <c r="H528" s="187">
        <f>G528*D528</f>
        <v>252228.90173410403</v>
      </c>
      <c r="I528" s="188"/>
      <c r="J528" s="187"/>
      <c r="K528" s="170"/>
      <c r="L528" s="186" t="s">
        <v>206</v>
      </c>
      <c r="M528" s="186"/>
      <c r="N528" s="212">
        <f>'[2]G-STAFF'!CH47</f>
        <v>10</v>
      </c>
      <c r="O528" s="186" t="s">
        <v>207</v>
      </c>
      <c r="P528" s="186" t="s">
        <v>205</v>
      </c>
      <c r="Q528" s="187">
        <f>'[2]G-STAFF'!M47</f>
        <v>20590.751445086706</v>
      </c>
      <c r="R528" s="187">
        <f>Q528*N528</f>
        <v>205907.51445086705</v>
      </c>
      <c r="S528" s="188"/>
    </row>
    <row r="529" spans="1:19" ht="15.75" thickBot="1">
      <c r="A529" s="170"/>
      <c r="B529" s="190" t="s">
        <v>208</v>
      </c>
      <c r="C529" s="190"/>
      <c r="D529" s="213">
        <f>'[2]G-STAFF'!CG46</f>
        <v>76.5</v>
      </c>
      <c r="E529" s="190" t="s">
        <v>207</v>
      </c>
      <c r="F529" s="190" t="s">
        <v>205</v>
      </c>
      <c r="G529" s="192">
        <f>G528</f>
        <v>25222.890173410404</v>
      </c>
      <c r="H529" s="192">
        <f>G529*D529</f>
        <v>1929551.0982658959</v>
      </c>
      <c r="I529" s="188"/>
      <c r="J529" s="187"/>
      <c r="K529" s="170"/>
      <c r="L529" s="190" t="s">
        <v>208</v>
      </c>
      <c r="M529" s="190"/>
      <c r="N529" s="213">
        <f>'[2]G-STAFF'!CG47</f>
        <v>121.5</v>
      </c>
      <c r="O529" s="190" t="s">
        <v>207</v>
      </c>
      <c r="P529" s="190" t="s">
        <v>205</v>
      </c>
      <c r="Q529" s="192">
        <f>Q528</f>
        <v>20590.751445086706</v>
      </c>
      <c r="R529" s="192">
        <f>Q529*N529</f>
        <v>2501776.3005780349</v>
      </c>
      <c r="S529" s="188"/>
    </row>
    <row r="530" spans="1:19" ht="15.75" thickBot="1">
      <c r="A530" s="170"/>
      <c r="B530" s="190" t="s">
        <v>222</v>
      </c>
      <c r="C530" s="190"/>
      <c r="D530" s="213">
        <f>'[2]G-STAFF'!CI46</f>
        <v>86.5</v>
      </c>
      <c r="E530" s="190"/>
      <c r="F530" s="190"/>
      <c r="G530" s="192"/>
      <c r="H530" s="192">
        <f>SUM(H524:H529)</f>
        <v>6374436</v>
      </c>
      <c r="I530" s="188"/>
      <c r="J530" s="187"/>
      <c r="K530" s="170"/>
      <c r="L530" s="190" t="s">
        <v>219</v>
      </c>
      <c r="M530" s="190"/>
      <c r="N530" s="213">
        <f>'[2]G-STAFF'!CI47</f>
        <v>131.5</v>
      </c>
      <c r="O530" s="190"/>
      <c r="P530" s="190"/>
      <c r="Q530" s="192"/>
      <c r="R530" s="192">
        <f>SUM(R524:R529)</f>
        <v>6152403.8150289021</v>
      </c>
      <c r="S530" s="188"/>
    </row>
    <row r="531" spans="1:19" ht="15.75" thickTop="1">
      <c r="A531" s="170"/>
      <c r="B531" s="182"/>
      <c r="C531" s="182"/>
      <c r="D531" s="182"/>
      <c r="E531" s="182"/>
      <c r="F531" s="182"/>
      <c r="G531" s="182"/>
      <c r="H531" s="182"/>
      <c r="I531" s="183"/>
      <c r="J531" s="169"/>
      <c r="K531" s="170"/>
      <c r="L531" s="182"/>
      <c r="M531" s="182"/>
      <c r="N531" s="182"/>
      <c r="O531" s="182"/>
      <c r="P531" s="182"/>
      <c r="Q531" s="182"/>
      <c r="R531" s="182"/>
      <c r="S531" s="183"/>
    </row>
    <row r="532" spans="1:19">
      <c r="A532" s="170"/>
      <c r="B532" s="196" t="s">
        <v>113</v>
      </c>
      <c r="C532" s="186"/>
      <c r="D532" s="186"/>
      <c r="E532" s="186"/>
      <c r="F532" s="186"/>
      <c r="G532" s="187"/>
      <c r="H532" s="187"/>
      <c r="I532" s="188"/>
      <c r="J532" s="209"/>
      <c r="K532" s="170"/>
      <c r="L532" s="196" t="s">
        <v>113</v>
      </c>
      <c r="M532" s="186"/>
      <c r="N532" s="186"/>
      <c r="O532" s="186"/>
      <c r="P532" s="186"/>
      <c r="Q532" s="187"/>
      <c r="R532" s="187"/>
      <c r="S532" s="188"/>
    </row>
    <row r="533" spans="1:19">
      <c r="A533" s="170"/>
      <c r="B533" s="186" t="s">
        <v>209</v>
      </c>
      <c r="C533" s="186"/>
      <c r="D533" s="197"/>
      <c r="E533" s="186"/>
      <c r="F533" s="186"/>
      <c r="G533" s="198" t="str">
        <f>'[2]G-STAFF'!C46</f>
        <v>K</v>
      </c>
      <c r="H533" s="187">
        <f>'[2]G-STAFF'!Q46</f>
        <v>63398.844633000037</v>
      </c>
      <c r="I533" s="188"/>
      <c r="J533" s="209"/>
      <c r="K533" s="170"/>
      <c r="L533" s="186" t="s">
        <v>209</v>
      </c>
      <c r="M533" s="186"/>
      <c r="N533" s="198"/>
      <c r="O533" s="186"/>
      <c r="P533" s="186"/>
      <c r="Q533" s="198" t="str">
        <f>'[2]G-STAFF'!C47</f>
        <v>K2</v>
      </c>
      <c r="R533" s="187">
        <f>'[2]G-STAFF'!Q47</f>
        <v>15352.315846872889</v>
      </c>
      <c r="S533" s="188"/>
    </row>
    <row r="534" spans="1:19">
      <c r="A534" s="170"/>
      <c r="B534" s="186" t="s">
        <v>210</v>
      </c>
      <c r="C534" s="186"/>
      <c r="D534" s="186"/>
      <c r="E534" s="186"/>
      <c r="F534" s="186"/>
      <c r="G534" s="187"/>
      <c r="H534" s="187">
        <f>'[2]G-STAFF'!R46</f>
        <v>180808.48</v>
      </c>
      <c r="I534" s="188"/>
      <c r="J534" s="209"/>
      <c r="K534" s="170"/>
      <c r="L534" s="186" t="s">
        <v>210</v>
      </c>
      <c r="M534" s="186"/>
      <c r="N534" s="186"/>
      <c r="O534" s="186"/>
      <c r="P534" s="186"/>
      <c r="Q534" s="187"/>
      <c r="R534" s="187">
        <f>'[2]G-STAFF'!R47</f>
        <v>180808</v>
      </c>
      <c r="S534" s="188"/>
    </row>
    <row r="535" spans="1:19" ht="15.75" thickBot="1">
      <c r="A535" s="170"/>
      <c r="B535" s="190" t="s">
        <v>211</v>
      </c>
      <c r="C535" s="190"/>
      <c r="D535" s="190"/>
      <c r="E535" s="190"/>
      <c r="F535" s="190"/>
      <c r="G535" s="192"/>
      <c r="H535" s="192">
        <f>SUM(H533:H534)</f>
        <v>244207.32463300004</v>
      </c>
      <c r="I535" s="188"/>
      <c r="J535" s="209"/>
      <c r="K535" s="170"/>
      <c r="L535" s="190" t="s">
        <v>211</v>
      </c>
      <c r="M535" s="190"/>
      <c r="N535" s="190"/>
      <c r="O535" s="190"/>
      <c r="P535" s="190"/>
      <c r="Q535" s="192"/>
      <c r="R535" s="192">
        <f>SUM(R533:R534)</f>
        <v>196160.31584687289</v>
      </c>
      <c r="S535" s="188"/>
    </row>
    <row r="536" spans="1:19" ht="15.75" thickBot="1">
      <c r="A536" s="170"/>
      <c r="B536" s="193" t="s">
        <v>220</v>
      </c>
      <c r="C536" s="193"/>
      <c r="D536" s="193"/>
      <c r="E536" s="193"/>
      <c r="F536" s="193"/>
      <c r="G536" s="195"/>
      <c r="H536" s="195">
        <f>SUM(H530-H535)</f>
        <v>6130228.6753669996</v>
      </c>
      <c r="I536" s="188"/>
      <c r="J536" s="209"/>
      <c r="K536" s="170"/>
      <c r="L536" s="193" t="s">
        <v>220</v>
      </c>
      <c r="M536" s="193"/>
      <c r="N536" s="193"/>
      <c r="O536" s="193"/>
      <c r="P536" s="193"/>
      <c r="Q536" s="195"/>
      <c r="R536" s="195">
        <f>SUM(R530-R535)</f>
        <v>5956243.4991820296</v>
      </c>
      <c r="S536" s="188"/>
    </row>
    <row r="537" spans="1:19">
      <c r="A537" s="170"/>
      <c r="B537" s="186" t="s">
        <v>221</v>
      </c>
      <c r="C537" s="186"/>
      <c r="D537" s="186"/>
      <c r="E537" s="186"/>
      <c r="F537" s="186"/>
      <c r="G537" s="187"/>
      <c r="H537" s="187">
        <f>'[2]Urutan Nm'!H79</f>
        <v>10000</v>
      </c>
      <c r="I537" s="188"/>
      <c r="J537" s="209"/>
      <c r="K537" s="170"/>
      <c r="L537" s="186" t="s">
        <v>221</v>
      </c>
      <c r="M537" s="186"/>
      <c r="N537" s="186"/>
      <c r="O537" s="186"/>
      <c r="P537" s="186"/>
      <c r="Q537" s="187"/>
      <c r="R537" s="187">
        <f>'[2]Urutan Nm'!H80</f>
        <v>10000</v>
      </c>
      <c r="S537" s="188"/>
    </row>
    <row r="538" spans="1:19" ht="15.75" thickBot="1">
      <c r="A538" s="170"/>
      <c r="B538" s="199"/>
      <c r="C538" s="190"/>
      <c r="D538" s="190"/>
      <c r="E538" s="190"/>
      <c r="F538" s="190"/>
      <c r="G538" s="192"/>
      <c r="H538" s="192"/>
      <c r="I538" s="188"/>
      <c r="J538" s="187"/>
      <c r="K538" s="170"/>
      <c r="L538" s="199"/>
      <c r="M538" s="190"/>
      <c r="N538" s="190"/>
      <c r="O538" s="190"/>
      <c r="P538" s="190"/>
      <c r="Q538" s="192"/>
      <c r="R538" s="192"/>
      <c r="S538" s="188"/>
    </row>
    <row r="539" spans="1:19" ht="15.75" thickBot="1">
      <c r="A539" s="170"/>
      <c r="B539" s="200" t="s">
        <v>212</v>
      </c>
      <c r="C539" s="200"/>
      <c r="D539" s="200"/>
      <c r="E539" s="200"/>
      <c r="F539" s="200"/>
      <c r="G539" s="201"/>
      <c r="H539" s="201">
        <f>SUM(H530-H538)</f>
        <v>6374436</v>
      </c>
      <c r="I539" s="188"/>
      <c r="J539" s="187"/>
      <c r="K539" s="170"/>
      <c r="L539" s="200" t="s">
        <v>212</v>
      </c>
      <c r="M539" s="200"/>
      <c r="N539" s="200"/>
      <c r="O539" s="200"/>
      <c r="P539" s="200"/>
      <c r="Q539" s="201"/>
      <c r="R539" s="201">
        <f>SUM(R536-R537)</f>
        <v>5946243.4991820296</v>
      </c>
      <c r="S539" s="188"/>
    </row>
    <row r="540" spans="1:19" ht="15.75" thickTop="1">
      <c r="A540" s="170"/>
      <c r="B540" s="202" t="s">
        <v>213</v>
      </c>
      <c r="C540" s="186"/>
      <c r="D540" s="186"/>
      <c r="E540" s="186"/>
      <c r="F540" s="186"/>
      <c r="G540" s="296" t="s">
        <v>214</v>
      </c>
      <c r="H540" s="296"/>
      <c r="I540" s="188"/>
      <c r="J540" s="187"/>
      <c r="K540" s="170"/>
      <c r="L540" s="202" t="s">
        <v>213</v>
      </c>
      <c r="M540" s="186"/>
      <c r="N540" s="186"/>
      <c r="O540" s="186"/>
      <c r="P540" s="186"/>
      <c r="Q540" s="296" t="s">
        <v>214</v>
      </c>
      <c r="R540" s="296"/>
      <c r="S540" s="188"/>
    </row>
    <row r="541" spans="1:19">
      <c r="A541" s="170"/>
      <c r="B541" s="186"/>
      <c r="C541" s="186"/>
      <c r="D541" s="186"/>
      <c r="E541" s="186"/>
      <c r="F541" s="186"/>
      <c r="G541" s="187"/>
      <c r="H541" s="187"/>
      <c r="I541" s="188"/>
      <c r="J541" s="187"/>
      <c r="K541" s="170"/>
      <c r="L541" s="186"/>
      <c r="M541" s="186"/>
      <c r="N541" s="186"/>
      <c r="O541" s="186"/>
      <c r="P541" s="186"/>
      <c r="Q541" s="187"/>
      <c r="R541" s="187"/>
      <c r="S541" s="188"/>
    </row>
    <row r="542" spans="1:19">
      <c r="A542" s="170"/>
      <c r="B542" s="186"/>
      <c r="C542" s="186"/>
      <c r="D542" s="186"/>
      <c r="E542" s="186"/>
      <c r="F542" s="186"/>
      <c r="G542" s="187"/>
      <c r="H542" s="187"/>
      <c r="I542" s="188"/>
      <c r="J542" s="187"/>
      <c r="K542" s="170"/>
      <c r="L542" s="186"/>
      <c r="M542" s="186"/>
      <c r="N542" s="186"/>
      <c r="O542" s="186"/>
      <c r="P542" s="186"/>
      <c r="Q542" s="187"/>
      <c r="R542" s="187"/>
      <c r="S542" s="188"/>
    </row>
    <row r="543" spans="1:19">
      <c r="A543" s="170"/>
      <c r="B543" s="203" t="s">
        <v>215</v>
      </c>
      <c r="C543" s="186"/>
      <c r="D543" s="186"/>
      <c r="E543" s="186"/>
      <c r="F543" s="186"/>
      <c r="G543" s="297" t="s">
        <v>216</v>
      </c>
      <c r="H543" s="297"/>
      <c r="I543" s="188"/>
      <c r="J543" s="187"/>
      <c r="K543" s="170"/>
      <c r="L543" s="203" t="s">
        <v>215</v>
      </c>
      <c r="M543" s="186"/>
      <c r="N543" s="186"/>
      <c r="O543" s="186"/>
      <c r="P543" s="186"/>
      <c r="Q543" s="297" t="s">
        <v>216</v>
      </c>
      <c r="R543" s="297"/>
      <c r="S543" s="188"/>
    </row>
    <row r="544" spans="1:19">
      <c r="A544" s="204"/>
      <c r="B544" s="205"/>
      <c r="C544" s="206"/>
      <c r="D544" s="206"/>
      <c r="E544" s="206"/>
      <c r="F544" s="206"/>
      <c r="G544" s="207"/>
      <c r="H544" s="205"/>
      <c r="I544" s="208"/>
      <c r="J544" s="187"/>
      <c r="K544" s="204"/>
      <c r="L544" s="205"/>
      <c r="M544" s="206"/>
      <c r="N544" s="206"/>
      <c r="O544" s="206"/>
      <c r="P544" s="206"/>
      <c r="Q544" s="207"/>
      <c r="R544" s="205"/>
      <c r="S544" s="208"/>
    </row>
  </sheetData>
  <mergeCells count="96">
    <mergeCell ref="B517:I517"/>
    <mergeCell ref="L517:S517"/>
    <mergeCell ref="G540:H540"/>
    <mergeCell ref="Q540:R540"/>
    <mergeCell ref="G543:H543"/>
    <mergeCell ref="Q543:R543"/>
    <mergeCell ref="B484:I484"/>
    <mergeCell ref="L484:S484"/>
    <mergeCell ref="G507:H507"/>
    <mergeCell ref="Q507:R507"/>
    <mergeCell ref="G510:H510"/>
    <mergeCell ref="Q510:R510"/>
    <mergeCell ref="B449:I449"/>
    <mergeCell ref="L449:S449"/>
    <mergeCell ref="G472:H472"/>
    <mergeCell ref="Q472:R472"/>
    <mergeCell ref="G475:H475"/>
    <mergeCell ref="Q475:R475"/>
    <mergeCell ref="B416:I416"/>
    <mergeCell ref="L416:S416"/>
    <mergeCell ref="G439:H439"/>
    <mergeCell ref="Q439:R439"/>
    <mergeCell ref="G442:H442"/>
    <mergeCell ref="Q442:R442"/>
    <mergeCell ref="B381:I381"/>
    <mergeCell ref="L381:S381"/>
    <mergeCell ref="G404:H404"/>
    <mergeCell ref="Q404:R404"/>
    <mergeCell ref="G407:H407"/>
    <mergeCell ref="Q407:R407"/>
    <mergeCell ref="B348:I348"/>
    <mergeCell ref="L348:S348"/>
    <mergeCell ref="G371:H371"/>
    <mergeCell ref="Q371:R371"/>
    <mergeCell ref="G374:H374"/>
    <mergeCell ref="Q374:R374"/>
    <mergeCell ref="B312:I312"/>
    <mergeCell ref="L312:S312"/>
    <mergeCell ref="G335:H335"/>
    <mergeCell ref="Q335:R335"/>
    <mergeCell ref="G338:H338"/>
    <mergeCell ref="Q338:R338"/>
    <mergeCell ref="B280:I280"/>
    <mergeCell ref="L280:S280"/>
    <mergeCell ref="G302:H302"/>
    <mergeCell ref="Q302:R302"/>
    <mergeCell ref="G305:H305"/>
    <mergeCell ref="Q305:R305"/>
    <mergeCell ref="B244:I244"/>
    <mergeCell ref="L244:S244"/>
    <mergeCell ref="G266:H266"/>
    <mergeCell ref="Q266:R266"/>
    <mergeCell ref="G269:H269"/>
    <mergeCell ref="Q269:R269"/>
    <mergeCell ref="B212:I212"/>
    <mergeCell ref="L212:S212"/>
    <mergeCell ref="G234:H234"/>
    <mergeCell ref="Q234:R234"/>
    <mergeCell ref="G237:H237"/>
    <mergeCell ref="Q237:R237"/>
    <mergeCell ref="B176:I176"/>
    <mergeCell ref="L176:S176"/>
    <mergeCell ref="G198:H198"/>
    <mergeCell ref="Q198:R198"/>
    <mergeCell ref="G201:H201"/>
    <mergeCell ref="Q201:R201"/>
    <mergeCell ref="B144:I144"/>
    <mergeCell ref="L144:S144"/>
    <mergeCell ref="G166:H166"/>
    <mergeCell ref="Q166:R166"/>
    <mergeCell ref="G169:H169"/>
    <mergeCell ref="Q169:R169"/>
    <mergeCell ref="B107:I107"/>
    <mergeCell ref="L107:S107"/>
    <mergeCell ref="G129:H129"/>
    <mergeCell ref="Q129:R129"/>
    <mergeCell ref="G132:H132"/>
    <mergeCell ref="Q132:R132"/>
    <mergeCell ref="B75:I75"/>
    <mergeCell ref="L75:S75"/>
    <mergeCell ref="G97:H97"/>
    <mergeCell ref="Q97:R97"/>
    <mergeCell ref="G100:H100"/>
    <mergeCell ref="Q100:R100"/>
    <mergeCell ref="B37:I37"/>
    <mergeCell ref="L37:S37"/>
    <mergeCell ref="G59:H59"/>
    <mergeCell ref="Q59:R59"/>
    <mergeCell ref="G62:H62"/>
    <mergeCell ref="Q62:R62"/>
    <mergeCell ref="B5:I5"/>
    <mergeCell ref="L5:S5"/>
    <mergeCell ref="G27:H27"/>
    <mergeCell ref="Q27:R27"/>
    <mergeCell ref="G30:H30"/>
    <mergeCell ref="Q30:R30"/>
  </mergeCells>
  <pageMargins left="0.23622047244094491" right="0.23622047244094491" top="0" bottom="0" header="0.31496062992125984" footer="0.31496062992125984"/>
  <pageSetup paperSize="9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30"/>
  <sheetViews>
    <sheetView showGridLines="0" topLeftCell="A4" zoomScale="80" zoomScaleNormal="80" workbookViewId="0">
      <selection activeCell="G31" sqref="G31"/>
    </sheetView>
  </sheetViews>
  <sheetFormatPr defaultColWidth="9.140625" defaultRowHeight="15" customHeight="1"/>
  <cols>
    <col min="1" max="1" width="4.85546875" style="44" customWidth="1"/>
    <col min="2" max="2" width="25.7109375" style="45" customWidth="1"/>
    <col min="3" max="3" width="11" style="46" customWidth="1"/>
    <col min="4" max="4" width="6.7109375" style="46" customWidth="1"/>
    <col min="5" max="5" width="17.140625" style="6" hidden="1" customWidth="1"/>
    <col min="6" max="6" width="12.7109375" style="6" customWidth="1"/>
    <col min="7" max="7" width="6.7109375" style="88" customWidth="1"/>
    <col min="8" max="8" width="8.7109375" style="6" customWidth="1"/>
    <col min="9" max="9" width="10.7109375" style="6" customWidth="1"/>
    <col min="10" max="10" width="10.7109375" style="4" customWidth="1"/>
    <col min="11" max="11" width="10.7109375" style="4" hidden="1" customWidth="1"/>
    <col min="12" max="12" width="9.7109375" style="4" hidden="1" customWidth="1"/>
    <col min="13" max="13" width="10.28515625" style="4" customWidth="1"/>
    <col min="14" max="14" width="10.7109375" style="4" hidden="1" customWidth="1"/>
    <col min="15" max="15" width="12.7109375" style="22" customWidth="1"/>
    <col min="16" max="17" width="10.7109375" style="4" customWidth="1"/>
    <col min="18" max="18" width="10.7109375" style="22" customWidth="1"/>
    <col min="19" max="19" width="10.7109375" style="4" customWidth="1"/>
    <col min="20" max="20" width="10.7109375" style="22" customWidth="1"/>
    <col min="21" max="21" width="12.7109375" style="22" customWidth="1"/>
    <col min="22" max="25" width="10.7109375" style="4" customWidth="1"/>
    <col min="26" max="27" width="10.7109375" style="22" customWidth="1"/>
    <col min="28" max="28" width="12.7109375" style="22" customWidth="1"/>
    <col min="29" max="29" width="10" style="4" customWidth="1"/>
    <col min="30" max="30" width="8.28515625" style="3" customWidth="1"/>
    <col min="31" max="31" width="11.7109375" style="15" customWidth="1"/>
    <col min="32" max="32" width="11.7109375" style="5" customWidth="1"/>
    <col min="33" max="33" width="14.28515625" style="3" bestFit="1" customWidth="1"/>
    <col min="34" max="34" width="11.7109375" style="3" customWidth="1"/>
    <col min="35" max="35" width="13.85546875" style="3" bestFit="1" customWidth="1"/>
    <col min="36" max="36" width="15.140625" style="3" bestFit="1" customWidth="1"/>
    <col min="37" max="37" width="12.28515625" style="3" bestFit="1" customWidth="1"/>
    <col min="38" max="38" width="13" style="3" bestFit="1" customWidth="1"/>
    <col min="39" max="40" width="11.7109375" style="3" customWidth="1"/>
    <col min="41" max="41" width="16.42578125" style="3" bestFit="1" customWidth="1"/>
    <col min="42" max="42" width="12.140625" style="3" bestFit="1" customWidth="1"/>
    <col min="43" max="43" width="13.85546875" style="3" bestFit="1" customWidth="1"/>
    <col min="44" max="44" width="11.85546875" style="3" bestFit="1" customWidth="1"/>
    <col min="45" max="45" width="14.5703125" style="3" bestFit="1" customWidth="1"/>
    <col min="46" max="46" width="15.5703125" style="3" bestFit="1" customWidth="1"/>
    <col min="47" max="47" width="11.42578125" style="3" bestFit="1" customWidth="1"/>
    <col min="48" max="48" width="26.140625" style="3" bestFit="1" customWidth="1"/>
    <col min="49" max="49" width="12" style="3" bestFit="1" customWidth="1"/>
    <col min="50" max="50" width="10.7109375" style="3" bestFit="1" customWidth="1"/>
    <col min="51" max="51" width="11.85546875" style="3" bestFit="1" customWidth="1"/>
    <col min="52" max="52" width="12.5703125" style="3" bestFit="1" customWidth="1"/>
    <col min="53" max="53" width="3.85546875" style="3" bestFit="1" customWidth="1"/>
    <col min="54" max="54" width="12.140625" style="3" bestFit="1" customWidth="1"/>
    <col min="55" max="55" width="9.42578125" style="3" bestFit="1" customWidth="1"/>
    <col min="56" max="56" width="9.28515625" style="3" bestFit="1" customWidth="1"/>
    <col min="57" max="57" width="9.42578125" style="3" bestFit="1" customWidth="1"/>
    <col min="58" max="58" width="9.28515625" style="3" bestFit="1" customWidth="1"/>
    <col min="59" max="60" width="10.7109375" style="3" bestFit="1" customWidth="1"/>
    <col min="61" max="61" width="12" style="3" customWidth="1"/>
    <col min="62" max="62" width="13.85546875" style="3" bestFit="1" customWidth="1"/>
    <col min="63" max="63" width="13" style="3" bestFit="1" customWidth="1"/>
    <col min="64" max="64" width="9.85546875" style="3" bestFit="1" customWidth="1"/>
    <col min="65" max="65" width="10.85546875" style="3" bestFit="1" customWidth="1"/>
    <col min="66" max="66" width="15.140625" style="3" bestFit="1" customWidth="1"/>
    <col min="67" max="67" width="16.28515625" style="3" bestFit="1" customWidth="1"/>
    <col min="68" max="68" width="12.140625" style="3" bestFit="1" customWidth="1"/>
    <col min="69" max="69" width="13.85546875" style="3" bestFit="1" customWidth="1"/>
    <col min="70" max="70" width="11.85546875" style="3" bestFit="1" customWidth="1"/>
    <col min="71" max="72" width="9.42578125" style="3" bestFit="1" customWidth="1"/>
    <col min="73" max="73" width="9.140625" style="3"/>
    <col min="74" max="74" width="9.28515625" style="3" bestFit="1" customWidth="1"/>
    <col min="75" max="75" width="9.140625" style="3"/>
    <col min="76" max="78" width="10.140625" style="3" bestFit="1" customWidth="1"/>
    <col min="79" max="81" width="9.28515625" style="3" bestFit="1" customWidth="1"/>
    <col min="82" max="84" width="10.140625" style="3" bestFit="1" customWidth="1"/>
    <col min="85" max="90" width="9.140625" style="3"/>
    <col min="91" max="93" width="9.28515625" style="3" bestFit="1" customWidth="1"/>
    <col min="94" max="16384" width="9.140625" style="3"/>
  </cols>
  <sheetData>
    <row r="1" spans="1:40" ht="15" customHeight="1">
      <c r="A1" s="41" t="s">
        <v>351</v>
      </c>
      <c r="B1" s="41"/>
      <c r="C1" s="47"/>
      <c r="D1" s="41"/>
      <c r="E1" s="2"/>
      <c r="F1" s="2"/>
      <c r="G1" s="8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2"/>
      <c r="W1" s="2"/>
      <c r="X1" s="1"/>
      <c r="Y1" s="1"/>
      <c r="Z1" s="2"/>
      <c r="AA1" s="1"/>
      <c r="AB1" s="2"/>
      <c r="AC1" s="31"/>
      <c r="AD1" s="22"/>
      <c r="AE1" s="20"/>
      <c r="AF1" s="21"/>
      <c r="AG1" s="26"/>
      <c r="AH1" s="21"/>
      <c r="AI1" s="21"/>
      <c r="AJ1" s="21"/>
      <c r="AK1" s="21"/>
      <c r="AL1" s="21"/>
      <c r="AM1" s="4"/>
    </row>
    <row r="2" spans="1:40" ht="15" customHeight="1">
      <c r="A2" s="41" t="s">
        <v>240</v>
      </c>
      <c r="B2" s="41"/>
      <c r="C2" s="47"/>
      <c r="D2" s="41"/>
      <c r="E2" s="2"/>
      <c r="F2" s="2"/>
      <c r="G2" s="8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2"/>
      <c r="W2" s="2"/>
      <c r="X2" s="1"/>
      <c r="Y2" s="1"/>
      <c r="Z2" s="2"/>
      <c r="AA2" s="1"/>
      <c r="AB2" s="2"/>
      <c r="AC2" s="31"/>
      <c r="AD2" s="22"/>
      <c r="AE2" s="20"/>
      <c r="AF2" s="21"/>
      <c r="AG2" s="26"/>
      <c r="AH2" s="21"/>
      <c r="AI2" s="21"/>
      <c r="AJ2" s="21"/>
      <c r="AK2" s="21"/>
      <c r="AL2" s="21"/>
      <c r="AM2" s="4"/>
    </row>
    <row r="3" spans="1:40" ht="15" customHeight="1">
      <c r="A3" s="240" t="s">
        <v>364</v>
      </c>
      <c r="B3" s="240"/>
      <c r="C3" s="240"/>
      <c r="D3" s="240"/>
      <c r="E3" s="240"/>
      <c r="F3" s="240"/>
      <c r="G3" s="240"/>
      <c r="H3" s="240"/>
      <c r="I3" s="2"/>
      <c r="J3" s="2"/>
      <c r="K3" s="2"/>
      <c r="L3" s="2"/>
      <c r="M3" s="2"/>
      <c r="N3" s="2"/>
      <c r="O3" s="2"/>
      <c r="P3" s="32"/>
      <c r="Q3" s="2"/>
      <c r="R3" s="2"/>
      <c r="S3" s="2"/>
      <c r="T3" s="2"/>
      <c r="U3" s="1"/>
      <c r="V3" s="2"/>
      <c r="W3" s="2"/>
      <c r="X3" s="1"/>
      <c r="Y3" s="1"/>
      <c r="Z3" s="2"/>
      <c r="AA3" s="1"/>
      <c r="AB3" s="2"/>
      <c r="AC3" s="31"/>
      <c r="AD3" s="22"/>
      <c r="AE3" s="20"/>
      <c r="AF3" s="21"/>
      <c r="AG3" s="26"/>
      <c r="AH3" s="21"/>
      <c r="AI3" s="21"/>
      <c r="AJ3" s="21"/>
      <c r="AK3" s="21"/>
      <c r="AL3" s="21"/>
      <c r="AM3" s="4"/>
    </row>
    <row r="4" spans="1:40" ht="15" customHeight="1">
      <c r="A4" s="93"/>
      <c r="B4" s="41"/>
      <c r="C4" s="47"/>
      <c r="D4" s="41"/>
      <c r="E4" s="2"/>
      <c r="F4" s="2"/>
      <c r="G4" s="86"/>
      <c r="H4" s="2"/>
      <c r="I4" s="2"/>
      <c r="J4" s="2"/>
      <c r="K4" s="2"/>
      <c r="L4" s="2"/>
      <c r="M4" s="2"/>
      <c r="N4" s="2"/>
      <c r="O4" s="2"/>
      <c r="P4" s="32"/>
      <c r="Q4" s="2"/>
      <c r="R4" s="2"/>
      <c r="S4" s="2"/>
      <c r="T4" s="2"/>
      <c r="U4" s="1"/>
      <c r="V4" s="2"/>
      <c r="W4" s="2"/>
      <c r="X4" s="1"/>
      <c r="Y4" s="1"/>
      <c r="Z4" s="2"/>
      <c r="AA4" s="1"/>
      <c r="AB4" s="2"/>
      <c r="AC4" s="31"/>
      <c r="AD4" s="22"/>
      <c r="AE4" s="20"/>
      <c r="AF4" s="21"/>
      <c r="AG4" s="26"/>
      <c r="AH4" s="21"/>
      <c r="AI4" s="21"/>
      <c r="AJ4" s="21"/>
      <c r="AK4" s="21"/>
      <c r="AL4" s="21"/>
      <c r="AM4" s="4"/>
    </row>
    <row r="5" spans="1:40" ht="15" hidden="1" customHeight="1">
      <c r="A5" s="93"/>
      <c r="B5" s="69">
        <v>1</v>
      </c>
      <c r="C5" s="69">
        <v>3</v>
      </c>
      <c r="D5" s="69">
        <v>4</v>
      </c>
      <c r="E5" s="69">
        <v>5</v>
      </c>
      <c r="F5" s="69">
        <v>6</v>
      </c>
      <c r="G5" s="69">
        <v>7</v>
      </c>
      <c r="H5" s="69">
        <v>8</v>
      </c>
      <c r="I5" s="69">
        <v>9</v>
      </c>
      <c r="J5" s="69">
        <v>10</v>
      </c>
      <c r="K5" s="69">
        <v>11</v>
      </c>
      <c r="L5" s="69">
        <v>12</v>
      </c>
      <c r="M5" s="69">
        <v>13</v>
      </c>
      <c r="N5" s="69">
        <v>14</v>
      </c>
      <c r="O5" s="69">
        <v>15</v>
      </c>
      <c r="P5" s="69">
        <v>16</v>
      </c>
      <c r="Q5" s="69">
        <v>17</v>
      </c>
      <c r="R5" s="69">
        <v>18</v>
      </c>
      <c r="S5" s="69">
        <v>19</v>
      </c>
      <c r="T5" s="69">
        <v>20</v>
      </c>
      <c r="U5" s="69">
        <v>21</v>
      </c>
      <c r="V5" s="69">
        <v>22</v>
      </c>
      <c r="W5" s="69">
        <v>23</v>
      </c>
      <c r="X5" s="69">
        <v>24</v>
      </c>
      <c r="Y5" s="69">
        <v>25</v>
      </c>
      <c r="Z5" s="69">
        <v>26</v>
      </c>
      <c r="AA5" s="69">
        <v>27</v>
      </c>
      <c r="AB5" s="69">
        <v>28</v>
      </c>
      <c r="AC5" s="31"/>
      <c r="AD5" s="22"/>
      <c r="AE5" s="20"/>
      <c r="AF5" s="21"/>
      <c r="AG5" s="26"/>
      <c r="AH5" s="21"/>
      <c r="AI5" s="21"/>
      <c r="AJ5" s="21"/>
      <c r="AK5" s="21"/>
      <c r="AL5" s="21"/>
      <c r="AM5" s="4"/>
    </row>
    <row r="6" spans="1:40" s="54" customFormat="1" ht="19.899999999999999" customHeight="1">
      <c r="A6" s="282" t="s">
        <v>82</v>
      </c>
      <c r="B6" s="282" t="s">
        <v>3</v>
      </c>
      <c r="C6" s="282" t="s">
        <v>47</v>
      </c>
      <c r="D6" s="282" t="s">
        <v>4</v>
      </c>
      <c r="E6" s="283" t="s">
        <v>251</v>
      </c>
      <c r="F6" s="284" t="s">
        <v>111</v>
      </c>
      <c r="G6" s="298" t="s">
        <v>152</v>
      </c>
      <c r="H6" s="284" t="s">
        <v>151</v>
      </c>
      <c r="I6" s="284" t="s">
        <v>5</v>
      </c>
      <c r="J6" s="284" t="s">
        <v>0</v>
      </c>
      <c r="K6" s="284"/>
      <c r="L6" s="284"/>
      <c r="M6" s="284"/>
      <c r="N6" s="284"/>
      <c r="O6" s="276" t="s">
        <v>110</v>
      </c>
      <c r="P6" s="276" t="s">
        <v>103</v>
      </c>
      <c r="Q6" s="276"/>
      <c r="R6" s="276"/>
      <c r="S6" s="276"/>
      <c r="T6" s="276" t="s">
        <v>146</v>
      </c>
      <c r="U6" s="276" t="s">
        <v>114</v>
      </c>
      <c r="V6" s="276" t="s">
        <v>102</v>
      </c>
      <c r="W6" s="276"/>
      <c r="X6" s="276"/>
      <c r="Y6" s="276"/>
      <c r="Z6" s="276" t="s">
        <v>113</v>
      </c>
      <c r="AA6" s="276"/>
      <c r="AB6" s="276" t="s">
        <v>2</v>
      </c>
      <c r="AC6" s="53"/>
      <c r="AE6" s="288" t="s">
        <v>167</v>
      </c>
      <c r="AF6" s="289" t="s">
        <v>168</v>
      </c>
      <c r="AG6" s="288" t="s">
        <v>114</v>
      </c>
      <c r="AH6" s="285" t="s">
        <v>164</v>
      </c>
      <c r="AI6" s="288" t="s">
        <v>153</v>
      </c>
      <c r="AJ6" s="285" t="s">
        <v>169</v>
      </c>
      <c r="AK6" s="288" t="s">
        <v>165</v>
      </c>
      <c r="AL6" s="289" t="s">
        <v>166</v>
      </c>
      <c r="AM6" s="291" t="s">
        <v>171</v>
      </c>
      <c r="AN6" s="285" t="s">
        <v>170</v>
      </c>
    </row>
    <row r="7" spans="1:40" s="54" customFormat="1" ht="19.899999999999999" customHeight="1">
      <c r="A7" s="282"/>
      <c r="B7" s="282"/>
      <c r="C7" s="282"/>
      <c r="D7" s="282"/>
      <c r="E7" s="283"/>
      <c r="F7" s="284"/>
      <c r="G7" s="298"/>
      <c r="H7" s="284"/>
      <c r="I7" s="284"/>
      <c r="J7" s="276" t="s">
        <v>109</v>
      </c>
      <c r="K7" s="284" t="s">
        <v>159</v>
      </c>
      <c r="L7" s="284" t="s">
        <v>89</v>
      </c>
      <c r="M7" s="139" t="s">
        <v>86</v>
      </c>
      <c r="N7" s="139" t="s">
        <v>88</v>
      </c>
      <c r="O7" s="276"/>
      <c r="P7" s="139" t="s">
        <v>106</v>
      </c>
      <c r="Q7" s="139" t="s">
        <v>108</v>
      </c>
      <c r="R7" s="139" t="s">
        <v>107</v>
      </c>
      <c r="S7" s="139" t="s">
        <v>83</v>
      </c>
      <c r="T7" s="276"/>
      <c r="U7" s="276"/>
      <c r="V7" s="139" t="s">
        <v>108</v>
      </c>
      <c r="W7" s="139" t="s">
        <v>107</v>
      </c>
      <c r="X7" s="139" t="s">
        <v>83</v>
      </c>
      <c r="Y7" s="139" t="s">
        <v>104</v>
      </c>
      <c r="Z7" s="138" t="s">
        <v>105</v>
      </c>
      <c r="AA7" s="276" t="s">
        <v>1</v>
      </c>
      <c r="AB7" s="276"/>
      <c r="AC7" s="53"/>
      <c r="AE7" s="288"/>
      <c r="AF7" s="289"/>
      <c r="AG7" s="288"/>
      <c r="AH7" s="286"/>
      <c r="AI7" s="288"/>
      <c r="AJ7" s="286"/>
      <c r="AK7" s="288"/>
      <c r="AL7" s="289"/>
      <c r="AM7" s="292"/>
      <c r="AN7" s="286"/>
    </row>
    <row r="8" spans="1:40" s="54" customFormat="1" ht="19.899999999999999" customHeight="1">
      <c r="A8" s="282"/>
      <c r="B8" s="282"/>
      <c r="C8" s="282"/>
      <c r="D8" s="282"/>
      <c r="E8" s="283"/>
      <c r="F8" s="284"/>
      <c r="G8" s="298"/>
      <c r="H8" s="284"/>
      <c r="I8" s="284"/>
      <c r="J8" s="276"/>
      <c r="K8" s="284"/>
      <c r="L8" s="284"/>
      <c r="M8" s="139" t="s">
        <v>87</v>
      </c>
      <c r="N8" s="139" t="s">
        <v>89</v>
      </c>
      <c r="O8" s="276"/>
      <c r="P8" s="33">
        <v>1.1900000000000001E-2</v>
      </c>
      <c r="Q8" s="33">
        <v>0.02</v>
      </c>
      <c r="R8" s="33">
        <v>0.02</v>
      </c>
      <c r="S8" s="77">
        <v>0.04</v>
      </c>
      <c r="T8" s="276"/>
      <c r="U8" s="276"/>
      <c r="V8" s="33">
        <v>0.02</v>
      </c>
      <c r="W8" s="33">
        <v>0.01</v>
      </c>
      <c r="X8" s="33">
        <v>0.01</v>
      </c>
      <c r="Y8" s="33">
        <v>0.01</v>
      </c>
      <c r="Z8" s="138" t="s">
        <v>112</v>
      </c>
      <c r="AA8" s="276"/>
      <c r="AB8" s="139" t="s">
        <v>6</v>
      </c>
      <c r="AC8" s="53"/>
      <c r="AE8" s="288"/>
      <c r="AF8" s="289"/>
      <c r="AG8" s="288"/>
      <c r="AH8" s="102">
        <v>0.05</v>
      </c>
      <c r="AI8" s="288"/>
      <c r="AJ8" s="103">
        <v>12</v>
      </c>
      <c r="AK8" s="288"/>
      <c r="AL8" s="289"/>
      <c r="AM8" s="293"/>
      <c r="AN8" s="287"/>
    </row>
    <row r="9" spans="1:40" s="54" customFormat="1" ht="15" customHeight="1">
      <c r="A9" s="89"/>
      <c r="B9" s="89"/>
      <c r="C9" s="90"/>
      <c r="D9" s="89"/>
      <c r="E9" s="51"/>
      <c r="F9" s="52"/>
      <c r="G9" s="91"/>
      <c r="H9" s="52"/>
      <c r="I9" s="52"/>
      <c r="J9" s="52"/>
      <c r="K9" s="52"/>
      <c r="L9" s="52"/>
      <c r="M9" s="52"/>
      <c r="N9" s="52"/>
      <c r="O9" s="52"/>
      <c r="P9" s="92"/>
      <c r="Q9" s="52"/>
      <c r="R9" s="76"/>
      <c r="S9" s="52"/>
      <c r="T9" s="52"/>
      <c r="U9" s="52"/>
      <c r="V9" s="76"/>
      <c r="W9" s="76"/>
      <c r="X9" s="76"/>
      <c r="Y9" s="76"/>
      <c r="Z9" s="52"/>
      <c r="AA9" s="52"/>
      <c r="AB9" s="52"/>
      <c r="AC9" s="53"/>
      <c r="AE9" s="101"/>
      <c r="AF9" s="101"/>
      <c r="AG9" s="101"/>
      <c r="AH9" s="101"/>
      <c r="AI9" s="101"/>
      <c r="AJ9" s="101"/>
      <c r="AK9" s="101"/>
      <c r="AL9" s="101"/>
      <c r="AM9" s="101"/>
      <c r="AN9" s="101"/>
    </row>
    <row r="10" spans="1:40" ht="15" customHeight="1">
      <c r="A10" s="72">
        <v>1</v>
      </c>
      <c r="B10" s="239" t="s">
        <v>68</v>
      </c>
      <c r="C10" s="239" t="s">
        <v>40</v>
      </c>
      <c r="D10" s="72" t="s">
        <v>9</v>
      </c>
      <c r="E10" s="242" t="s">
        <v>270</v>
      </c>
      <c r="F10" s="66">
        <v>4877211</v>
      </c>
      <c r="G10" s="87">
        <v>0</v>
      </c>
      <c r="H10" s="66">
        <f>+F10/173</f>
        <v>28191.971098265894</v>
      </c>
      <c r="I10" s="66">
        <f t="shared" ref="I10:I13" si="0">+G10*H10</f>
        <v>0</v>
      </c>
      <c r="J10" s="66">
        <v>0</v>
      </c>
      <c r="K10" s="160">
        <v>0</v>
      </c>
      <c r="L10" s="66"/>
      <c r="M10" s="66">
        <v>180000</v>
      </c>
      <c r="N10" s="66"/>
      <c r="O10" s="121">
        <f>+F10+I10+J10+K10+M10+N10</f>
        <v>5057211</v>
      </c>
      <c r="P10" s="66">
        <f>+AE10*$P$8</f>
        <v>58038.810900000004</v>
      </c>
      <c r="Q10" s="66">
        <f>+AE10*$Q$8</f>
        <v>97544.22</v>
      </c>
      <c r="R10" s="66">
        <f>+AE10*$R$8</f>
        <v>97544.22</v>
      </c>
      <c r="S10" s="66">
        <f>+AF10*$S$8</f>
        <v>195088.44</v>
      </c>
      <c r="T10" s="121">
        <f t="shared" ref="T10:T21" si="1">SUM(P10:S10)</f>
        <v>448215.69090000005</v>
      </c>
      <c r="U10" s="121">
        <f t="shared" ref="U10:U19" si="2">+O10+T10</f>
        <v>5505426.6908999998</v>
      </c>
      <c r="V10" s="66">
        <f>+AE10*$V$8</f>
        <v>97544.22</v>
      </c>
      <c r="W10" s="66">
        <f>+AE10*$W$8</f>
        <v>48772.11</v>
      </c>
      <c r="X10" s="66">
        <f>+AF10*$X$8</f>
        <v>48772.11</v>
      </c>
      <c r="Y10" s="66">
        <v>0</v>
      </c>
      <c r="Z10" s="121">
        <f>SUM(V10:Y10)</f>
        <v>195088.44</v>
      </c>
      <c r="AA10" s="24">
        <v>0</v>
      </c>
      <c r="AB10" s="121">
        <f>+O10-Z10-AA10</f>
        <v>4862122.5599999996</v>
      </c>
      <c r="AE10" s="24">
        <f>+F10</f>
        <v>4877211</v>
      </c>
      <c r="AF10" s="24">
        <v>4877211</v>
      </c>
      <c r="AG10" s="107">
        <f>+O10+P10+S10</f>
        <v>5310338.2509000003</v>
      </c>
      <c r="AH10" s="140">
        <f t="shared" ref="AH10:AH19" si="3">IF(AG10*0.05&gt;500000,500000,AG10*0.05)</f>
        <v>265516.91254500003</v>
      </c>
      <c r="AI10" s="101">
        <f>+AG10-AH10-V10-W10</f>
        <v>4898505.0083550001</v>
      </c>
      <c r="AJ10" s="101">
        <f>+AI10*$AJ$8</f>
        <v>58782060.100260004</v>
      </c>
      <c r="AK10" s="101">
        <f>IF(D10="TK",54000000,(IF(OR(D10="TK1",D10="K"),58500000,(IF(OR(D10="TK2",D10="K1"),63000000,(IF(OR(OR(D10="TK3",D10="TK4"),D10="K2"),67500000,72000000)))))))</f>
        <v>63000000</v>
      </c>
      <c r="AL10" s="113">
        <f t="shared" ref="AL10:AL19" si="4">IF((+AJ10-AK10)&lt;=0,0,TRUNC((AJ10-AK10)/1000)*1000)</f>
        <v>0</v>
      </c>
      <c r="AM10" s="113">
        <f>IF(AL10&lt;=60000000,AL10*5%,IF(AL10&lt;=250000000,3000000+((AL10-60000000)*15%),IF(AL10&lt;=500000000,31500000+((AL10-250000000)*25%),IF(AND(AL10&gt;=500000000,AL10&lt;=5000000000),94000000+((AL10-500000000)*30%),IF(AL10&gt;5000000000,(1444000000+(AL10-5000000000)*35%))))))</f>
        <v>0</v>
      </c>
      <c r="AN10" s="101">
        <f>+AM10/12</f>
        <v>0</v>
      </c>
    </row>
    <row r="11" spans="1:40" ht="15" customHeight="1">
      <c r="A11" s="72">
        <v>2</v>
      </c>
      <c r="B11" s="239" t="s">
        <v>117</v>
      </c>
      <c r="C11" s="239" t="s">
        <v>40</v>
      </c>
      <c r="D11" s="72" t="s">
        <v>10</v>
      </c>
      <c r="E11" s="242" t="s">
        <v>271</v>
      </c>
      <c r="F11" s="66">
        <v>4594855</v>
      </c>
      <c r="G11" s="87">
        <v>0</v>
      </c>
      <c r="H11" s="66">
        <f t="shared" ref="H11:H21" si="5">+F11/173</f>
        <v>26559.855491329479</v>
      </c>
      <c r="I11" s="66">
        <f t="shared" si="0"/>
        <v>0</v>
      </c>
      <c r="J11" s="66">
        <v>0</v>
      </c>
      <c r="K11" s="66">
        <v>0</v>
      </c>
      <c r="L11" s="160"/>
      <c r="M11" s="66">
        <v>180000</v>
      </c>
      <c r="N11" s="66"/>
      <c r="O11" s="121">
        <f t="shared" ref="O11:O19" si="6">+F11+I11+J11+K11+M11+N11</f>
        <v>4774855</v>
      </c>
      <c r="P11" s="66">
        <f t="shared" ref="P11:P22" si="7">+AE11*$P$8</f>
        <v>58038.810900000004</v>
      </c>
      <c r="Q11" s="66">
        <f t="shared" ref="Q11:Q22" si="8">+AE11*$Q$8</f>
        <v>97544.22</v>
      </c>
      <c r="R11" s="66">
        <f t="shared" ref="R11:R22" si="9">+AE11*$R$8</f>
        <v>97544.22</v>
      </c>
      <c r="S11" s="66">
        <f t="shared" ref="S11:S22" si="10">+AF11*$S$8</f>
        <v>195088.44</v>
      </c>
      <c r="T11" s="121">
        <f t="shared" si="1"/>
        <v>448215.69090000005</v>
      </c>
      <c r="U11" s="121">
        <f t="shared" si="2"/>
        <v>5223070.6908999998</v>
      </c>
      <c r="V11" s="66">
        <f t="shared" ref="V11:V22" si="11">+AE11*$V$8</f>
        <v>97544.22</v>
      </c>
      <c r="W11" s="66">
        <f t="shared" ref="W11:W22" si="12">+AE11*$W$8</f>
        <v>48772.11</v>
      </c>
      <c r="X11" s="66">
        <f t="shared" ref="X11:X22" si="13">+AF11*$X$8</f>
        <v>48772.11</v>
      </c>
      <c r="Y11" s="66">
        <v>0</v>
      </c>
      <c r="Z11" s="121">
        <f t="shared" ref="Z11:Z21" si="14">SUM(V11:Y11)</f>
        <v>195088.44</v>
      </c>
      <c r="AA11" s="24">
        <v>0</v>
      </c>
      <c r="AB11" s="121">
        <f t="shared" ref="AB11:AB21" si="15">+O11-Z11-AA11</f>
        <v>4579766.5599999996</v>
      </c>
      <c r="AE11" s="24">
        <v>4877211</v>
      </c>
      <c r="AF11" s="24">
        <v>4877211</v>
      </c>
      <c r="AG11" s="101">
        <f t="shared" ref="AG11:AG19" si="16">+O11+P11+S11</f>
        <v>5027982.2509000003</v>
      </c>
      <c r="AH11" s="140">
        <f t="shared" si="3"/>
        <v>251399.11254500004</v>
      </c>
      <c r="AI11" s="101">
        <f t="shared" ref="AI11:AI19" si="17">+AG11-AH11-V11-W11</f>
        <v>4630266.8083549999</v>
      </c>
      <c r="AJ11" s="101">
        <f t="shared" ref="AJ11:AJ19" si="18">+AI11*$AJ$8</f>
        <v>55563201.700259998</v>
      </c>
      <c r="AK11" s="101">
        <f t="shared" ref="AK11:AK19" si="19">IF(D11="TK",54000000,(IF(OR(D11="TK1",D11="K"),58500000,(IF(OR(D11="TK2",D11="K1"),63000000,(IF(OR(OR(D11="TK3",D11="TK4"),D11="K2"),67500000,72000000)))))))</f>
        <v>54000000</v>
      </c>
      <c r="AL11" s="113">
        <f t="shared" si="4"/>
        <v>1563000</v>
      </c>
      <c r="AM11" s="113">
        <f t="shared" ref="AM11:AM18" si="20">IF(AL11&lt;=60000000,AL11*5%,IF(AL11&lt;=250000000,3000000+((AL11-60000000)*15%),IF(AL11&lt;=500000000,31500000+((AL11-250000000)*25%),IF(AND(AL11&gt;=500000000,AL11&lt;=5000000000),94000000+((AL11-500000000)*30%),IF(AL11&gt;5000000000,(1444000000+(AL11-5000000000)*35%))))))</f>
        <v>78150</v>
      </c>
      <c r="AN11" s="101">
        <f t="shared" ref="AN11:AN19" si="21">+AM11/12</f>
        <v>6512.5</v>
      </c>
    </row>
    <row r="12" spans="1:40" ht="15" customHeight="1">
      <c r="A12" s="72">
        <v>3</v>
      </c>
      <c r="B12" s="239" t="s">
        <v>69</v>
      </c>
      <c r="C12" s="239" t="s">
        <v>40</v>
      </c>
      <c r="D12" s="72" t="s">
        <v>9</v>
      </c>
      <c r="E12" s="242" t="s">
        <v>272</v>
      </c>
      <c r="F12" s="66">
        <v>4594855</v>
      </c>
      <c r="G12" s="87">
        <v>0</v>
      </c>
      <c r="H12" s="66">
        <f t="shared" si="5"/>
        <v>26559.855491329479</v>
      </c>
      <c r="I12" s="66">
        <f t="shared" si="0"/>
        <v>0</v>
      </c>
      <c r="J12" s="66">
        <v>0</v>
      </c>
      <c r="K12" s="160">
        <v>0</v>
      </c>
      <c r="L12" s="66"/>
      <c r="M12" s="66">
        <v>180000</v>
      </c>
      <c r="N12" s="66"/>
      <c r="O12" s="121">
        <f t="shared" si="6"/>
        <v>4774855</v>
      </c>
      <c r="P12" s="66">
        <f t="shared" si="7"/>
        <v>58038.810900000004</v>
      </c>
      <c r="Q12" s="66">
        <f t="shared" si="8"/>
        <v>97544.22</v>
      </c>
      <c r="R12" s="66">
        <f t="shared" si="9"/>
        <v>97544.22</v>
      </c>
      <c r="S12" s="66">
        <f t="shared" si="10"/>
        <v>195088.44</v>
      </c>
      <c r="T12" s="121">
        <f t="shared" si="1"/>
        <v>448215.69090000005</v>
      </c>
      <c r="U12" s="121">
        <f t="shared" si="2"/>
        <v>5223070.6908999998</v>
      </c>
      <c r="V12" s="66">
        <f t="shared" si="11"/>
        <v>97544.22</v>
      </c>
      <c r="W12" s="66">
        <f t="shared" si="12"/>
        <v>48772.11</v>
      </c>
      <c r="X12" s="66">
        <f t="shared" si="13"/>
        <v>48772.11</v>
      </c>
      <c r="Y12" s="66">
        <v>0</v>
      </c>
      <c r="Z12" s="121">
        <f t="shared" si="14"/>
        <v>195088.44</v>
      </c>
      <c r="AA12" s="24">
        <v>0</v>
      </c>
      <c r="AB12" s="121">
        <f t="shared" si="15"/>
        <v>4579766.5599999996</v>
      </c>
      <c r="AE12" s="24">
        <v>4877211</v>
      </c>
      <c r="AF12" s="24">
        <v>4877211</v>
      </c>
      <c r="AG12" s="101">
        <f t="shared" si="16"/>
        <v>5027982.2509000003</v>
      </c>
      <c r="AH12" s="140">
        <f t="shared" si="3"/>
        <v>251399.11254500004</v>
      </c>
      <c r="AI12" s="101">
        <f t="shared" si="17"/>
        <v>4630266.8083549999</v>
      </c>
      <c r="AJ12" s="101">
        <f t="shared" si="18"/>
        <v>55563201.700259998</v>
      </c>
      <c r="AK12" s="101">
        <f t="shared" si="19"/>
        <v>63000000</v>
      </c>
      <c r="AL12" s="113">
        <f t="shared" si="4"/>
        <v>0</v>
      </c>
      <c r="AM12" s="113">
        <f t="shared" si="20"/>
        <v>0</v>
      </c>
      <c r="AN12" s="101">
        <f t="shared" si="21"/>
        <v>0</v>
      </c>
    </row>
    <row r="13" spans="1:40" ht="15" customHeight="1">
      <c r="A13" s="72">
        <v>4</v>
      </c>
      <c r="B13" s="239" t="s">
        <v>361</v>
      </c>
      <c r="C13" s="239" t="s">
        <v>40</v>
      </c>
      <c r="D13" s="72" t="s">
        <v>17</v>
      </c>
      <c r="E13" s="242" t="s">
        <v>273</v>
      </c>
      <c r="F13" s="66">
        <v>4594855</v>
      </c>
      <c r="G13" s="87">
        <v>0</v>
      </c>
      <c r="H13" s="66">
        <f t="shared" si="5"/>
        <v>26559.855491329479</v>
      </c>
      <c r="I13" s="66">
        <f t="shared" si="0"/>
        <v>0</v>
      </c>
      <c r="J13" s="66">
        <v>0</v>
      </c>
      <c r="K13" s="66">
        <v>0</v>
      </c>
      <c r="L13" s="66"/>
      <c r="M13" s="66">
        <v>180000</v>
      </c>
      <c r="N13" s="66"/>
      <c r="O13" s="121">
        <f t="shared" si="6"/>
        <v>4774855</v>
      </c>
      <c r="P13" s="66">
        <f t="shared" si="7"/>
        <v>58038.810900000004</v>
      </c>
      <c r="Q13" s="66">
        <f t="shared" si="8"/>
        <v>97544.22</v>
      </c>
      <c r="R13" s="66">
        <f t="shared" si="9"/>
        <v>97544.22</v>
      </c>
      <c r="S13" s="66">
        <f t="shared" si="10"/>
        <v>195088.44</v>
      </c>
      <c r="T13" s="121">
        <f t="shared" si="1"/>
        <v>448215.69090000005</v>
      </c>
      <c r="U13" s="121">
        <f t="shared" si="2"/>
        <v>5223070.6908999998</v>
      </c>
      <c r="V13" s="66">
        <f t="shared" si="11"/>
        <v>97544.22</v>
      </c>
      <c r="W13" s="66">
        <f t="shared" si="12"/>
        <v>48772.11</v>
      </c>
      <c r="X13" s="66">
        <f t="shared" si="13"/>
        <v>48772.11</v>
      </c>
      <c r="Y13" s="66">
        <v>0</v>
      </c>
      <c r="Z13" s="121">
        <f t="shared" si="14"/>
        <v>195088.44</v>
      </c>
      <c r="AA13" s="24">
        <v>0</v>
      </c>
      <c r="AB13" s="121">
        <f t="shared" si="15"/>
        <v>4579766.5599999996</v>
      </c>
      <c r="AE13" s="24">
        <v>4877211</v>
      </c>
      <c r="AF13" s="24">
        <v>4877211</v>
      </c>
      <c r="AG13" s="101">
        <f t="shared" si="16"/>
        <v>5027982.2509000003</v>
      </c>
      <c r="AH13" s="140">
        <f t="shared" si="3"/>
        <v>251399.11254500004</v>
      </c>
      <c r="AI13" s="101">
        <f t="shared" si="17"/>
        <v>4630266.8083549999</v>
      </c>
      <c r="AJ13" s="101">
        <f t="shared" si="18"/>
        <v>55563201.700259998</v>
      </c>
      <c r="AK13" s="101">
        <f t="shared" si="19"/>
        <v>58500000</v>
      </c>
      <c r="AL13" s="113">
        <f t="shared" si="4"/>
        <v>0</v>
      </c>
      <c r="AM13" s="113">
        <f t="shared" si="20"/>
        <v>0</v>
      </c>
      <c r="AN13" s="101">
        <f t="shared" si="21"/>
        <v>0</v>
      </c>
    </row>
    <row r="14" spans="1:40" ht="15" customHeight="1">
      <c r="A14" s="72">
        <v>5</v>
      </c>
      <c r="B14" s="239" t="s">
        <v>362</v>
      </c>
      <c r="C14" s="239" t="s">
        <v>352</v>
      </c>
      <c r="D14" s="72" t="s">
        <v>7</v>
      </c>
      <c r="E14" s="242"/>
      <c r="F14" s="66">
        <v>4877211</v>
      </c>
      <c r="G14" s="87">
        <v>0</v>
      </c>
      <c r="H14" s="66">
        <f t="shared" si="5"/>
        <v>28191.971098265894</v>
      </c>
      <c r="I14" s="66">
        <f t="shared" ref="I14:I21" si="22">+G14*H14</f>
        <v>0</v>
      </c>
      <c r="J14" s="66">
        <v>300000</v>
      </c>
      <c r="K14" s="160">
        <v>0</v>
      </c>
      <c r="L14" s="160"/>
      <c r="M14" s="66">
        <v>150000</v>
      </c>
      <c r="N14" s="66"/>
      <c r="O14" s="121">
        <f t="shared" si="6"/>
        <v>5327211</v>
      </c>
      <c r="P14" s="66">
        <f t="shared" si="7"/>
        <v>58038.810900000004</v>
      </c>
      <c r="Q14" s="66">
        <f t="shared" si="8"/>
        <v>97544.22</v>
      </c>
      <c r="R14" s="66">
        <f t="shared" si="9"/>
        <v>97544.22</v>
      </c>
      <c r="S14" s="66">
        <f t="shared" si="10"/>
        <v>195088.44</v>
      </c>
      <c r="T14" s="121">
        <f t="shared" si="1"/>
        <v>448215.69090000005</v>
      </c>
      <c r="U14" s="121">
        <f t="shared" si="2"/>
        <v>5775426.6908999998</v>
      </c>
      <c r="V14" s="66">
        <f t="shared" si="11"/>
        <v>97544.22</v>
      </c>
      <c r="W14" s="66">
        <f t="shared" si="12"/>
        <v>48772.11</v>
      </c>
      <c r="X14" s="66">
        <f t="shared" si="13"/>
        <v>48772.11</v>
      </c>
      <c r="Y14" s="66">
        <v>0</v>
      </c>
      <c r="Z14" s="121">
        <f t="shared" si="14"/>
        <v>195088.44</v>
      </c>
      <c r="AA14" s="24">
        <v>0</v>
      </c>
      <c r="AB14" s="121">
        <f t="shared" si="15"/>
        <v>5132122.5599999996</v>
      </c>
      <c r="AE14" s="24">
        <f>+F14</f>
        <v>4877211</v>
      </c>
      <c r="AF14" s="24">
        <f>+F14</f>
        <v>4877211</v>
      </c>
      <c r="AG14" s="101">
        <f t="shared" si="16"/>
        <v>5580338.2509000003</v>
      </c>
      <c r="AH14" s="140">
        <f t="shared" si="3"/>
        <v>279016.91254500003</v>
      </c>
      <c r="AI14" s="101">
        <f t="shared" si="17"/>
        <v>5155005.0083550001</v>
      </c>
      <c r="AJ14" s="101">
        <f t="shared" si="18"/>
        <v>61860060.100260004</v>
      </c>
      <c r="AK14" s="101">
        <f t="shared" si="19"/>
        <v>67500000</v>
      </c>
      <c r="AL14" s="113">
        <f t="shared" si="4"/>
        <v>0</v>
      </c>
      <c r="AM14" s="113">
        <f t="shared" si="20"/>
        <v>0</v>
      </c>
      <c r="AN14" s="101">
        <f t="shared" si="21"/>
        <v>0</v>
      </c>
    </row>
    <row r="15" spans="1:40" ht="15" customHeight="1">
      <c r="A15" s="72">
        <v>6</v>
      </c>
      <c r="B15" s="239" t="s">
        <v>70</v>
      </c>
      <c r="C15" s="239" t="s">
        <v>39</v>
      </c>
      <c r="D15" s="72" t="s">
        <v>9</v>
      </c>
      <c r="E15" s="242" t="s">
        <v>274</v>
      </c>
      <c r="F15" s="66">
        <v>4877211</v>
      </c>
      <c r="G15" s="87">
        <v>42</v>
      </c>
      <c r="H15" s="66">
        <f t="shared" si="5"/>
        <v>28191.971098265894</v>
      </c>
      <c r="I15" s="66">
        <f t="shared" si="22"/>
        <v>1184062.7861271675</v>
      </c>
      <c r="J15" s="66">
        <v>100000</v>
      </c>
      <c r="K15" s="66">
        <v>0</v>
      </c>
      <c r="L15" s="66"/>
      <c r="M15" s="66">
        <v>114000</v>
      </c>
      <c r="N15" s="66"/>
      <c r="O15" s="121">
        <f t="shared" si="6"/>
        <v>6275273.7861271678</v>
      </c>
      <c r="P15" s="66">
        <f t="shared" si="7"/>
        <v>58038.810900000004</v>
      </c>
      <c r="Q15" s="66">
        <f t="shared" si="8"/>
        <v>97544.22</v>
      </c>
      <c r="R15" s="66">
        <f t="shared" si="9"/>
        <v>97544.22</v>
      </c>
      <c r="S15" s="66">
        <f t="shared" si="10"/>
        <v>195088.44</v>
      </c>
      <c r="T15" s="121">
        <f t="shared" si="1"/>
        <v>448215.69090000005</v>
      </c>
      <c r="U15" s="121">
        <f t="shared" si="2"/>
        <v>6723489.4770271676</v>
      </c>
      <c r="V15" s="66">
        <f t="shared" si="11"/>
        <v>97544.22</v>
      </c>
      <c r="W15" s="66">
        <f t="shared" si="12"/>
        <v>48772.11</v>
      </c>
      <c r="X15" s="66">
        <f t="shared" si="13"/>
        <v>48772.11</v>
      </c>
      <c r="Y15" s="66">
        <v>0</v>
      </c>
      <c r="Z15" s="121">
        <f t="shared" si="14"/>
        <v>195088.44</v>
      </c>
      <c r="AA15" s="24">
        <v>32642</v>
      </c>
      <c r="AB15" s="121">
        <f t="shared" si="15"/>
        <v>6047543.3461271673</v>
      </c>
      <c r="AE15" s="24">
        <v>4877211</v>
      </c>
      <c r="AF15" s="24">
        <v>4877211</v>
      </c>
      <c r="AG15" s="101">
        <f t="shared" si="16"/>
        <v>6528401.0370271681</v>
      </c>
      <c r="AH15" s="140">
        <f t="shared" si="3"/>
        <v>326420.05185135844</v>
      </c>
      <c r="AI15" s="101">
        <f t="shared" si="17"/>
        <v>6055664.6551758097</v>
      </c>
      <c r="AJ15" s="101">
        <f t="shared" si="18"/>
        <v>72667975.862109721</v>
      </c>
      <c r="AK15" s="101">
        <f t="shared" si="19"/>
        <v>63000000</v>
      </c>
      <c r="AL15" s="113">
        <f t="shared" si="4"/>
        <v>9667000</v>
      </c>
      <c r="AM15" s="113">
        <f t="shared" si="20"/>
        <v>483350</v>
      </c>
      <c r="AN15" s="101">
        <f t="shared" si="21"/>
        <v>40279.166666666664</v>
      </c>
    </row>
    <row r="16" spans="1:40" ht="15" customHeight="1">
      <c r="A16" s="72">
        <v>7</v>
      </c>
      <c r="B16" s="239" t="s">
        <v>71</v>
      </c>
      <c r="C16" s="239" t="s">
        <v>39</v>
      </c>
      <c r="D16" s="72" t="s">
        <v>17</v>
      </c>
      <c r="E16" s="242" t="s">
        <v>275</v>
      </c>
      <c r="F16" s="66">
        <v>4877211</v>
      </c>
      <c r="G16" s="87">
        <v>29</v>
      </c>
      <c r="H16" s="66">
        <f t="shared" si="5"/>
        <v>28191.971098265894</v>
      </c>
      <c r="I16" s="66">
        <f t="shared" si="22"/>
        <v>817567.16184971097</v>
      </c>
      <c r="J16" s="66">
        <v>0</v>
      </c>
      <c r="K16" s="160">
        <v>0</v>
      </c>
      <c r="L16" s="160"/>
      <c r="M16" s="66">
        <v>120000</v>
      </c>
      <c r="N16" s="66"/>
      <c r="O16" s="121">
        <f t="shared" si="6"/>
        <v>5814778.1618497111</v>
      </c>
      <c r="P16" s="66">
        <f t="shared" si="7"/>
        <v>58038.810900000004</v>
      </c>
      <c r="Q16" s="66">
        <f t="shared" si="8"/>
        <v>97544.22</v>
      </c>
      <c r="R16" s="66">
        <f t="shared" si="9"/>
        <v>97544.22</v>
      </c>
      <c r="S16" s="66">
        <f t="shared" si="10"/>
        <v>195088.44</v>
      </c>
      <c r="T16" s="121">
        <f t="shared" si="1"/>
        <v>448215.69090000005</v>
      </c>
      <c r="U16" s="121">
        <f t="shared" si="2"/>
        <v>6262993.8527497109</v>
      </c>
      <c r="V16" s="66">
        <f t="shared" si="11"/>
        <v>97544.22</v>
      </c>
      <c r="W16" s="66">
        <f t="shared" si="12"/>
        <v>48772.11</v>
      </c>
      <c r="X16" s="66">
        <f t="shared" si="13"/>
        <v>48772.11</v>
      </c>
      <c r="Y16" s="66">
        <v>0</v>
      </c>
      <c r="Z16" s="121">
        <f t="shared" si="14"/>
        <v>195088.44</v>
      </c>
      <c r="AA16" s="24">
        <v>45509</v>
      </c>
      <c r="AB16" s="121">
        <f t="shared" si="15"/>
        <v>5574180.7218497107</v>
      </c>
      <c r="AE16" s="24">
        <v>4877211</v>
      </c>
      <c r="AF16" s="24">
        <v>4877211</v>
      </c>
      <c r="AG16" s="101">
        <f t="shared" si="16"/>
        <v>6067905.4127497114</v>
      </c>
      <c r="AH16" s="140">
        <f t="shared" si="3"/>
        <v>303395.27063748561</v>
      </c>
      <c r="AI16" s="101">
        <f t="shared" si="17"/>
        <v>5618193.8121122262</v>
      </c>
      <c r="AJ16" s="101">
        <f t="shared" si="18"/>
        <v>67418325.74534671</v>
      </c>
      <c r="AK16" s="101">
        <f t="shared" si="19"/>
        <v>58500000</v>
      </c>
      <c r="AL16" s="113">
        <f t="shared" si="4"/>
        <v>8918000</v>
      </c>
      <c r="AM16" s="113">
        <f t="shared" si="20"/>
        <v>445900</v>
      </c>
      <c r="AN16" s="101">
        <f t="shared" si="21"/>
        <v>37158.333333333336</v>
      </c>
    </row>
    <row r="17" spans="1:40" ht="15" customHeight="1">
      <c r="A17" s="72">
        <v>8</v>
      </c>
      <c r="B17" s="239" t="s">
        <v>72</v>
      </c>
      <c r="C17" s="239" t="s">
        <v>39</v>
      </c>
      <c r="D17" s="72" t="s">
        <v>9</v>
      </c>
      <c r="E17" s="242" t="s">
        <v>276</v>
      </c>
      <c r="F17" s="66">
        <v>4594855</v>
      </c>
      <c r="G17" s="87">
        <v>140.5</v>
      </c>
      <c r="H17" s="66">
        <f t="shared" si="5"/>
        <v>26559.855491329479</v>
      </c>
      <c r="I17" s="66">
        <f t="shared" si="22"/>
        <v>3731659.6965317917</v>
      </c>
      <c r="J17" s="66">
        <v>0</v>
      </c>
      <c r="K17" s="66">
        <v>0</v>
      </c>
      <c r="L17" s="66"/>
      <c r="M17" s="66">
        <v>90000</v>
      </c>
      <c r="N17" s="66"/>
      <c r="O17" s="121">
        <f t="shared" si="6"/>
        <v>8416514.6965317912</v>
      </c>
      <c r="P17" s="66">
        <f t="shared" si="7"/>
        <v>58038.810900000004</v>
      </c>
      <c r="Q17" s="66">
        <f t="shared" si="8"/>
        <v>97544.22</v>
      </c>
      <c r="R17" s="66">
        <f t="shared" si="9"/>
        <v>97544.22</v>
      </c>
      <c r="S17" s="66">
        <f t="shared" si="10"/>
        <v>195088.44</v>
      </c>
      <c r="T17" s="121">
        <f t="shared" si="1"/>
        <v>448215.69090000005</v>
      </c>
      <c r="U17" s="121">
        <f t="shared" si="2"/>
        <v>8864730.3874317911</v>
      </c>
      <c r="V17" s="66">
        <f t="shared" si="11"/>
        <v>97544.22</v>
      </c>
      <c r="W17" s="66">
        <f t="shared" si="12"/>
        <v>48772.11</v>
      </c>
      <c r="X17" s="66">
        <f t="shared" si="13"/>
        <v>48772.11</v>
      </c>
      <c r="Y17" s="66">
        <v>0</v>
      </c>
      <c r="Z17" s="121">
        <f t="shared" si="14"/>
        <v>195088.44</v>
      </c>
      <c r="AA17" s="24">
        <v>86696</v>
      </c>
      <c r="AB17" s="121">
        <f t="shared" si="15"/>
        <v>8134730.2565317908</v>
      </c>
      <c r="AE17" s="24">
        <v>4877211</v>
      </c>
      <c r="AF17" s="24">
        <v>4877211</v>
      </c>
      <c r="AG17" s="101">
        <f t="shared" si="16"/>
        <v>8669641.9474317916</v>
      </c>
      <c r="AH17" s="140">
        <f t="shared" si="3"/>
        <v>433482.09737158963</v>
      </c>
      <c r="AI17" s="101">
        <f t="shared" si="17"/>
        <v>8089843.5200602021</v>
      </c>
      <c r="AJ17" s="101">
        <f t="shared" si="18"/>
        <v>97078122.240722418</v>
      </c>
      <c r="AK17" s="101">
        <f t="shared" si="19"/>
        <v>63000000</v>
      </c>
      <c r="AL17" s="113">
        <f t="shared" si="4"/>
        <v>34078000</v>
      </c>
      <c r="AM17" s="113">
        <f t="shared" si="20"/>
        <v>1703900</v>
      </c>
      <c r="AN17" s="101">
        <f t="shared" si="21"/>
        <v>141991.66666666666</v>
      </c>
    </row>
    <row r="18" spans="1:40" ht="15" customHeight="1">
      <c r="A18" s="72">
        <v>9</v>
      </c>
      <c r="B18" s="239" t="s">
        <v>73</v>
      </c>
      <c r="C18" s="239" t="s">
        <v>39</v>
      </c>
      <c r="D18" s="72" t="s">
        <v>9</v>
      </c>
      <c r="E18" s="242" t="s">
        <v>277</v>
      </c>
      <c r="F18" s="66">
        <v>4594855</v>
      </c>
      <c r="G18" s="87">
        <v>37</v>
      </c>
      <c r="H18" s="66">
        <f t="shared" si="5"/>
        <v>26559.855491329479</v>
      </c>
      <c r="I18" s="66">
        <f t="shared" si="22"/>
        <v>982714.6531791907</v>
      </c>
      <c r="J18" s="66">
        <v>0</v>
      </c>
      <c r="K18" s="160">
        <v>0</v>
      </c>
      <c r="L18" s="66"/>
      <c r="M18" s="66">
        <v>114000</v>
      </c>
      <c r="N18" s="66"/>
      <c r="O18" s="121">
        <f t="shared" si="6"/>
        <v>5691569.6531791911</v>
      </c>
      <c r="P18" s="66">
        <f t="shared" si="7"/>
        <v>58038.810900000004</v>
      </c>
      <c r="Q18" s="66">
        <f t="shared" si="8"/>
        <v>97544.22</v>
      </c>
      <c r="R18" s="66">
        <f t="shared" si="9"/>
        <v>97544.22</v>
      </c>
      <c r="S18" s="66">
        <f t="shared" si="10"/>
        <v>195088.44</v>
      </c>
      <c r="T18" s="121">
        <f t="shared" si="1"/>
        <v>448215.69090000005</v>
      </c>
      <c r="U18" s="121">
        <f t="shared" si="2"/>
        <v>6139785.3440791909</v>
      </c>
      <c r="V18" s="66">
        <f t="shared" si="11"/>
        <v>97544.22</v>
      </c>
      <c r="W18" s="66">
        <f t="shared" si="12"/>
        <v>48772.11</v>
      </c>
      <c r="X18" s="66">
        <f t="shared" si="13"/>
        <v>48772.11</v>
      </c>
      <c r="Y18" s="66">
        <v>0</v>
      </c>
      <c r="Z18" s="121">
        <f t="shared" si="14"/>
        <v>195088.44</v>
      </c>
      <c r="AA18" s="24">
        <v>0</v>
      </c>
      <c r="AB18" s="121">
        <f t="shared" si="15"/>
        <v>5496481.2131791906</v>
      </c>
      <c r="AE18" s="24">
        <v>4877211</v>
      </c>
      <c r="AF18" s="24">
        <v>4877211</v>
      </c>
      <c r="AG18" s="101">
        <f t="shared" si="16"/>
        <v>5944696.9040791914</v>
      </c>
      <c r="AH18" s="140">
        <f t="shared" si="3"/>
        <v>297234.84520395956</v>
      </c>
      <c r="AI18" s="101">
        <f t="shared" si="17"/>
        <v>5501145.7288752319</v>
      </c>
      <c r="AJ18" s="101">
        <f t="shared" si="18"/>
        <v>66013748.746502787</v>
      </c>
      <c r="AK18" s="101">
        <f t="shared" si="19"/>
        <v>63000000</v>
      </c>
      <c r="AL18" s="113">
        <f t="shared" si="4"/>
        <v>3013000</v>
      </c>
      <c r="AM18" s="113">
        <f t="shared" si="20"/>
        <v>150650</v>
      </c>
      <c r="AN18" s="101">
        <f t="shared" si="21"/>
        <v>12554.166666666666</v>
      </c>
    </row>
    <row r="19" spans="1:40" ht="15" customHeight="1">
      <c r="A19" s="72">
        <v>10</v>
      </c>
      <c r="B19" s="239" t="s">
        <v>363</v>
      </c>
      <c r="C19" s="239" t="s">
        <v>39</v>
      </c>
      <c r="D19" s="72" t="s">
        <v>9</v>
      </c>
      <c r="E19" s="248" t="s">
        <v>278</v>
      </c>
      <c r="F19" s="66">
        <v>4494855</v>
      </c>
      <c r="G19" s="87">
        <v>54.5</v>
      </c>
      <c r="H19" s="66">
        <f t="shared" si="5"/>
        <v>25981.820809248555</v>
      </c>
      <c r="I19" s="66">
        <f t="shared" si="22"/>
        <v>1416009.2341040461</v>
      </c>
      <c r="J19" s="66">
        <v>0</v>
      </c>
      <c r="K19" s="66">
        <v>0</v>
      </c>
      <c r="L19" s="160"/>
      <c r="M19" s="66">
        <v>114000</v>
      </c>
      <c r="N19" s="66"/>
      <c r="O19" s="121">
        <f t="shared" si="6"/>
        <v>6024864.2341040466</v>
      </c>
      <c r="P19" s="66">
        <f t="shared" si="7"/>
        <v>58038.810900000004</v>
      </c>
      <c r="Q19" s="66">
        <f t="shared" si="8"/>
        <v>97544.22</v>
      </c>
      <c r="R19" s="66">
        <f t="shared" si="9"/>
        <v>97544.22</v>
      </c>
      <c r="S19" s="66">
        <f t="shared" si="10"/>
        <v>195088.44</v>
      </c>
      <c r="T19" s="121">
        <f t="shared" si="1"/>
        <v>448215.69090000005</v>
      </c>
      <c r="U19" s="121">
        <f t="shared" si="2"/>
        <v>6473079.9250040464</v>
      </c>
      <c r="V19" s="66">
        <f t="shared" si="11"/>
        <v>97544.22</v>
      </c>
      <c r="W19" s="66">
        <f t="shared" si="12"/>
        <v>48772.11</v>
      </c>
      <c r="X19" s="66">
        <f t="shared" si="13"/>
        <v>48772.11</v>
      </c>
      <c r="Y19" s="66">
        <v>0</v>
      </c>
      <c r="Z19" s="121">
        <f t="shared" si="14"/>
        <v>195088.44</v>
      </c>
      <c r="AA19" s="24">
        <v>33988</v>
      </c>
      <c r="AB19" s="121">
        <f t="shared" si="15"/>
        <v>5795787.7941040462</v>
      </c>
      <c r="AE19" s="24">
        <v>4877211</v>
      </c>
      <c r="AF19" s="24">
        <v>4877211</v>
      </c>
      <c r="AG19" s="101">
        <f t="shared" si="16"/>
        <v>6277991.4850040469</v>
      </c>
      <c r="AH19" s="140">
        <f t="shared" si="3"/>
        <v>313899.57425020233</v>
      </c>
      <c r="AI19" s="101">
        <f t="shared" si="17"/>
        <v>5817775.5807538442</v>
      </c>
      <c r="AJ19" s="101">
        <f t="shared" si="18"/>
        <v>69813306.969046131</v>
      </c>
      <c r="AK19" s="101">
        <f t="shared" si="19"/>
        <v>63000000</v>
      </c>
      <c r="AL19" s="113">
        <f t="shared" si="4"/>
        <v>6813000</v>
      </c>
      <c r="AM19" s="113">
        <f t="shared" ref="AM19" si="23">IF(AL19&lt;=60000000,AL19*5%,IF(AL19&lt;=250000000,3000000+((AL19-60000000)*15%),IF(AL19&lt;=500000000,31500000+((AL19-250000000)*25%),IF(AND(AL19&gt;=500000000,AL19&lt;=5000000000),94000000+((AL19-500000000)*30%),IF(AL19&gt;5000000000,(1444000000+(AL19-5000000000)*35%))))))</f>
        <v>340650</v>
      </c>
      <c r="AN19" s="101">
        <f t="shared" si="21"/>
        <v>28387.5</v>
      </c>
    </row>
    <row r="20" spans="1:40" ht="15" customHeight="1">
      <c r="A20" s="72">
        <v>11</v>
      </c>
      <c r="B20" s="29" t="s">
        <v>29</v>
      </c>
      <c r="C20" s="239" t="s">
        <v>39</v>
      </c>
      <c r="D20" s="62" t="s">
        <v>7</v>
      </c>
      <c r="E20" s="248" t="s">
        <v>279</v>
      </c>
      <c r="F20" s="66">
        <v>4494855</v>
      </c>
      <c r="G20" s="87">
        <v>44.5</v>
      </c>
      <c r="H20" s="66">
        <f t="shared" si="5"/>
        <v>25981.820809248555</v>
      </c>
      <c r="I20" s="66">
        <f t="shared" si="22"/>
        <v>1156191.0260115606</v>
      </c>
      <c r="J20" s="66">
        <v>0</v>
      </c>
      <c r="K20" s="160">
        <v>0</v>
      </c>
      <c r="L20" s="66"/>
      <c r="M20" s="66">
        <v>102000</v>
      </c>
      <c r="N20" s="66"/>
      <c r="O20" s="121">
        <f t="shared" ref="O20:O21" si="24">+F20+I20+J20+K20+M20+N20</f>
        <v>5753046.0260115601</v>
      </c>
      <c r="P20" s="66">
        <f t="shared" si="7"/>
        <v>58038.810900000004</v>
      </c>
      <c r="Q20" s="66">
        <f t="shared" si="8"/>
        <v>97544.22</v>
      </c>
      <c r="R20" s="66">
        <f t="shared" si="9"/>
        <v>97544.22</v>
      </c>
      <c r="S20" s="66">
        <f t="shared" si="10"/>
        <v>195088.44</v>
      </c>
      <c r="T20" s="121">
        <f t="shared" si="1"/>
        <v>448215.69090000005</v>
      </c>
      <c r="U20" s="121">
        <f t="shared" ref="U20:U21" si="25">+O20+T20</f>
        <v>6201261.7169115599</v>
      </c>
      <c r="V20" s="66">
        <f t="shared" si="11"/>
        <v>97544.22</v>
      </c>
      <c r="W20" s="66">
        <f t="shared" si="12"/>
        <v>48772.11</v>
      </c>
      <c r="X20" s="66">
        <f t="shared" si="13"/>
        <v>48772.11</v>
      </c>
      <c r="Y20" s="66">
        <v>0</v>
      </c>
      <c r="Z20" s="121">
        <f t="shared" si="14"/>
        <v>195088.44</v>
      </c>
      <c r="AA20" s="24">
        <v>0</v>
      </c>
      <c r="AB20" s="121">
        <f t="shared" si="15"/>
        <v>5557957.5860115597</v>
      </c>
      <c r="AE20" s="24">
        <v>4877211</v>
      </c>
      <c r="AF20" s="24">
        <v>4877211</v>
      </c>
      <c r="AG20" s="101">
        <f t="shared" ref="AG20:AG21" si="26">+O20+P20+S20</f>
        <v>6006173.2769115604</v>
      </c>
      <c r="AH20" s="140">
        <f t="shared" ref="AH20:AH21" si="27">IF(AG20*0.05&gt;500000,500000,AG20*0.05)</f>
        <v>300308.66384557803</v>
      </c>
      <c r="AI20" s="101">
        <f t="shared" ref="AI20:AI21" si="28">+AG20-AH20-V20-W20</f>
        <v>5559548.2830659822</v>
      </c>
      <c r="AJ20" s="101">
        <f t="shared" ref="AJ20:AJ21" si="29">+AI20*$AJ$8</f>
        <v>66714579.396791786</v>
      </c>
      <c r="AK20" s="101">
        <f t="shared" ref="AK20:AK21" si="30">IF(D20="TK",54000000,(IF(OR(D20="TK1",D20="K"),58500000,(IF(OR(D20="TK2",D20="K1"),63000000,(IF(OR(OR(D20="TK3",D20="TK4"),D20="K2"),67500000,72000000)))))))</f>
        <v>67500000</v>
      </c>
      <c r="AL20" s="113">
        <f t="shared" ref="AL20:AL21" si="31">IF((+AJ20-AK20)&lt;=0,0,TRUNC((AJ20-AK20)/1000)*1000)</f>
        <v>0</v>
      </c>
      <c r="AM20" s="113">
        <f t="shared" ref="AM20:AM21" si="32">IF(AL20&lt;=60000000,AL20*5%,IF(AL20&lt;=250000000,3000000+((AL20-60000000)*15%),IF(AL20&lt;=500000000,31500000+((AL20-250000000)*25%),IF(AND(AL20&gt;=500000000,AL20&lt;=5000000000),94000000+((AL20-500000000)*30%),IF(AL20&gt;5000000000,(1444000000+(AL20-5000000000)*35%))))))</f>
        <v>0</v>
      </c>
      <c r="AN20" s="101">
        <f t="shared" ref="AN20:AN21" si="33">+AM20/12</f>
        <v>0</v>
      </c>
    </row>
    <row r="21" spans="1:40" ht="15" customHeight="1">
      <c r="A21" s="72">
        <v>12</v>
      </c>
      <c r="B21" s="29" t="s">
        <v>21</v>
      </c>
      <c r="C21" s="239" t="s">
        <v>39</v>
      </c>
      <c r="D21" s="62" t="s">
        <v>17</v>
      </c>
      <c r="E21" s="248" t="s">
        <v>280</v>
      </c>
      <c r="F21" s="66">
        <v>4494855</v>
      </c>
      <c r="G21" s="87">
        <v>44.5</v>
      </c>
      <c r="H21" s="66">
        <f t="shared" si="5"/>
        <v>25981.820809248555</v>
      </c>
      <c r="I21" s="66">
        <f t="shared" si="22"/>
        <v>1156191.0260115606</v>
      </c>
      <c r="J21" s="66">
        <v>0</v>
      </c>
      <c r="K21" s="66">
        <v>0</v>
      </c>
      <c r="L21" s="66"/>
      <c r="M21" s="66">
        <v>108000</v>
      </c>
      <c r="N21" s="66"/>
      <c r="O21" s="121">
        <f t="shared" si="24"/>
        <v>5759046.0260115601</v>
      </c>
      <c r="P21" s="66">
        <f t="shared" si="7"/>
        <v>58038.810900000004</v>
      </c>
      <c r="Q21" s="66">
        <f t="shared" si="8"/>
        <v>97544.22</v>
      </c>
      <c r="R21" s="66">
        <f t="shared" si="9"/>
        <v>97544.22</v>
      </c>
      <c r="S21" s="66">
        <f t="shared" si="10"/>
        <v>195088.44</v>
      </c>
      <c r="T21" s="121">
        <f t="shared" si="1"/>
        <v>448215.69090000005</v>
      </c>
      <c r="U21" s="121">
        <f t="shared" si="25"/>
        <v>6207261.7169115599</v>
      </c>
      <c r="V21" s="66">
        <f t="shared" si="11"/>
        <v>97544.22</v>
      </c>
      <c r="W21" s="66">
        <f t="shared" si="12"/>
        <v>48772.11</v>
      </c>
      <c r="X21" s="66">
        <f t="shared" si="13"/>
        <v>48772.11</v>
      </c>
      <c r="Y21" s="66">
        <v>0</v>
      </c>
      <c r="Z21" s="121">
        <f t="shared" si="14"/>
        <v>195088.44</v>
      </c>
      <c r="AA21" s="24">
        <v>45091</v>
      </c>
      <c r="AB21" s="121">
        <f t="shared" si="15"/>
        <v>5518866.5860115597</v>
      </c>
      <c r="AE21" s="24">
        <v>4877211</v>
      </c>
      <c r="AF21" s="24">
        <v>4877211</v>
      </c>
      <c r="AG21" s="101">
        <f t="shared" si="26"/>
        <v>6012173.2769115604</v>
      </c>
      <c r="AH21" s="140">
        <f t="shared" si="27"/>
        <v>300608.66384557803</v>
      </c>
      <c r="AI21" s="101">
        <f t="shared" si="28"/>
        <v>5565248.2830659822</v>
      </c>
      <c r="AJ21" s="101">
        <f t="shared" si="29"/>
        <v>66782979.396791786</v>
      </c>
      <c r="AK21" s="101">
        <f t="shared" si="30"/>
        <v>58500000</v>
      </c>
      <c r="AL21" s="113">
        <f t="shared" si="31"/>
        <v>8282000</v>
      </c>
      <c r="AM21" s="113">
        <f t="shared" si="32"/>
        <v>414100</v>
      </c>
      <c r="AN21" s="101">
        <f t="shared" si="33"/>
        <v>34508.333333333336</v>
      </c>
    </row>
    <row r="22" spans="1:40" ht="15" customHeight="1">
      <c r="A22" s="72">
        <v>13</v>
      </c>
      <c r="B22" s="29" t="s">
        <v>181</v>
      </c>
      <c r="C22" s="239" t="s">
        <v>39</v>
      </c>
      <c r="D22" s="62" t="s">
        <v>7</v>
      </c>
      <c r="E22" s="248"/>
      <c r="F22" s="66">
        <v>4494855</v>
      </c>
      <c r="G22" s="87">
        <v>91.5</v>
      </c>
      <c r="H22" s="66">
        <f t="shared" ref="H22" si="34">+F22/173</f>
        <v>25981.820809248555</v>
      </c>
      <c r="I22" s="66">
        <f t="shared" ref="I22" si="35">+G22*H22</f>
        <v>2377336.6040462428</v>
      </c>
      <c r="J22" s="66">
        <v>0</v>
      </c>
      <c r="K22" s="160">
        <v>0</v>
      </c>
      <c r="L22" s="66"/>
      <c r="M22" s="66">
        <v>132000</v>
      </c>
      <c r="N22" s="66"/>
      <c r="O22" s="121">
        <f t="shared" ref="O22" si="36">+F22+I22+J22+K22+M22+N22</f>
        <v>7004191.6040462423</v>
      </c>
      <c r="P22" s="66">
        <f t="shared" si="7"/>
        <v>58038.810900000004</v>
      </c>
      <c r="Q22" s="66">
        <f t="shared" si="8"/>
        <v>97544.22</v>
      </c>
      <c r="R22" s="66">
        <f t="shared" si="9"/>
        <v>97544.22</v>
      </c>
      <c r="S22" s="66">
        <f t="shared" si="10"/>
        <v>195088.44</v>
      </c>
      <c r="T22" s="121">
        <f t="shared" ref="T22" si="37">SUM(P22:S22)</f>
        <v>448215.69090000005</v>
      </c>
      <c r="U22" s="121">
        <f t="shared" ref="U22" si="38">+O22+T22</f>
        <v>7452407.2949462421</v>
      </c>
      <c r="V22" s="66">
        <f t="shared" si="11"/>
        <v>97544.22</v>
      </c>
      <c r="W22" s="66">
        <f t="shared" si="12"/>
        <v>48772.11</v>
      </c>
      <c r="X22" s="66">
        <f t="shared" si="13"/>
        <v>48772.11</v>
      </c>
      <c r="Y22" s="66">
        <v>0</v>
      </c>
      <c r="Z22" s="121">
        <f t="shared" ref="Z22" si="39">SUM(V22:Y22)</f>
        <v>195088.44</v>
      </c>
      <c r="AA22" s="24">
        <v>36287</v>
      </c>
      <c r="AB22" s="121">
        <f t="shared" ref="AB22" si="40">+O22-Z22-AA22</f>
        <v>6772816.1640462419</v>
      </c>
      <c r="AE22" s="24">
        <v>4877211</v>
      </c>
      <c r="AF22" s="24">
        <v>4877211</v>
      </c>
      <c r="AG22" s="101">
        <f t="shared" ref="AG22" si="41">+O22+P22+S22</f>
        <v>7257318.8549462426</v>
      </c>
      <c r="AH22" s="140"/>
      <c r="AI22" s="101"/>
      <c r="AJ22" s="101"/>
      <c r="AK22" s="101"/>
      <c r="AL22" s="113"/>
      <c r="AM22" s="113"/>
      <c r="AN22" s="101"/>
    </row>
    <row r="23" spans="1:40" ht="15" customHeight="1">
      <c r="A23" s="42"/>
      <c r="B23" s="43"/>
      <c r="C23" s="43"/>
      <c r="D23" s="42"/>
      <c r="E23" s="35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6"/>
      <c r="Q23" s="36"/>
      <c r="R23" s="37"/>
      <c r="S23" s="36"/>
      <c r="T23" s="37"/>
      <c r="U23" s="37"/>
      <c r="V23" s="36"/>
      <c r="W23" s="36"/>
      <c r="X23" s="36"/>
      <c r="Y23" s="36"/>
      <c r="Z23" s="37"/>
      <c r="AA23" s="37"/>
      <c r="AB23" s="37"/>
      <c r="AE23" s="24"/>
      <c r="AF23" s="24"/>
      <c r="AG23" s="101"/>
      <c r="AH23" s="101"/>
      <c r="AI23" s="101"/>
      <c r="AJ23" s="101"/>
      <c r="AK23" s="101"/>
      <c r="AL23" s="101"/>
      <c r="AM23" s="101"/>
      <c r="AN23" s="101"/>
    </row>
    <row r="24" spans="1:40" ht="15" customHeight="1">
      <c r="A24" s="277" t="s">
        <v>11</v>
      </c>
      <c r="B24" s="277"/>
      <c r="C24" s="277"/>
      <c r="D24" s="277"/>
      <c r="E24" s="277"/>
      <c r="F24" s="139">
        <f>SUM(F10:F23)</f>
        <v>60462539</v>
      </c>
      <c r="G24" s="114">
        <f>SUM(G14:G23)</f>
        <v>483.5</v>
      </c>
      <c r="H24" s="139"/>
      <c r="I24" s="241">
        <f>SUM(I10:I23)</f>
        <v>12821732.187861269</v>
      </c>
      <c r="J24" s="139">
        <f>SUM(J10:J23)</f>
        <v>400000</v>
      </c>
      <c r="K24" s="139">
        <f>SUM(K10:K23)</f>
        <v>0</v>
      </c>
      <c r="L24" s="139">
        <f>SUM(L9:L23)</f>
        <v>0</v>
      </c>
      <c r="M24" s="139">
        <f t="shared" ref="M24:AB24" si="42">SUM(M10:M23)</f>
        <v>1764000</v>
      </c>
      <c r="N24" s="139">
        <f t="shared" si="42"/>
        <v>0</v>
      </c>
      <c r="O24" s="139">
        <f t="shared" si="42"/>
        <v>75448271.187861264</v>
      </c>
      <c r="P24" s="139">
        <f t="shared" si="42"/>
        <v>754504.54170000006</v>
      </c>
      <c r="Q24" s="139">
        <f t="shared" si="42"/>
        <v>1268074.8599999999</v>
      </c>
      <c r="R24" s="139">
        <f t="shared" si="42"/>
        <v>1268074.8599999999</v>
      </c>
      <c r="S24" s="139">
        <f t="shared" si="42"/>
        <v>2536149.7199999997</v>
      </c>
      <c r="T24" s="139">
        <f t="shared" si="42"/>
        <v>5826803.9816999985</v>
      </c>
      <c r="U24" s="139">
        <f t="shared" si="42"/>
        <v>81275075.169561252</v>
      </c>
      <c r="V24" s="139">
        <f t="shared" si="42"/>
        <v>1268074.8599999999</v>
      </c>
      <c r="W24" s="139">
        <f t="shared" si="42"/>
        <v>634037.42999999993</v>
      </c>
      <c r="X24" s="139">
        <f t="shared" si="42"/>
        <v>634037.42999999993</v>
      </c>
      <c r="Y24" s="139">
        <f t="shared" si="42"/>
        <v>0</v>
      </c>
      <c r="Z24" s="139">
        <f t="shared" si="42"/>
        <v>2536149.7199999997</v>
      </c>
      <c r="AA24" s="139">
        <f>SUM(AA10:AA23)</f>
        <v>280213</v>
      </c>
      <c r="AB24" s="139">
        <f t="shared" si="42"/>
        <v>72631908.467861265</v>
      </c>
      <c r="AG24" s="4">
        <f>SUM(AG10:AG23)</f>
        <v>78738925.449561268</v>
      </c>
      <c r="AI24" s="4">
        <f>SUM(AI10:AI23)</f>
        <v>66151730.304884285</v>
      </c>
    </row>
    <row r="25" spans="1:40" s="21" customFormat="1" ht="15" customHeight="1">
      <c r="A25" s="259"/>
      <c r="B25" s="260"/>
      <c r="C25" s="261"/>
      <c r="D25" s="261"/>
      <c r="E25" s="255"/>
      <c r="F25" s="255"/>
      <c r="G25" s="262"/>
      <c r="H25" s="255"/>
      <c r="I25" s="255"/>
      <c r="J25" s="258"/>
      <c r="K25" s="258"/>
      <c r="L25" s="258"/>
      <c r="M25" s="258"/>
      <c r="N25" s="258"/>
      <c r="O25" s="258"/>
      <c r="P25" s="258">
        <f>+P24+Q24+R24+V24+W24</f>
        <v>5192766.5516999997</v>
      </c>
      <c r="Q25" s="258"/>
      <c r="R25" s="258"/>
      <c r="S25" s="258">
        <f>+S24+X24+Y24</f>
        <v>3170187.1499999994</v>
      </c>
      <c r="T25" s="258"/>
      <c r="U25" s="258"/>
      <c r="V25" s="258"/>
      <c r="W25" s="258"/>
      <c r="X25" s="258"/>
      <c r="Y25" s="258"/>
      <c r="Z25" s="258"/>
      <c r="AA25" s="258"/>
      <c r="AB25" s="258">
        <f>+AB24</f>
        <v>72631908.467861265</v>
      </c>
      <c r="AC25" s="22"/>
      <c r="AE25" s="27"/>
      <c r="AF25" s="20"/>
      <c r="AI25" s="22">
        <f>SUM([3]GENERAL!$AA$27:$AA$40)</f>
        <v>66596371.436640002</v>
      </c>
    </row>
    <row r="27" spans="1:40" ht="15" customHeight="1">
      <c r="AE27" s="15">
        <f>+AE18-T13</f>
        <v>4428995.3091000002</v>
      </c>
    </row>
    <row r="29" spans="1:40" ht="15" customHeight="1">
      <c r="F29" s="15"/>
      <c r="I29" s="15"/>
    </row>
    <row r="30" spans="1:40" ht="15" customHeight="1">
      <c r="Q30" s="4">
        <f>40+175+2606</f>
        <v>2821</v>
      </c>
    </row>
  </sheetData>
  <mergeCells count="32">
    <mergeCell ref="AJ6:AJ7"/>
    <mergeCell ref="AK6:AK8"/>
    <mergeCell ref="AL6:AL8"/>
    <mergeCell ref="AM6:AM8"/>
    <mergeCell ref="AN6:AN8"/>
    <mergeCell ref="AE6:AE8"/>
    <mergeCell ref="AF6:AF8"/>
    <mergeCell ref="AG6:AG8"/>
    <mergeCell ref="AH6:AH7"/>
    <mergeCell ref="AI6:AI8"/>
    <mergeCell ref="Z6:AA6"/>
    <mergeCell ref="G6:G8"/>
    <mergeCell ref="H6:H8"/>
    <mergeCell ref="I6:I8"/>
    <mergeCell ref="AB6:AB7"/>
    <mergeCell ref="J7:J8"/>
    <mergeCell ref="AA7:AA8"/>
    <mergeCell ref="U6:U8"/>
    <mergeCell ref="V6:Y6"/>
    <mergeCell ref="T6:T8"/>
    <mergeCell ref="O6:O8"/>
    <mergeCell ref="P6:S6"/>
    <mergeCell ref="F6:F8"/>
    <mergeCell ref="K7:K8"/>
    <mergeCell ref="L7:L8"/>
    <mergeCell ref="A24:E24"/>
    <mergeCell ref="J6:N6"/>
    <mergeCell ref="A6:A8"/>
    <mergeCell ref="B6:B8"/>
    <mergeCell ref="C6:C8"/>
    <mergeCell ref="D6:D8"/>
    <mergeCell ref="E6:E8"/>
  </mergeCells>
  <printOptions horizontalCentered="1"/>
  <pageMargins left="1.1811023622047245" right="0" top="1.1811023622047245" bottom="0.19685039370078741" header="0.31496062992125984" footer="0.31496062992125984"/>
  <pageSetup paperSize="5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4"/>
  <sheetViews>
    <sheetView workbookViewId="0">
      <selection activeCell="D111" sqref="D111"/>
    </sheetView>
  </sheetViews>
  <sheetFormatPr defaultRowHeight="15"/>
  <cols>
    <col min="1" max="1" width="3" style="210" customWidth="1"/>
    <col min="2" max="2" width="17.7109375" style="210" customWidth="1"/>
    <col min="3" max="3" width="2.28515625" style="210" customWidth="1"/>
    <col min="4" max="4" width="6.42578125" style="210" customWidth="1"/>
    <col min="5" max="5" width="4.5703125" style="210" customWidth="1"/>
    <col min="6" max="6" width="2.85546875" style="210" customWidth="1"/>
    <col min="7" max="7" width="7.85546875" style="210" customWidth="1"/>
    <col min="8" max="8" width="10.28515625" style="210" customWidth="1"/>
    <col min="9" max="9" width="3.28515625" style="210" customWidth="1"/>
    <col min="10" max="10" width="4.42578125" style="210" customWidth="1"/>
    <col min="11" max="11" width="3" style="210" customWidth="1"/>
    <col min="12" max="12" width="17.5703125" style="210" customWidth="1"/>
    <col min="13" max="13" width="2.85546875" style="210" customWidth="1"/>
    <col min="14" max="14" width="7" style="210" customWidth="1"/>
    <col min="15" max="15" width="4.5703125" style="210" customWidth="1"/>
    <col min="16" max="16" width="2.85546875" style="210" customWidth="1"/>
    <col min="17" max="17" width="7.85546875" style="210" customWidth="1"/>
    <col min="18" max="18" width="9.85546875" style="210" customWidth="1"/>
    <col min="19" max="19" width="3.28515625" style="210" customWidth="1"/>
    <col min="20" max="20" width="10.5703125" bestFit="1" customWidth="1"/>
  </cols>
  <sheetData>
    <row r="1" spans="1:19">
      <c r="A1" s="166"/>
      <c r="B1" s="167"/>
      <c r="C1" s="167"/>
      <c r="D1" s="167"/>
      <c r="E1" s="167"/>
      <c r="F1" s="167"/>
      <c r="G1" s="167"/>
      <c r="H1" s="167"/>
      <c r="I1" s="168"/>
      <c r="J1" s="169"/>
      <c r="K1" s="166"/>
      <c r="L1" s="167"/>
      <c r="M1" s="167"/>
      <c r="N1" s="167"/>
      <c r="O1" s="167"/>
      <c r="P1" s="167"/>
      <c r="Q1" s="167"/>
      <c r="R1" s="167"/>
      <c r="S1" s="168"/>
    </row>
    <row r="2" spans="1:19">
      <c r="A2" s="170"/>
      <c r="B2" s="169"/>
      <c r="C2" s="169"/>
      <c r="D2" s="169"/>
      <c r="E2" s="169"/>
      <c r="F2" s="169"/>
      <c r="G2" s="169"/>
      <c r="H2" s="169"/>
      <c r="I2" s="171"/>
      <c r="J2" s="169"/>
      <c r="K2" s="170"/>
      <c r="L2" s="169"/>
      <c r="M2" s="169"/>
      <c r="N2" s="169"/>
      <c r="O2" s="169"/>
      <c r="P2" s="169"/>
      <c r="Q2" s="169"/>
      <c r="R2" s="169"/>
      <c r="S2" s="171"/>
    </row>
    <row r="3" spans="1:19">
      <c r="A3" s="170"/>
      <c r="B3" s="169"/>
      <c r="C3" s="169"/>
      <c r="D3" s="169"/>
      <c r="E3" s="169"/>
      <c r="F3" s="169"/>
      <c r="G3" s="169"/>
      <c r="H3" s="169"/>
      <c r="I3" s="171"/>
      <c r="J3" s="169"/>
      <c r="K3" s="170"/>
      <c r="L3" s="169"/>
      <c r="M3" s="169"/>
      <c r="N3" s="169"/>
      <c r="O3" s="169"/>
      <c r="P3" s="169"/>
      <c r="Q3" s="169"/>
      <c r="R3" s="169"/>
      <c r="S3" s="171"/>
    </row>
    <row r="4" spans="1:19">
      <c r="A4" s="170"/>
      <c r="B4" s="294" t="s">
        <v>196</v>
      </c>
      <c r="C4" s="294"/>
      <c r="D4" s="294"/>
      <c r="E4" s="294"/>
      <c r="F4" s="294"/>
      <c r="G4" s="294"/>
      <c r="H4" s="294"/>
      <c r="I4" s="295"/>
      <c r="J4" s="169"/>
      <c r="K4" s="170"/>
      <c r="L4" s="294" t="s">
        <v>196</v>
      </c>
      <c r="M4" s="294"/>
      <c r="N4" s="294"/>
      <c r="O4" s="294"/>
      <c r="P4" s="294"/>
      <c r="Q4" s="294"/>
      <c r="R4" s="294"/>
      <c r="S4" s="295"/>
    </row>
    <row r="5" spans="1:19">
      <c r="A5" s="172"/>
      <c r="B5" s="173" t="s">
        <v>197</v>
      </c>
      <c r="C5" s="174" t="s">
        <v>198</v>
      </c>
      <c r="D5" s="211">
        <f>'[2]G-STAFF'!A35</f>
        <v>1</v>
      </c>
      <c r="E5" s="173"/>
      <c r="F5" s="173"/>
      <c r="G5" s="173"/>
      <c r="H5" s="173"/>
      <c r="I5" s="176"/>
      <c r="J5" s="173"/>
      <c r="K5" s="172"/>
      <c r="L5" s="173" t="s">
        <v>197</v>
      </c>
      <c r="M5" s="174" t="s">
        <v>198</v>
      </c>
      <c r="N5" s="211">
        <f>'[2]G-STAFF'!A36</f>
        <v>2</v>
      </c>
      <c r="O5" s="175"/>
      <c r="P5" s="173"/>
      <c r="Q5" s="173"/>
      <c r="R5" s="173"/>
      <c r="S5" s="176"/>
    </row>
    <row r="6" spans="1:19">
      <c r="A6" s="172"/>
      <c r="B6" s="173" t="s">
        <v>199</v>
      </c>
      <c r="C6" s="174" t="s">
        <v>198</v>
      </c>
      <c r="D6" s="177" t="str">
        <f>'[2]G-STAFF'!A3</f>
        <v>01 JANUARI  S/D  31 JANUARI  2025</v>
      </c>
      <c r="E6" s="173"/>
      <c r="F6" s="173"/>
      <c r="G6" s="173"/>
      <c r="H6" s="173"/>
      <c r="I6" s="176"/>
      <c r="J6" s="173"/>
      <c r="K6" s="172"/>
      <c r="L6" s="173" t="s">
        <v>199</v>
      </c>
      <c r="M6" s="174" t="s">
        <v>198</v>
      </c>
      <c r="N6" s="177" t="str">
        <f>'[2]G-STAFF'!A3</f>
        <v>01 JANUARI  S/D  31 JANUARI  2025</v>
      </c>
      <c r="O6" s="179"/>
      <c r="P6" s="173"/>
      <c r="Q6" s="173"/>
      <c r="R6" s="173"/>
      <c r="S6" s="176"/>
    </row>
    <row r="7" spans="1:19">
      <c r="A7" s="172"/>
      <c r="B7" s="173" t="s">
        <v>200</v>
      </c>
      <c r="C7" s="174" t="s">
        <v>198</v>
      </c>
      <c r="D7" s="177" t="str">
        <f>'[2]G-STAFF'!B35</f>
        <v>DEDE IRAWAN</v>
      </c>
      <c r="E7" s="173"/>
      <c r="F7" s="173"/>
      <c r="G7" s="173"/>
      <c r="H7" s="173"/>
      <c r="I7" s="176"/>
      <c r="J7" s="173"/>
      <c r="K7" s="172"/>
      <c r="L7" s="173" t="s">
        <v>200</v>
      </c>
      <c r="M7" s="174" t="s">
        <v>198</v>
      </c>
      <c r="N7" s="178" t="str">
        <f>'[2]G-STAFF'!B36</f>
        <v>DONI IMAM SAPUTRO</v>
      </c>
      <c r="O7" s="173"/>
      <c r="P7" s="173"/>
      <c r="Q7" s="173"/>
      <c r="R7" s="173"/>
      <c r="S7" s="176"/>
    </row>
    <row r="8" spans="1:19" ht="15.75" thickBot="1">
      <c r="A8" s="172"/>
      <c r="B8" s="173" t="s">
        <v>201</v>
      </c>
      <c r="C8" s="174" t="s">
        <v>198</v>
      </c>
      <c r="D8" s="177" t="str">
        <f>'[2]G-STAFF'!H35</f>
        <v>SECURITY</v>
      </c>
      <c r="E8" s="173"/>
      <c r="F8" s="173"/>
      <c r="G8" s="173"/>
      <c r="H8" s="173"/>
      <c r="I8" s="176"/>
      <c r="J8" s="173"/>
      <c r="K8" s="172"/>
      <c r="L8" s="173" t="s">
        <v>201</v>
      </c>
      <c r="M8" s="174" t="s">
        <v>198</v>
      </c>
      <c r="N8" s="178" t="str">
        <f>'[2]G-STAFF'!H36</f>
        <v>SECURITY</v>
      </c>
      <c r="O8" s="179"/>
      <c r="P8" s="173"/>
      <c r="Q8" s="173"/>
      <c r="R8" s="173"/>
      <c r="S8" s="176"/>
    </row>
    <row r="9" spans="1:19" ht="10.5" customHeight="1" thickTop="1">
      <c r="A9" s="170"/>
      <c r="B9" s="182"/>
      <c r="C9" s="182"/>
      <c r="D9" s="182"/>
      <c r="E9" s="182"/>
      <c r="F9" s="182"/>
      <c r="G9" s="182"/>
      <c r="H9" s="182"/>
      <c r="I9" s="183"/>
      <c r="J9" s="169"/>
      <c r="K9" s="170"/>
      <c r="L9" s="182"/>
      <c r="M9" s="182"/>
      <c r="N9" s="182"/>
      <c r="O9" s="182"/>
      <c r="P9" s="182"/>
      <c r="Q9" s="182"/>
      <c r="R9" s="182"/>
      <c r="S9" s="183"/>
    </row>
    <row r="10" spans="1:19">
      <c r="A10" s="170"/>
      <c r="B10" s="184" t="s">
        <v>202</v>
      </c>
      <c r="C10" s="185"/>
      <c r="D10" s="185"/>
      <c r="E10" s="185"/>
      <c r="F10" s="185"/>
      <c r="G10" s="185"/>
      <c r="H10" s="185"/>
      <c r="I10" s="183"/>
      <c r="J10" s="169"/>
      <c r="K10" s="170"/>
      <c r="L10" s="184" t="s">
        <v>202</v>
      </c>
      <c r="M10" s="184"/>
      <c r="N10" s="185"/>
      <c r="O10" s="185"/>
      <c r="P10" s="185"/>
      <c r="Q10" s="185"/>
      <c r="R10" s="185"/>
      <c r="S10" s="183"/>
    </row>
    <row r="11" spans="1:19" ht="14.25" customHeight="1">
      <c r="A11" s="170"/>
      <c r="B11" s="186" t="s">
        <v>111</v>
      </c>
      <c r="C11" s="186"/>
      <c r="D11" s="186"/>
      <c r="E11" s="186"/>
      <c r="F11" s="186"/>
      <c r="G11" s="187"/>
      <c r="H11" s="187">
        <f>+GENERAL!F10</f>
        <v>4877211</v>
      </c>
      <c r="I11" s="188"/>
      <c r="J11" s="187"/>
      <c r="K11" s="170"/>
      <c r="L11" s="186" t="s">
        <v>111</v>
      </c>
      <c r="M11" s="186"/>
      <c r="N11" s="186"/>
      <c r="O11" s="186"/>
      <c r="P11" s="186"/>
      <c r="Q11" s="187"/>
      <c r="R11" s="187">
        <f>+GENERAL!F11</f>
        <v>4594855</v>
      </c>
      <c r="S11" s="188"/>
    </row>
    <row r="12" spans="1:19" ht="14.25" customHeight="1">
      <c r="A12" s="170"/>
      <c r="B12" s="186" t="s">
        <v>203</v>
      </c>
      <c r="C12" s="186"/>
      <c r="D12" s="186"/>
      <c r="E12" s="186"/>
      <c r="F12" s="186"/>
      <c r="G12" s="187"/>
      <c r="H12" s="187">
        <f>+GENERAL!J10</f>
        <v>0</v>
      </c>
      <c r="I12" s="188"/>
      <c r="J12" s="209"/>
      <c r="K12" s="170"/>
      <c r="L12" s="186" t="s">
        <v>203</v>
      </c>
      <c r="M12" s="186"/>
      <c r="N12" s="186"/>
      <c r="O12" s="186"/>
      <c r="P12" s="186"/>
      <c r="Q12" s="187"/>
      <c r="R12" s="187">
        <f>+GENERAL!J11</f>
        <v>0</v>
      </c>
      <c r="S12" s="188"/>
    </row>
    <row r="13" spans="1:19" ht="14.25" customHeight="1">
      <c r="A13" s="170"/>
      <c r="B13" s="186" t="s">
        <v>224</v>
      </c>
      <c r="C13" s="186"/>
      <c r="D13" s="186"/>
      <c r="E13" s="186"/>
      <c r="F13" s="186"/>
      <c r="G13" s="187"/>
      <c r="H13" s="187">
        <f>+GENERAL!T10</f>
        <v>448215.69090000005</v>
      </c>
      <c r="I13" s="188"/>
      <c r="J13" s="209"/>
      <c r="K13" s="170"/>
      <c r="L13" s="186" t="s">
        <v>224</v>
      </c>
      <c r="M13" s="186"/>
      <c r="N13" s="186"/>
      <c r="O13" s="186"/>
      <c r="P13" s="186"/>
      <c r="Q13" s="187"/>
      <c r="R13" s="187">
        <f>+GENERAL!T11</f>
        <v>448215.69090000005</v>
      </c>
      <c r="S13" s="188"/>
    </row>
    <row r="14" spans="1:19" ht="14.25" customHeight="1">
      <c r="A14" s="170"/>
      <c r="B14" s="186" t="s">
        <v>195</v>
      </c>
      <c r="C14" s="186"/>
      <c r="D14" s="187"/>
      <c r="E14" s="186"/>
      <c r="F14" s="186"/>
      <c r="G14" s="187"/>
      <c r="H14" s="187">
        <f>+GENERAL!M10</f>
        <v>180000</v>
      </c>
      <c r="I14" s="188"/>
      <c r="J14" s="187"/>
      <c r="K14" s="170"/>
      <c r="L14" s="186" t="s">
        <v>195</v>
      </c>
      <c r="M14" s="186"/>
      <c r="N14" s="187"/>
      <c r="O14" s="186"/>
      <c r="P14" s="186"/>
      <c r="Q14" s="187"/>
      <c r="R14" s="187">
        <f>+GENERAL!M11</f>
        <v>180000</v>
      </c>
      <c r="S14" s="188"/>
    </row>
    <row r="15" spans="1:19" ht="14.25" customHeight="1">
      <c r="A15" s="170"/>
      <c r="B15" s="186" t="s">
        <v>217</v>
      </c>
      <c r="C15" s="186"/>
      <c r="D15" s="187">
        <f>'[2]G-STAFF'!V35</f>
        <v>0</v>
      </c>
      <c r="E15" s="186" t="s">
        <v>218</v>
      </c>
      <c r="F15" s="186" t="s">
        <v>205</v>
      </c>
      <c r="G15" s="187">
        <f>'[2]G-STAFF'!U35</f>
        <v>160464.56666666668</v>
      </c>
      <c r="H15" s="187">
        <f>G15*D15</f>
        <v>0</v>
      </c>
      <c r="I15" s="188"/>
      <c r="J15" s="209"/>
      <c r="K15" s="170"/>
      <c r="L15" s="186" t="s">
        <v>217</v>
      </c>
      <c r="M15" s="186"/>
      <c r="N15" s="187">
        <f>'[2]G-STAFF'!V36</f>
        <v>0</v>
      </c>
      <c r="O15" s="186" t="s">
        <v>218</v>
      </c>
      <c r="P15" s="186" t="s">
        <v>205</v>
      </c>
      <c r="Q15" s="187">
        <f>'[2]G-STAFF'!U36</f>
        <v>117810.33333333333</v>
      </c>
      <c r="R15" s="187">
        <f>Q15*N15</f>
        <v>0</v>
      </c>
      <c r="S15" s="188"/>
    </row>
    <row r="16" spans="1:19" ht="14.25" customHeight="1">
      <c r="A16" s="170"/>
      <c r="B16" s="186" t="s">
        <v>206</v>
      </c>
      <c r="C16" s="186"/>
      <c r="D16" s="212">
        <f>'[2]G-STAFF'!CH35</f>
        <v>0</v>
      </c>
      <c r="E16" s="186" t="s">
        <v>207</v>
      </c>
      <c r="F16" s="186" t="s">
        <v>205</v>
      </c>
      <c r="G16" s="187">
        <f>'[2]G-STAFF'!M35</f>
        <v>27826.225433526011</v>
      </c>
      <c r="H16" s="187">
        <f>G16*D16</f>
        <v>0</v>
      </c>
      <c r="I16" s="188"/>
      <c r="J16" s="187"/>
      <c r="K16" s="170"/>
      <c r="L16" s="186" t="s">
        <v>206</v>
      </c>
      <c r="M16" s="186"/>
      <c r="N16" s="212">
        <f>'[2]G-STAFF'!CH36</f>
        <v>0</v>
      </c>
      <c r="O16" s="186" t="s">
        <v>207</v>
      </c>
      <c r="P16" s="186" t="s">
        <v>205</v>
      </c>
      <c r="Q16" s="187">
        <f>'[2]G-STAFF'!M36</f>
        <v>20429.537572254336</v>
      </c>
      <c r="R16" s="187">
        <f>Q16*N16</f>
        <v>0</v>
      </c>
      <c r="S16" s="188"/>
    </row>
    <row r="17" spans="1:19" ht="14.25" customHeight="1" thickBot="1">
      <c r="A17" s="170"/>
      <c r="B17" s="190" t="s">
        <v>208</v>
      </c>
      <c r="C17" s="190"/>
      <c r="D17" s="213">
        <f>'[2]G-STAFF'!CG35</f>
        <v>0</v>
      </c>
      <c r="E17" s="190" t="s">
        <v>207</v>
      </c>
      <c r="F17" s="190" t="s">
        <v>205</v>
      </c>
      <c r="G17" s="192">
        <f>G16</f>
        <v>27826.225433526011</v>
      </c>
      <c r="H17" s="192">
        <f>G17*D17</f>
        <v>0</v>
      </c>
      <c r="I17" s="188"/>
      <c r="J17" s="187"/>
      <c r="K17" s="170"/>
      <c r="L17" s="190" t="s">
        <v>208</v>
      </c>
      <c r="M17" s="190"/>
      <c r="N17" s="213">
        <f>'[2]G-STAFF'!CG36</f>
        <v>0</v>
      </c>
      <c r="O17" s="190" t="s">
        <v>207</v>
      </c>
      <c r="P17" s="190" t="s">
        <v>205</v>
      </c>
      <c r="Q17" s="192">
        <f>Q16</f>
        <v>20429.537572254336</v>
      </c>
      <c r="R17" s="192">
        <f>Q17*N17</f>
        <v>0</v>
      </c>
      <c r="S17" s="188"/>
    </row>
    <row r="18" spans="1:19" ht="15.75" thickBot="1">
      <c r="A18" s="170"/>
      <c r="B18" s="190" t="s">
        <v>219</v>
      </c>
      <c r="C18" s="190"/>
      <c r="D18" s="213">
        <f>'[2]G-STAFF'!CI35</f>
        <v>0</v>
      </c>
      <c r="E18" s="190"/>
      <c r="F18" s="190"/>
      <c r="G18" s="192"/>
      <c r="H18" s="192">
        <f>SUM(H11:H17)</f>
        <v>5505426.6908999998</v>
      </c>
      <c r="I18" s="188"/>
      <c r="J18" s="187"/>
      <c r="K18" s="170"/>
      <c r="L18" s="190" t="s">
        <v>219</v>
      </c>
      <c r="M18" s="190"/>
      <c r="N18" s="213">
        <f>'[2]G-STAFF'!CI36</f>
        <v>0</v>
      </c>
      <c r="O18" s="190"/>
      <c r="P18" s="190"/>
      <c r="Q18" s="192"/>
      <c r="R18" s="192">
        <f>SUM(R11:R17)</f>
        <v>5223070.6908999998</v>
      </c>
      <c r="S18" s="188"/>
    </row>
    <row r="19" spans="1:19" ht="10.5" customHeight="1" thickTop="1">
      <c r="A19" s="170"/>
      <c r="B19" s="182"/>
      <c r="C19" s="182"/>
      <c r="D19" s="182"/>
      <c r="E19" s="182"/>
      <c r="F19" s="182"/>
      <c r="G19" s="182"/>
      <c r="H19" s="182"/>
      <c r="I19" s="183"/>
      <c r="J19" s="169"/>
      <c r="K19" s="170"/>
      <c r="L19" s="182"/>
      <c r="M19" s="182"/>
      <c r="N19" s="182"/>
      <c r="O19" s="182"/>
      <c r="P19" s="182"/>
      <c r="Q19" s="182"/>
      <c r="R19" s="182"/>
      <c r="S19" s="183"/>
    </row>
    <row r="20" spans="1:19">
      <c r="A20" s="170"/>
      <c r="B20" s="196" t="s">
        <v>113</v>
      </c>
      <c r="C20" s="186"/>
      <c r="D20" s="186"/>
      <c r="E20" s="186"/>
      <c r="F20" s="186"/>
      <c r="G20" s="187"/>
      <c r="H20" s="187"/>
      <c r="I20" s="188"/>
      <c r="J20" s="209"/>
      <c r="K20" s="170"/>
      <c r="L20" s="196" t="s">
        <v>113</v>
      </c>
      <c r="M20" s="186"/>
      <c r="N20" s="186"/>
      <c r="O20" s="186"/>
      <c r="P20" s="186"/>
      <c r="Q20" s="187"/>
      <c r="R20" s="187"/>
      <c r="S20" s="188"/>
    </row>
    <row r="21" spans="1:19" ht="14.25" customHeight="1">
      <c r="A21" s="170"/>
      <c r="B21" s="186" t="s">
        <v>209</v>
      </c>
      <c r="C21" s="186"/>
      <c r="D21" s="197"/>
      <c r="E21" s="186"/>
      <c r="F21" s="186"/>
      <c r="G21" s="198" t="str">
        <f>'[2]G-STAFF'!C35</f>
        <v>K1</v>
      </c>
      <c r="H21" s="187">
        <f>+GENERAL!AA10</f>
        <v>0</v>
      </c>
      <c r="I21" s="188"/>
      <c r="J21" s="209"/>
      <c r="K21" s="170"/>
      <c r="L21" s="186" t="s">
        <v>209</v>
      </c>
      <c r="M21" s="186"/>
      <c r="N21" s="198"/>
      <c r="O21" s="186"/>
      <c r="P21" s="186"/>
      <c r="Q21" s="198" t="str">
        <f>'[2]G-STAFF'!C36</f>
        <v>TK</v>
      </c>
      <c r="R21" s="187">
        <f>+GENERAL!AA10</f>
        <v>0</v>
      </c>
      <c r="S21" s="188"/>
    </row>
    <row r="22" spans="1:19" ht="14.25" customHeight="1">
      <c r="A22" s="170"/>
      <c r="B22" s="186" t="s">
        <v>225</v>
      </c>
      <c r="C22" s="186"/>
      <c r="D22" s="197"/>
      <c r="E22" s="186"/>
      <c r="F22" s="186"/>
      <c r="G22" s="198"/>
      <c r="H22" s="187">
        <f>+GENERAL!X10+GENERAL!Y10</f>
        <v>48772.11</v>
      </c>
      <c r="I22" s="188"/>
      <c r="J22" s="209"/>
      <c r="K22" s="170"/>
      <c r="L22" s="186" t="s">
        <v>225</v>
      </c>
      <c r="M22" s="186"/>
      <c r="N22" s="198"/>
      <c r="O22" s="186"/>
      <c r="P22" s="186"/>
      <c r="Q22" s="198"/>
      <c r="R22" s="187">
        <f>+GENERAL!X10+GENERAL!Y10</f>
        <v>48772.11</v>
      </c>
      <c r="S22" s="188"/>
    </row>
    <row r="23" spans="1:19" ht="14.25" customHeight="1">
      <c r="A23" s="170"/>
      <c r="B23" s="186" t="s">
        <v>226</v>
      </c>
      <c r="C23" s="186"/>
      <c r="D23" s="197"/>
      <c r="E23" s="186"/>
      <c r="F23" s="186"/>
      <c r="G23" s="198"/>
      <c r="H23" s="187">
        <f>+GENERAL!V10+GENERAL!W10</f>
        <v>146316.33000000002</v>
      </c>
      <c r="I23" s="188"/>
      <c r="J23" s="209"/>
      <c r="K23" s="170"/>
      <c r="L23" s="186" t="s">
        <v>226</v>
      </c>
      <c r="M23" s="186"/>
      <c r="N23" s="198"/>
      <c r="O23" s="186"/>
      <c r="P23" s="186"/>
      <c r="Q23" s="198"/>
      <c r="R23" s="187">
        <f>+GENERAL!V10+GENERAL!W10</f>
        <v>146316.33000000002</v>
      </c>
      <c r="S23" s="188"/>
    </row>
    <row r="24" spans="1:19" ht="14.25" customHeight="1">
      <c r="A24" s="170"/>
      <c r="B24" s="186" t="s">
        <v>103</v>
      </c>
      <c r="C24" s="186"/>
      <c r="D24" s="186"/>
      <c r="E24" s="186"/>
      <c r="F24" s="186"/>
      <c r="G24" s="198"/>
      <c r="H24" s="187">
        <f>+H13</f>
        <v>448215.69090000005</v>
      </c>
      <c r="I24" s="188"/>
      <c r="J24" s="209"/>
      <c r="K24" s="170"/>
      <c r="L24" s="186" t="s">
        <v>103</v>
      </c>
      <c r="M24" s="186"/>
      <c r="N24" s="186"/>
      <c r="O24" s="186"/>
      <c r="P24" s="186"/>
      <c r="Q24" s="187"/>
      <c r="R24" s="187">
        <f>+R13</f>
        <v>448215.69090000005</v>
      </c>
      <c r="S24" s="188"/>
    </row>
    <row r="25" spans="1:19" ht="14.25" customHeight="1" thickBot="1">
      <c r="A25" s="170"/>
      <c r="B25" s="190" t="s">
        <v>211</v>
      </c>
      <c r="C25" s="190"/>
      <c r="D25" s="190"/>
      <c r="E25" s="190"/>
      <c r="F25" s="190"/>
      <c r="G25" s="192"/>
      <c r="H25" s="192">
        <f>SUM(H21:H24)</f>
        <v>643304.13089999999</v>
      </c>
      <c r="I25" s="188"/>
      <c r="J25" s="209"/>
      <c r="K25" s="170"/>
      <c r="L25" s="190" t="s">
        <v>211</v>
      </c>
      <c r="M25" s="190"/>
      <c r="N25" s="190"/>
      <c r="O25" s="190"/>
      <c r="P25" s="190"/>
      <c r="Q25" s="192"/>
      <c r="R25" s="192">
        <f>SUM(R21:R24)</f>
        <v>643304.13089999999</v>
      </c>
      <c r="S25" s="188"/>
    </row>
    <row r="26" spans="1:19" ht="15.75" thickBot="1">
      <c r="A26" s="170"/>
      <c r="B26" s="193" t="s">
        <v>220</v>
      </c>
      <c r="C26" s="193"/>
      <c r="D26" s="193"/>
      <c r="E26" s="193"/>
      <c r="F26" s="193"/>
      <c r="G26" s="195"/>
      <c r="H26" s="195">
        <f>H18-H25</f>
        <v>4862122.5599999996</v>
      </c>
      <c r="I26" s="188"/>
      <c r="J26" s="209"/>
      <c r="K26" s="170"/>
      <c r="L26" s="193" t="s">
        <v>220</v>
      </c>
      <c r="M26" s="193"/>
      <c r="N26" s="193"/>
      <c r="O26" s="193"/>
      <c r="P26" s="193"/>
      <c r="Q26" s="195"/>
      <c r="R26" s="195">
        <f>SUM(R18-R25)</f>
        <v>4579766.5599999996</v>
      </c>
      <c r="S26" s="188"/>
    </row>
    <row r="27" spans="1:19">
      <c r="A27" s="170"/>
      <c r="B27" s="186" t="s">
        <v>221</v>
      </c>
      <c r="C27" s="186"/>
      <c r="D27" s="186"/>
      <c r="E27" s="186"/>
      <c r="F27" s="186"/>
      <c r="G27" s="187"/>
      <c r="H27" s="187">
        <f>'[2]Urutan Nm'!H68</f>
        <v>10000</v>
      </c>
      <c r="I27" s="188"/>
      <c r="J27" s="209"/>
      <c r="K27" s="170"/>
      <c r="L27" s="186" t="s">
        <v>221</v>
      </c>
      <c r="M27" s="186"/>
      <c r="N27" s="186"/>
      <c r="O27" s="186"/>
      <c r="P27" s="186"/>
      <c r="Q27" s="187"/>
      <c r="R27" s="187">
        <f>'[2]Urutan Nm'!H69</f>
        <v>10000</v>
      </c>
      <c r="S27" s="188"/>
    </row>
    <row r="28" spans="1:19" ht="10.5" customHeight="1" thickBot="1">
      <c r="A28" s="170"/>
      <c r="B28" s="199"/>
      <c r="C28" s="190"/>
      <c r="D28" s="190"/>
      <c r="E28" s="190"/>
      <c r="F28" s="190"/>
      <c r="G28" s="192"/>
      <c r="H28" s="192"/>
      <c r="I28" s="188"/>
      <c r="J28" s="187"/>
      <c r="K28" s="170"/>
      <c r="L28" s="199"/>
      <c r="M28" s="190"/>
      <c r="N28" s="190"/>
      <c r="O28" s="190"/>
      <c r="P28" s="190"/>
      <c r="Q28" s="192"/>
      <c r="R28" s="192"/>
      <c r="S28" s="188"/>
    </row>
    <row r="29" spans="1:19" ht="15.75" thickBot="1">
      <c r="A29" s="170"/>
      <c r="B29" s="200" t="s">
        <v>212</v>
      </c>
      <c r="C29" s="200"/>
      <c r="D29" s="200"/>
      <c r="E29" s="200"/>
      <c r="F29" s="200"/>
      <c r="G29" s="201"/>
      <c r="H29" s="201">
        <f>SUM(H26-H27)</f>
        <v>4852122.5599999996</v>
      </c>
      <c r="I29" s="188"/>
      <c r="J29" s="187"/>
      <c r="K29" s="170"/>
      <c r="L29" s="200" t="s">
        <v>212</v>
      </c>
      <c r="M29" s="200"/>
      <c r="N29" s="200"/>
      <c r="O29" s="200"/>
      <c r="P29" s="200"/>
      <c r="Q29" s="201"/>
      <c r="R29" s="201">
        <f>SUM(R26-R27)</f>
        <v>4569766.5599999996</v>
      </c>
      <c r="S29" s="188"/>
    </row>
    <row r="30" spans="1:19" ht="15.75" thickTop="1">
      <c r="A30" s="170"/>
      <c r="B30" s="202" t="s">
        <v>213</v>
      </c>
      <c r="C30" s="186"/>
      <c r="D30" s="186"/>
      <c r="E30" s="186"/>
      <c r="F30" s="186"/>
      <c r="G30" s="296" t="s">
        <v>214</v>
      </c>
      <c r="H30" s="296"/>
      <c r="I30" s="188"/>
      <c r="J30" s="187"/>
      <c r="K30" s="170"/>
      <c r="L30" s="202" t="s">
        <v>213</v>
      </c>
      <c r="M30" s="186"/>
      <c r="N30" s="186"/>
      <c r="O30" s="186"/>
      <c r="P30" s="186"/>
      <c r="Q30" s="296" t="s">
        <v>214</v>
      </c>
      <c r="R30" s="296"/>
      <c r="S30" s="188"/>
    </row>
    <row r="31" spans="1:19">
      <c r="A31" s="170"/>
      <c r="B31" s="186"/>
      <c r="C31" s="186"/>
      <c r="D31" s="186"/>
      <c r="E31" s="186"/>
      <c r="F31" s="186"/>
      <c r="G31" s="187"/>
      <c r="H31" s="187"/>
      <c r="I31" s="188"/>
      <c r="J31" s="187"/>
      <c r="K31" s="170"/>
      <c r="L31" s="186"/>
      <c r="M31" s="186"/>
      <c r="N31" s="186"/>
      <c r="O31" s="186"/>
      <c r="P31" s="186"/>
      <c r="Q31" s="187"/>
      <c r="R31" s="187"/>
      <c r="S31" s="188"/>
    </row>
    <row r="32" spans="1:19">
      <c r="A32" s="170"/>
      <c r="B32" s="186"/>
      <c r="C32" s="186"/>
      <c r="D32" s="186"/>
      <c r="E32" s="186"/>
      <c r="F32" s="186"/>
      <c r="G32" s="187"/>
      <c r="H32" s="187"/>
      <c r="I32" s="188"/>
      <c r="J32" s="187"/>
      <c r="K32" s="170"/>
      <c r="L32" s="186"/>
      <c r="M32" s="186"/>
      <c r="N32" s="186"/>
      <c r="O32" s="186"/>
      <c r="P32" s="186"/>
      <c r="Q32" s="187"/>
      <c r="R32" s="187"/>
      <c r="S32" s="188"/>
    </row>
    <row r="33" spans="1:19">
      <c r="A33" s="170"/>
      <c r="B33" s="203" t="s">
        <v>215</v>
      </c>
      <c r="C33" s="186"/>
      <c r="D33" s="186"/>
      <c r="E33" s="186"/>
      <c r="F33" s="186"/>
      <c r="G33" s="297" t="s">
        <v>216</v>
      </c>
      <c r="H33" s="297"/>
      <c r="I33" s="188"/>
      <c r="J33" s="187"/>
      <c r="K33" s="170"/>
      <c r="L33" s="203" t="s">
        <v>215</v>
      </c>
      <c r="M33" s="186"/>
      <c r="N33" s="186"/>
      <c r="O33" s="186"/>
      <c r="P33" s="186"/>
      <c r="Q33" s="297" t="s">
        <v>216</v>
      </c>
      <c r="R33" s="297"/>
      <c r="S33" s="188"/>
    </row>
    <row r="34" spans="1:19">
      <c r="A34" s="204"/>
      <c r="B34" s="205"/>
      <c r="C34" s="206"/>
      <c r="D34" s="206"/>
      <c r="E34" s="206"/>
      <c r="F34" s="206"/>
      <c r="G34" s="207"/>
      <c r="H34" s="205"/>
      <c r="I34" s="208"/>
      <c r="J34" s="187"/>
      <c r="K34" s="204"/>
      <c r="L34" s="205"/>
      <c r="M34" s="206"/>
      <c r="N34" s="206"/>
      <c r="O34" s="206"/>
      <c r="P34" s="206"/>
      <c r="Q34" s="207"/>
      <c r="R34" s="205"/>
      <c r="S34" s="208"/>
    </row>
    <row r="35" spans="1:19">
      <c r="B35" s="186"/>
      <c r="C35" s="186"/>
      <c r="D35" s="186"/>
      <c r="E35" s="186"/>
      <c r="F35" s="186"/>
      <c r="G35" s="187"/>
      <c r="H35" s="187"/>
      <c r="I35" s="187"/>
      <c r="J35" s="187"/>
      <c r="L35" s="186"/>
      <c r="M35" s="186"/>
      <c r="N35" s="186"/>
      <c r="O35" s="186"/>
      <c r="P35" s="186"/>
      <c r="Q35" s="187"/>
      <c r="R35" s="187"/>
      <c r="S35" s="187"/>
    </row>
    <row r="36" spans="1:19">
      <c r="A36" s="166"/>
      <c r="B36" s="167"/>
      <c r="C36" s="167"/>
      <c r="D36" s="167"/>
      <c r="E36" s="167"/>
      <c r="F36" s="167"/>
      <c r="G36" s="167"/>
      <c r="H36" s="167"/>
      <c r="I36" s="168"/>
      <c r="J36" s="169"/>
      <c r="K36" s="166"/>
      <c r="L36" s="167"/>
      <c r="M36" s="167"/>
      <c r="N36" s="167"/>
      <c r="O36" s="167"/>
      <c r="P36" s="167"/>
      <c r="Q36" s="167"/>
      <c r="R36" s="167"/>
      <c r="S36" s="168"/>
    </row>
    <row r="37" spans="1:19">
      <c r="A37" s="170"/>
      <c r="B37" s="169"/>
      <c r="C37" s="169"/>
      <c r="D37" s="169"/>
      <c r="E37" s="169"/>
      <c r="F37" s="169"/>
      <c r="G37" s="169"/>
      <c r="H37" s="169"/>
      <c r="I37" s="171"/>
      <c r="J37" s="169"/>
      <c r="K37" s="170"/>
      <c r="L37" s="169"/>
      <c r="M37" s="169"/>
      <c r="N37" s="169"/>
      <c r="O37" s="169"/>
      <c r="P37" s="169"/>
      <c r="Q37" s="169"/>
      <c r="R37" s="169"/>
      <c r="S37" s="171"/>
    </row>
    <row r="38" spans="1:19">
      <c r="A38" s="170"/>
      <c r="B38" s="169"/>
      <c r="C38" s="169"/>
      <c r="D38" s="169"/>
      <c r="E38" s="169"/>
      <c r="F38" s="169"/>
      <c r="G38" s="169"/>
      <c r="H38" s="169"/>
      <c r="I38" s="171"/>
      <c r="J38" s="169"/>
      <c r="K38" s="170"/>
      <c r="L38" s="169"/>
      <c r="M38" s="169"/>
      <c r="N38" s="169"/>
      <c r="O38" s="169"/>
      <c r="P38" s="169"/>
      <c r="Q38" s="169"/>
      <c r="R38" s="169"/>
      <c r="S38" s="171"/>
    </row>
    <row r="39" spans="1:19">
      <c r="A39" s="170"/>
      <c r="B39" s="294" t="s">
        <v>196</v>
      </c>
      <c r="C39" s="294"/>
      <c r="D39" s="294"/>
      <c r="E39" s="294"/>
      <c r="F39" s="294"/>
      <c r="G39" s="294"/>
      <c r="H39" s="294"/>
      <c r="I39" s="295"/>
      <c r="J39" s="169"/>
      <c r="K39" s="170"/>
      <c r="L39" s="294" t="s">
        <v>196</v>
      </c>
      <c r="M39" s="294"/>
      <c r="N39" s="294"/>
      <c r="O39" s="294"/>
      <c r="P39" s="294"/>
      <c r="Q39" s="294"/>
      <c r="R39" s="294"/>
      <c r="S39" s="295"/>
    </row>
    <row r="40" spans="1:19">
      <c r="A40" s="172"/>
      <c r="B40" s="173" t="s">
        <v>197</v>
      </c>
      <c r="C40" s="174" t="s">
        <v>198</v>
      </c>
      <c r="D40" s="211">
        <f>'[2]G-STAFF'!A37</f>
        <v>3</v>
      </c>
      <c r="E40" s="173"/>
      <c r="F40" s="173"/>
      <c r="G40" s="173"/>
      <c r="H40" s="173"/>
      <c r="I40" s="176"/>
      <c r="J40" s="173"/>
      <c r="K40" s="172"/>
      <c r="L40" s="173" t="s">
        <v>197</v>
      </c>
      <c r="M40" s="174" t="s">
        <v>198</v>
      </c>
      <c r="N40" s="211">
        <f>'[2]G-STAFF'!A38</f>
        <v>4</v>
      </c>
      <c r="O40" s="175"/>
      <c r="P40" s="173"/>
      <c r="Q40" s="173"/>
      <c r="R40" s="173"/>
      <c r="S40" s="176"/>
    </row>
    <row r="41" spans="1:19">
      <c r="A41" s="172"/>
      <c r="B41" s="173" t="s">
        <v>199</v>
      </c>
      <c r="C41" s="174" t="s">
        <v>198</v>
      </c>
      <c r="D41" s="177" t="str">
        <f>'[2]G-STAFF'!A3</f>
        <v>01 JANUARI  S/D  31 JANUARI  2025</v>
      </c>
      <c r="E41" s="173"/>
      <c r="F41" s="173"/>
      <c r="G41" s="173"/>
      <c r="H41" s="173"/>
      <c r="I41" s="176"/>
      <c r="J41" s="173"/>
      <c r="K41" s="172"/>
      <c r="L41" s="173" t="s">
        <v>199</v>
      </c>
      <c r="M41" s="174" t="s">
        <v>198</v>
      </c>
      <c r="N41" s="177" t="str">
        <f>'[2]G-STAFF'!A3</f>
        <v>01 JANUARI  S/D  31 JANUARI  2025</v>
      </c>
      <c r="O41" s="179"/>
      <c r="P41" s="173"/>
      <c r="Q41" s="173"/>
      <c r="R41" s="173"/>
      <c r="S41" s="176"/>
    </row>
    <row r="42" spans="1:19">
      <c r="A42" s="172"/>
      <c r="B42" s="173" t="s">
        <v>200</v>
      </c>
      <c r="C42" s="174" t="s">
        <v>198</v>
      </c>
      <c r="D42" s="177" t="str">
        <f>'[2]G-STAFF'!B37</f>
        <v>ANDIKA WIJAYA</v>
      </c>
      <c r="E42" s="173"/>
      <c r="F42" s="173"/>
      <c r="G42" s="173"/>
      <c r="H42" s="173"/>
      <c r="I42" s="176"/>
      <c r="J42" s="173"/>
      <c r="K42" s="172"/>
      <c r="L42" s="173" t="s">
        <v>200</v>
      </c>
      <c r="M42" s="174" t="s">
        <v>198</v>
      </c>
      <c r="N42" s="178" t="str">
        <f>'[2]G-STAFF'!B38</f>
        <v>SAMANHUDI</v>
      </c>
      <c r="O42" s="173"/>
      <c r="P42" s="173"/>
      <c r="Q42" s="173"/>
      <c r="R42" s="173"/>
      <c r="S42" s="176"/>
    </row>
    <row r="43" spans="1:19" ht="15.75" thickBot="1">
      <c r="A43" s="172"/>
      <c r="B43" s="173" t="s">
        <v>201</v>
      </c>
      <c r="C43" s="174" t="s">
        <v>198</v>
      </c>
      <c r="D43" s="177" t="str">
        <f>'[2]G-STAFF'!H36</f>
        <v>SECURITY</v>
      </c>
      <c r="E43" s="173"/>
      <c r="F43" s="173"/>
      <c r="G43" s="173"/>
      <c r="H43" s="173"/>
      <c r="I43" s="176"/>
      <c r="J43" s="173"/>
      <c r="K43" s="172"/>
      <c r="L43" s="173" t="s">
        <v>201</v>
      </c>
      <c r="M43" s="174" t="s">
        <v>198</v>
      </c>
      <c r="N43" s="178" t="str">
        <f>'[2]G-STAFF'!H38</f>
        <v>SECURITY</v>
      </c>
      <c r="O43" s="179"/>
      <c r="P43" s="173"/>
      <c r="Q43" s="173"/>
      <c r="R43" s="173"/>
      <c r="S43" s="176"/>
    </row>
    <row r="44" spans="1:19" ht="10.5" customHeight="1" thickTop="1">
      <c r="A44" s="170"/>
      <c r="B44" s="182"/>
      <c r="C44" s="182"/>
      <c r="D44" s="182"/>
      <c r="E44" s="182"/>
      <c r="F44" s="182"/>
      <c r="G44" s="182"/>
      <c r="H44" s="182"/>
      <c r="I44" s="183"/>
      <c r="J44" s="169"/>
      <c r="K44" s="170"/>
      <c r="L44" s="182"/>
      <c r="M44" s="182"/>
      <c r="N44" s="182"/>
      <c r="O44" s="182"/>
      <c r="P44" s="182"/>
      <c r="Q44" s="182"/>
      <c r="R44" s="182"/>
      <c r="S44" s="183"/>
    </row>
    <row r="45" spans="1:19">
      <c r="A45" s="170"/>
      <c r="B45" s="184" t="s">
        <v>202</v>
      </c>
      <c r="C45" s="185"/>
      <c r="D45" s="185"/>
      <c r="E45" s="185"/>
      <c r="F45" s="185"/>
      <c r="G45" s="185"/>
      <c r="H45" s="185"/>
      <c r="I45" s="183"/>
      <c r="J45" s="169"/>
      <c r="K45" s="170"/>
      <c r="L45" s="184" t="s">
        <v>202</v>
      </c>
      <c r="M45" s="184"/>
      <c r="N45" s="185"/>
      <c r="O45" s="185"/>
      <c r="P45" s="185"/>
      <c r="Q45" s="185"/>
      <c r="R45" s="185"/>
      <c r="S45" s="183"/>
    </row>
    <row r="46" spans="1:19" ht="14.25" customHeight="1">
      <c r="A46" s="170"/>
      <c r="B46" s="186" t="s">
        <v>111</v>
      </c>
      <c r="C46" s="186"/>
      <c r="D46" s="186"/>
      <c r="E46" s="186"/>
      <c r="F46" s="186"/>
      <c r="G46" s="187"/>
      <c r="H46" s="187">
        <f>+GENERAL!F12</f>
        <v>4594855</v>
      </c>
      <c r="I46" s="188"/>
      <c r="J46" s="187"/>
      <c r="K46" s="170"/>
      <c r="L46" s="186" t="s">
        <v>111</v>
      </c>
      <c r="M46" s="186"/>
      <c r="N46" s="186"/>
      <c r="O46" s="186"/>
      <c r="P46" s="186"/>
      <c r="Q46" s="187"/>
      <c r="R46" s="187">
        <f>+GENERAL!F13</f>
        <v>4594855</v>
      </c>
      <c r="S46" s="188"/>
    </row>
    <row r="47" spans="1:19" ht="14.25" customHeight="1">
      <c r="A47" s="170"/>
      <c r="B47" s="186" t="s">
        <v>203</v>
      </c>
      <c r="C47" s="186"/>
      <c r="D47" s="186"/>
      <c r="E47" s="186"/>
      <c r="F47" s="186"/>
      <c r="G47" s="187"/>
      <c r="H47" s="187">
        <f>+GENERAL!J12</f>
        <v>0</v>
      </c>
      <c r="I47" s="188"/>
      <c r="J47" s="187"/>
      <c r="K47" s="170"/>
      <c r="L47" s="186" t="s">
        <v>203</v>
      </c>
      <c r="M47" s="186"/>
      <c r="N47" s="186"/>
      <c r="O47" s="186"/>
      <c r="P47" s="186"/>
      <c r="Q47" s="187"/>
      <c r="R47" s="187">
        <f>+GENERAL!J13</f>
        <v>0</v>
      </c>
      <c r="S47" s="188"/>
    </row>
    <row r="48" spans="1:19" ht="14.25" customHeight="1">
      <c r="A48" s="170"/>
      <c r="B48" s="186" t="s">
        <v>224</v>
      </c>
      <c r="C48" s="186"/>
      <c r="D48" s="186"/>
      <c r="E48" s="186"/>
      <c r="F48" s="186"/>
      <c r="G48" s="187"/>
      <c r="H48" s="187">
        <f>+GENERAL!T12</f>
        <v>448215.69090000005</v>
      </c>
      <c r="I48" s="188"/>
      <c r="J48" s="209"/>
      <c r="K48" s="170"/>
      <c r="L48" s="186" t="s">
        <v>224</v>
      </c>
      <c r="M48" s="186"/>
      <c r="N48" s="186"/>
      <c r="O48" s="186"/>
      <c r="P48" s="186"/>
      <c r="Q48" s="187"/>
      <c r="R48" s="187">
        <f>+GENERAL!T13</f>
        <v>448215.69090000005</v>
      </c>
      <c r="S48" s="188"/>
    </row>
    <row r="49" spans="1:19" ht="14.25" customHeight="1">
      <c r="A49" s="170"/>
      <c r="B49" s="186" t="s">
        <v>195</v>
      </c>
      <c r="C49" s="186"/>
      <c r="D49" s="187">
        <f>'[2]G-STAFF'!Z37</f>
        <v>31</v>
      </c>
      <c r="E49" s="186" t="s">
        <v>204</v>
      </c>
      <c r="F49" s="186" t="s">
        <v>205</v>
      </c>
      <c r="G49" s="187">
        <v>6000</v>
      </c>
      <c r="H49" s="187">
        <f>+GENERAL!M12</f>
        <v>180000</v>
      </c>
      <c r="I49" s="188"/>
      <c r="J49" s="187"/>
      <c r="K49" s="170"/>
      <c r="L49" s="186" t="s">
        <v>195</v>
      </c>
      <c r="M49" s="186"/>
      <c r="N49" s="187">
        <f>'[2]G-STAFF'!Z38</f>
        <v>31</v>
      </c>
      <c r="O49" s="186" t="s">
        <v>204</v>
      </c>
      <c r="P49" s="186" t="s">
        <v>205</v>
      </c>
      <c r="Q49" s="187">
        <v>6000</v>
      </c>
      <c r="R49" s="187">
        <f>+GENERAL!M13</f>
        <v>180000</v>
      </c>
      <c r="S49" s="188"/>
    </row>
    <row r="50" spans="1:19" ht="14.25" customHeight="1">
      <c r="A50" s="170"/>
      <c r="B50" s="186" t="s">
        <v>217</v>
      </c>
      <c r="C50" s="186"/>
      <c r="D50" s="187">
        <f>'[2]G-STAFF'!V37</f>
        <v>0</v>
      </c>
      <c r="E50" s="186" t="s">
        <v>218</v>
      </c>
      <c r="F50" s="186" t="s">
        <v>205</v>
      </c>
      <c r="G50" s="187">
        <f>'[2]G-STAFF'!U37</f>
        <v>127552.93333333333</v>
      </c>
      <c r="H50" s="187">
        <f>G50*D50</f>
        <v>0</v>
      </c>
      <c r="I50" s="188"/>
      <c r="J50" s="209"/>
      <c r="K50" s="170"/>
      <c r="L50" s="186" t="s">
        <v>217</v>
      </c>
      <c r="M50" s="186"/>
      <c r="N50" s="187">
        <f>'[2]G-STAFF'!V38</f>
        <v>0</v>
      </c>
      <c r="O50" s="186" t="s">
        <v>218</v>
      </c>
      <c r="P50" s="186" t="s">
        <v>205</v>
      </c>
      <c r="Q50" s="187">
        <f>'[2]G-STAFF'!U38</f>
        <v>141814.66666666666</v>
      </c>
      <c r="R50" s="187">
        <f>Q50*N50</f>
        <v>0</v>
      </c>
      <c r="S50" s="188"/>
    </row>
    <row r="51" spans="1:19" ht="14.25" customHeight="1">
      <c r="A51" s="170"/>
      <c r="B51" s="186" t="s">
        <v>206</v>
      </c>
      <c r="C51" s="186"/>
      <c r="D51" s="212">
        <f>'[2]G-STAFF'!CH37</f>
        <v>0</v>
      </c>
      <c r="E51" s="186" t="s">
        <v>207</v>
      </c>
      <c r="F51" s="186" t="s">
        <v>205</v>
      </c>
      <c r="G51" s="187">
        <f>'[2]G-STAFF'!M37</f>
        <v>22119.005780346823</v>
      </c>
      <c r="H51" s="187">
        <f>G51*D51</f>
        <v>0</v>
      </c>
      <c r="I51" s="188"/>
      <c r="J51" s="187"/>
      <c r="K51" s="170"/>
      <c r="L51" s="186" t="s">
        <v>206</v>
      </c>
      <c r="M51" s="186"/>
      <c r="N51" s="212">
        <f>'[2]G-STAFF'!CH38</f>
        <v>0</v>
      </c>
      <c r="O51" s="186" t="s">
        <v>207</v>
      </c>
      <c r="P51" s="186" t="s">
        <v>205</v>
      </c>
      <c r="Q51" s="187">
        <f>'[2]G-STAFF'!M38</f>
        <v>24592.138728323698</v>
      </c>
      <c r="R51" s="187">
        <f>Q51*N51</f>
        <v>0</v>
      </c>
      <c r="S51" s="188"/>
    </row>
    <row r="52" spans="1:19" ht="14.25" customHeight="1" thickBot="1">
      <c r="A52" s="170"/>
      <c r="B52" s="190" t="s">
        <v>208</v>
      </c>
      <c r="C52" s="190"/>
      <c r="D52" s="213">
        <f>'[2]G-STAFF'!CG37</f>
        <v>0</v>
      </c>
      <c r="E52" s="190" t="s">
        <v>207</v>
      </c>
      <c r="F52" s="190" t="s">
        <v>205</v>
      </c>
      <c r="G52" s="192">
        <f>G51</f>
        <v>22119.005780346823</v>
      </c>
      <c r="H52" s="192">
        <f>G52*D52</f>
        <v>0</v>
      </c>
      <c r="I52" s="188"/>
      <c r="J52" s="187"/>
      <c r="K52" s="170"/>
      <c r="L52" s="190" t="s">
        <v>208</v>
      </c>
      <c r="M52" s="190"/>
      <c r="N52" s="213">
        <f>'[2]G-STAFF'!CG38</f>
        <v>0</v>
      </c>
      <c r="O52" s="190" t="s">
        <v>207</v>
      </c>
      <c r="P52" s="190" t="s">
        <v>205</v>
      </c>
      <c r="Q52" s="192">
        <f>Q51</f>
        <v>24592.138728323698</v>
      </c>
      <c r="R52" s="192">
        <f>Q52*N52</f>
        <v>0</v>
      </c>
      <c r="S52" s="188"/>
    </row>
    <row r="53" spans="1:19" ht="15.75" thickBot="1">
      <c r="A53" s="170"/>
      <c r="B53" s="190" t="s">
        <v>219</v>
      </c>
      <c r="C53" s="190"/>
      <c r="D53" s="213">
        <f>'[2]G-STAFF'!CI37</f>
        <v>0</v>
      </c>
      <c r="E53" s="190"/>
      <c r="F53" s="190"/>
      <c r="G53" s="192"/>
      <c r="H53" s="192">
        <f>SUM(H46:H52)</f>
        <v>5223070.6908999998</v>
      </c>
      <c r="I53" s="188"/>
      <c r="J53" s="187"/>
      <c r="K53" s="170"/>
      <c r="L53" s="190" t="s">
        <v>219</v>
      </c>
      <c r="M53" s="190"/>
      <c r="N53" s="213">
        <f>'[2]G-STAFF'!CI38</f>
        <v>0</v>
      </c>
      <c r="O53" s="190"/>
      <c r="P53" s="190"/>
      <c r="Q53" s="192"/>
      <c r="R53" s="192">
        <f>SUM(R46:R52)</f>
        <v>5223070.6908999998</v>
      </c>
      <c r="S53" s="188"/>
    </row>
    <row r="54" spans="1:19" ht="10.5" customHeight="1" thickTop="1">
      <c r="A54" s="170"/>
      <c r="B54" s="182"/>
      <c r="C54" s="182"/>
      <c r="D54" s="182"/>
      <c r="E54" s="182"/>
      <c r="F54" s="182"/>
      <c r="G54" s="182"/>
      <c r="H54" s="182"/>
      <c r="I54" s="183"/>
      <c r="J54" s="169"/>
      <c r="K54" s="170"/>
      <c r="L54" s="182"/>
      <c r="M54" s="182"/>
      <c r="N54" s="182"/>
      <c r="O54" s="182"/>
      <c r="P54" s="182"/>
      <c r="Q54" s="182"/>
      <c r="R54" s="182"/>
      <c r="S54" s="183"/>
    </row>
    <row r="55" spans="1:19">
      <c r="A55" s="170"/>
      <c r="B55" s="196" t="s">
        <v>113</v>
      </c>
      <c r="C55" s="186"/>
      <c r="D55" s="186"/>
      <c r="E55" s="186"/>
      <c r="F55" s="186"/>
      <c r="G55" s="187"/>
      <c r="H55" s="187"/>
      <c r="I55" s="188"/>
      <c r="J55" s="209"/>
      <c r="K55" s="170"/>
      <c r="L55" s="196" t="s">
        <v>113</v>
      </c>
      <c r="M55" s="186"/>
      <c r="N55" s="186"/>
      <c r="O55" s="186"/>
      <c r="P55" s="186"/>
      <c r="Q55" s="187"/>
      <c r="R55" s="187"/>
      <c r="S55" s="188"/>
    </row>
    <row r="56" spans="1:19" ht="14.25" customHeight="1">
      <c r="A56" s="170"/>
      <c r="B56" s="186" t="s">
        <v>209</v>
      </c>
      <c r="C56" s="186"/>
      <c r="D56" s="197"/>
      <c r="E56" s="186"/>
      <c r="F56" s="186"/>
      <c r="G56" s="198" t="str">
        <f>'[2]G-STAFF'!C37</f>
        <v>K1</v>
      </c>
      <c r="H56" s="187">
        <f>+GENERAL!AA12</f>
        <v>0</v>
      </c>
      <c r="I56" s="188"/>
      <c r="J56" s="209"/>
      <c r="K56" s="170"/>
      <c r="L56" s="186" t="s">
        <v>209</v>
      </c>
      <c r="M56" s="186"/>
      <c r="N56" s="198"/>
      <c r="O56" s="186"/>
      <c r="P56" s="186"/>
      <c r="Q56" s="198" t="str">
        <f>'[2]G-STAFF'!C38</f>
        <v>K</v>
      </c>
      <c r="R56" s="187">
        <f>+GENERAL!AA13</f>
        <v>0</v>
      </c>
      <c r="S56" s="188"/>
    </row>
    <row r="57" spans="1:19" ht="14.25" customHeight="1">
      <c r="A57" s="170"/>
      <c r="B57" s="186" t="s">
        <v>225</v>
      </c>
      <c r="C57" s="186"/>
      <c r="D57" s="197"/>
      <c r="E57" s="186"/>
      <c r="F57" s="186"/>
      <c r="G57" s="198"/>
      <c r="H57" s="187">
        <f>+GENERAL!X12+GENERAL!Y12</f>
        <v>48772.11</v>
      </c>
      <c r="I57" s="188"/>
      <c r="J57" s="209"/>
      <c r="K57" s="170"/>
      <c r="L57" s="186" t="s">
        <v>225</v>
      </c>
      <c r="M57" s="186"/>
      <c r="N57" s="198"/>
      <c r="O57" s="186"/>
      <c r="P57" s="186"/>
      <c r="Q57" s="198"/>
      <c r="R57" s="187">
        <f>+GENERAL!X13+GENERAL!Y13</f>
        <v>48772.11</v>
      </c>
      <c r="S57" s="188"/>
    </row>
    <row r="58" spans="1:19" ht="14.25" customHeight="1">
      <c r="A58" s="170"/>
      <c r="B58" s="186" t="s">
        <v>226</v>
      </c>
      <c r="C58" s="186"/>
      <c r="D58" s="197"/>
      <c r="E58" s="186"/>
      <c r="F58" s="186"/>
      <c r="G58" s="198"/>
      <c r="H58" s="187">
        <f>+GENERAL!V12+GENERAL!W12</f>
        <v>146316.33000000002</v>
      </c>
      <c r="I58" s="188"/>
      <c r="J58" s="209"/>
      <c r="K58" s="170"/>
      <c r="L58" s="186" t="s">
        <v>226</v>
      </c>
      <c r="M58" s="186"/>
      <c r="N58" s="198"/>
      <c r="O58" s="186"/>
      <c r="P58" s="186"/>
      <c r="Q58" s="198"/>
      <c r="R58" s="187">
        <f>+GENERAL!V13+GENERAL!W13</f>
        <v>146316.33000000002</v>
      </c>
      <c r="S58" s="188"/>
    </row>
    <row r="59" spans="1:19" ht="14.25" customHeight="1">
      <c r="A59" s="170"/>
      <c r="B59" s="186" t="s">
        <v>103</v>
      </c>
      <c r="C59" s="186"/>
      <c r="D59" s="186"/>
      <c r="E59" s="186"/>
      <c r="F59" s="186"/>
      <c r="G59" s="187"/>
      <c r="H59" s="187">
        <f>+H48</f>
        <v>448215.69090000005</v>
      </c>
      <c r="I59" s="188"/>
      <c r="J59" s="209"/>
      <c r="K59" s="170"/>
      <c r="L59" s="186" t="s">
        <v>103</v>
      </c>
      <c r="M59" s="186"/>
      <c r="N59" s="186"/>
      <c r="O59" s="186"/>
      <c r="P59" s="186"/>
      <c r="Q59" s="187"/>
      <c r="R59" s="187">
        <f>+R48</f>
        <v>448215.69090000005</v>
      </c>
      <c r="S59" s="188"/>
    </row>
    <row r="60" spans="1:19" ht="14.25" customHeight="1" thickBot="1">
      <c r="A60" s="170"/>
      <c r="B60" s="190" t="s">
        <v>211</v>
      </c>
      <c r="C60" s="190"/>
      <c r="D60" s="190"/>
      <c r="E60" s="190"/>
      <c r="F60" s="190"/>
      <c r="G60" s="192"/>
      <c r="H60" s="192">
        <f>SUM(H56:H59)</f>
        <v>643304.13089999999</v>
      </c>
      <c r="I60" s="188"/>
      <c r="J60" s="209"/>
      <c r="K60" s="170"/>
      <c r="L60" s="190" t="s">
        <v>211</v>
      </c>
      <c r="M60" s="190"/>
      <c r="N60" s="190"/>
      <c r="O60" s="190"/>
      <c r="P60" s="190"/>
      <c r="Q60" s="192"/>
      <c r="R60" s="192">
        <f>SUM(R56:R59)</f>
        <v>643304.13089999999</v>
      </c>
      <c r="S60" s="188"/>
    </row>
    <row r="61" spans="1:19" ht="15.75" thickBot="1">
      <c r="A61" s="170"/>
      <c r="B61" s="193" t="s">
        <v>220</v>
      </c>
      <c r="C61" s="193"/>
      <c r="D61" s="193"/>
      <c r="E61" s="193"/>
      <c r="F61" s="193"/>
      <c r="G61" s="195"/>
      <c r="H61" s="195">
        <f>SUM(H53-H60)</f>
        <v>4579766.5599999996</v>
      </c>
      <c r="I61" s="188"/>
      <c r="J61" s="209"/>
      <c r="K61" s="170"/>
      <c r="L61" s="193" t="s">
        <v>220</v>
      </c>
      <c r="M61" s="193"/>
      <c r="N61" s="193"/>
      <c r="O61" s="193"/>
      <c r="P61" s="193"/>
      <c r="Q61" s="195"/>
      <c r="R61" s="195">
        <f>SUM(R53-R60)</f>
        <v>4579766.5599999996</v>
      </c>
      <c r="S61" s="188"/>
    </row>
    <row r="62" spans="1:19">
      <c r="A62" s="170"/>
      <c r="B62" s="186" t="s">
        <v>221</v>
      </c>
      <c r="C62" s="186"/>
      <c r="D62" s="186"/>
      <c r="E62" s="186"/>
      <c r="F62" s="186"/>
      <c r="G62" s="187"/>
      <c r="H62" s="187">
        <f>'[2]Urutan Nm'!H70</f>
        <v>10000</v>
      </c>
      <c r="I62" s="188"/>
      <c r="J62" s="209"/>
      <c r="K62" s="170"/>
      <c r="L62" s="186" t="s">
        <v>221</v>
      </c>
      <c r="M62" s="186"/>
      <c r="N62" s="186"/>
      <c r="O62" s="186"/>
      <c r="P62" s="186"/>
      <c r="Q62" s="187"/>
      <c r="R62" s="187">
        <f>'[2]Urutan Nm'!H71</f>
        <v>10000</v>
      </c>
      <c r="S62" s="188"/>
    </row>
    <row r="63" spans="1:19" ht="10.5" customHeight="1" thickBot="1">
      <c r="A63" s="170"/>
      <c r="B63" s="199"/>
      <c r="C63" s="190"/>
      <c r="D63" s="190"/>
      <c r="E63" s="190"/>
      <c r="F63" s="190"/>
      <c r="G63" s="192"/>
      <c r="H63" s="192"/>
      <c r="I63" s="188"/>
      <c r="J63" s="187"/>
      <c r="K63" s="170"/>
      <c r="L63" s="199"/>
      <c r="M63" s="190"/>
      <c r="N63" s="190"/>
      <c r="O63" s="190"/>
      <c r="P63" s="190"/>
      <c r="Q63" s="192"/>
      <c r="R63" s="192"/>
      <c r="S63" s="188"/>
    </row>
    <row r="64" spans="1:19" ht="15.75" thickBot="1">
      <c r="A64" s="170"/>
      <c r="B64" s="200" t="s">
        <v>212</v>
      </c>
      <c r="C64" s="200"/>
      <c r="D64" s="200"/>
      <c r="E64" s="200"/>
      <c r="F64" s="200"/>
      <c r="G64" s="201"/>
      <c r="H64" s="201">
        <f>SUM(H61-H62)</f>
        <v>4569766.5599999996</v>
      </c>
      <c r="I64" s="188"/>
      <c r="J64" s="187"/>
      <c r="K64" s="170"/>
      <c r="L64" s="200" t="s">
        <v>212</v>
      </c>
      <c r="M64" s="200"/>
      <c r="N64" s="200"/>
      <c r="O64" s="200"/>
      <c r="P64" s="200"/>
      <c r="Q64" s="201"/>
      <c r="R64" s="201">
        <f>SUM(R61-R62)</f>
        <v>4569766.5599999996</v>
      </c>
      <c r="S64" s="188"/>
    </row>
    <row r="65" spans="1:19" ht="15.75" thickTop="1">
      <c r="A65" s="170"/>
      <c r="B65" s="202" t="s">
        <v>213</v>
      </c>
      <c r="C65" s="186"/>
      <c r="D65" s="186"/>
      <c r="E65" s="186"/>
      <c r="F65" s="186"/>
      <c r="G65" s="296" t="s">
        <v>214</v>
      </c>
      <c r="H65" s="296"/>
      <c r="I65" s="188"/>
      <c r="J65" s="187"/>
      <c r="K65" s="170"/>
      <c r="L65" s="202" t="s">
        <v>213</v>
      </c>
      <c r="M65" s="186"/>
      <c r="N65" s="186"/>
      <c r="O65" s="186"/>
      <c r="P65" s="186"/>
      <c r="Q65" s="296" t="s">
        <v>214</v>
      </c>
      <c r="R65" s="296"/>
      <c r="S65" s="188"/>
    </row>
    <row r="66" spans="1:19">
      <c r="A66" s="170"/>
      <c r="B66" s="186"/>
      <c r="C66" s="186"/>
      <c r="D66" s="186"/>
      <c r="E66" s="186"/>
      <c r="F66" s="186"/>
      <c r="G66" s="187"/>
      <c r="H66" s="187"/>
      <c r="I66" s="188"/>
      <c r="J66" s="187"/>
      <c r="K66" s="170"/>
      <c r="L66" s="186"/>
      <c r="M66" s="186"/>
      <c r="N66" s="186"/>
      <c r="O66" s="186"/>
      <c r="P66" s="186"/>
      <c r="Q66" s="187"/>
      <c r="R66" s="187"/>
      <c r="S66" s="188"/>
    </row>
    <row r="67" spans="1:19">
      <c r="A67" s="170"/>
      <c r="B67" s="186"/>
      <c r="C67" s="186"/>
      <c r="D67" s="186"/>
      <c r="E67" s="186"/>
      <c r="F67" s="186"/>
      <c r="G67" s="187"/>
      <c r="H67" s="187"/>
      <c r="I67" s="188"/>
      <c r="J67" s="187"/>
      <c r="K67" s="170"/>
      <c r="L67" s="186"/>
      <c r="M67" s="186"/>
      <c r="N67" s="186"/>
      <c r="O67" s="186"/>
      <c r="P67" s="186"/>
      <c r="Q67" s="187"/>
      <c r="R67" s="187"/>
      <c r="S67" s="188"/>
    </row>
    <row r="68" spans="1:19">
      <c r="A68" s="170"/>
      <c r="B68" s="203" t="s">
        <v>215</v>
      </c>
      <c r="C68" s="186"/>
      <c r="D68" s="186"/>
      <c r="E68" s="186"/>
      <c r="F68" s="186"/>
      <c r="G68" s="297" t="s">
        <v>216</v>
      </c>
      <c r="H68" s="297"/>
      <c r="I68" s="188"/>
      <c r="J68" s="187"/>
      <c r="K68" s="170"/>
      <c r="L68" s="203" t="s">
        <v>215</v>
      </c>
      <c r="M68" s="186"/>
      <c r="N68" s="186"/>
      <c r="O68" s="186"/>
      <c r="P68" s="186"/>
      <c r="Q68" s="297" t="s">
        <v>216</v>
      </c>
      <c r="R68" s="297"/>
      <c r="S68" s="188"/>
    </row>
    <row r="69" spans="1:19" ht="10.5" customHeight="1">
      <c r="A69" s="204"/>
      <c r="B69" s="205"/>
      <c r="C69" s="206"/>
      <c r="D69" s="206"/>
      <c r="E69" s="206"/>
      <c r="F69" s="206"/>
      <c r="G69" s="207"/>
      <c r="H69" s="205"/>
      <c r="I69" s="208"/>
      <c r="J69" s="187"/>
      <c r="K69" s="204"/>
      <c r="L69" s="205"/>
      <c r="M69" s="206"/>
      <c r="N69" s="206"/>
      <c r="O69" s="206"/>
      <c r="P69" s="206"/>
      <c r="Q69" s="207"/>
      <c r="R69" s="205"/>
      <c r="S69" s="208"/>
    </row>
    <row r="70" spans="1:19">
      <c r="A70" s="169"/>
      <c r="B70" s="186"/>
      <c r="C70" s="186"/>
      <c r="D70" s="186"/>
      <c r="E70" s="186"/>
      <c r="F70" s="186"/>
      <c r="G70" s="187"/>
      <c r="H70" s="186"/>
      <c r="I70" s="187"/>
      <c r="J70" s="187"/>
      <c r="K70" s="169"/>
      <c r="L70" s="186"/>
      <c r="M70" s="186"/>
      <c r="N70" s="186"/>
      <c r="O70" s="186"/>
      <c r="P70" s="186"/>
      <c r="Q70" s="187"/>
      <c r="R70" s="187"/>
      <c r="S70" s="187"/>
    </row>
    <row r="71" spans="1:19">
      <c r="A71" s="166"/>
      <c r="B71" s="167"/>
      <c r="C71" s="167"/>
      <c r="D71" s="167"/>
      <c r="E71" s="167"/>
      <c r="F71" s="167"/>
      <c r="G71" s="167"/>
      <c r="H71" s="167"/>
      <c r="I71" s="168"/>
      <c r="J71" s="169"/>
      <c r="K71" s="166"/>
      <c r="L71" s="167"/>
      <c r="M71" s="167"/>
      <c r="N71" s="167"/>
      <c r="O71" s="167"/>
      <c r="P71" s="167"/>
      <c r="Q71" s="167"/>
      <c r="R71" s="167"/>
      <c r="S71" s="168"/>
    </row>
    <row r="72" spans="1:19">
      <c r="A72" s="170"/>
      <c r="B72" s="169"/>
      <c r="C72" s="169"/>
      <c r="D72" s="169"/>
      <c r="E72" s="169"/>
      <c r="F72" s="169"/>
      <c r="G72" s="169"/>
      <c r="H72" s="169"/>
      <c r="I72" s="171"/>
      <c r="J72" s="169"/>
      <c r="K72" s="170"/>
      <c r="L72" s="169"/>
      <c r="M72" s="169"/>
      <c r="N72" s="169"/>
      <c r="O72" s="169"/>
      <c r="P72" s="169"/>
      <c r="Q72" s="169"/>
      <c r="R72" s="169"/>
      <c r="S72" s="171"/>
    </row>
    <row r="73" spans="1:19">
      <c r="A73" s="170"/>
      <c r="B73" s="169"/>
      <c r="C73" s="169"/>
      <c r="D73" s="169"/>
      <c r="E73" s="169"/>
      <c r="F73" s="169"/>
      <c r="G73" s="169"/>
      <c r="H73" s="169"/>
      <c r="I73" s="171"/>
      <c r="J73" s="169"/>
      <c r="K73" s="170"/>
      <c r="L73" s="169"/>
      <c r="M73" s="169"/>
      <c r="N73" s="169"/>
      <c r="O73" s="169"/>
      <c r="P73" s="169"/>
      <c r="Q73" s="169"/>
      <c r="R73" s="169"/>
      <c r="S73" s="171"/>
    </row>
    <row r="74" spans="1:19">
      <c r="A74" s="170"/>
      <c r="B74" s="294" t="s">
        <v>196</v>
      </c>
      <c r="C74" s="294"/>
      <c r="D74" s="294"/>
      <c r="E74" s="294"/>
      <c r="F74" s="294"/>
      <c r="G74" s="294"/>
      <c r="H74" s="294"/>
      <c r="I74" s="295"/>
      <c r="J74" s="169"/>
      <c r="K74" s="170"/>
      <c r="L74" s="294" t="s">
        <v>196</v>
      </c>
      <c r="M74" s="294"/>
      <c r="N74" s="294"/>
      <c r="O74" s="294"/>
      <c r="P74" s="294"/>
      <c r="Q74" s="294"/>
      <c r="R74" s="294"/>
      <c r="S74" s="295"/>
    </row>
    <row r="75" spans="1:19">
      <c r="A75" s="172"/>
      <c r="B75" s="173" t="s">
        <v>197</v>
      </c>
      <c r="C75" s="174" t="s">
        <v>198</v>
      </c>
      <c r="D75" s="211">
        <f>'[2]G-STAFF'!A39</f>
        <v>5</v>
      </c>
      <c r="E75" s="173"/>
      <c r="F75" s="173"/>
      <c r="G75" s="173"/>
      <c r="H75" s="173"/>
      <c r="I75" s="176"/>
      <c r="J75" s="173"/>
      <c r="K75" s="172"/>
      <c r="L75" s="173" t="s">
        <v>197</v>
      </c>
      <c r="M75" s="174" t="s">
        <v>198</v>
      </c>
      <c r="N75" s="211" t="e">
        <f>'[2]G-STAFF'!A68</f>
        <v>#REF!</v>
      </c>
      <c r="O75" s="175"/>
      <c r="P75" s="173"/>
      <c r="Q75" s="173"/>
      <c r="R75" s="173"/>
      <c r="S75" s="176"/>
    </row>
    <row r="76" spans="1:19">
      <c r="A76" s="172"/>
      <c r="B76" s="173" t="s">
        <v>199</v>
      </c>
      <c r="C76" s="174" t="s">
        <v>198</v>
      </c>
      <c r="D76" s="177" t="str">
        <f>'[2]G-STAFF'!A3</f>
        <v>01 JANUARI  S/D  31 JANUARI  2025</v>
      </c>
      <c r="E76" s="173"/>
      <c r="F76" s="173"/>
      <c r="G76" s="173"/>
      <c r="H76" s="173"/>
      <c r="I76" s="176"/>
      <c r="J76" s="173"/>
      <c r="K76" s="172"/>
      <c r="L76" s="173" t="s">
        <v>199</v>
      </c>
      <c r="M76" s="174" t="s">
        <v>198</v>
      </c>
      <c r="N76" s="187">
        <f>'[2]G-STAFF'!A33</f>
        <v>0</v>
      </c>
      <c r="O76" s="179"/>
      <c r="P76" s="173"/>
      <c r="Q76" s="173"/>
      <c r="R76" s="173"/>
      <c r="S76" s="176"/>
    </row>
    <row r="77" spans="1:19">
      <c r="A77" s="172"/>
      <c r="B77" s="173" t="s">
        <v>200</v>
      </c>
      <c r="C77" s="174" t="s">
        <v>198</v>
      </c>
      <c r="D77" s="177" t="str">
        <f>'[2]G-STAFF'!B39</f>
        <v>HASAN NURDIANSYAH</v>
      </c>
      <c r="E77" s="173"/>
      <c r="F77" s="173"/>
      <c r="G77" s="173"/>
      <c r="H77" s="173"/>
      <c r="I77" s="176"/>
      <c r="J77" s="173"/>
      <c r="K77" s="172"/>
      <c r="L77" s="173" t="s">
        <v>200</v>
      </c>
      <c r="M77" s="174" t="s">
        <v>198</v>
      </c>
      <c r="N77" s="178" t="e">
        <f>'[2]G-STAFF'!B68</f>
        <v>#REF!</v>
      </c>
      <c r="O77" s="173"/>
      <c r="P77" s="173"/>
      <c r="Q77" s="173"/>
      <c r="R77" s="173"/>
      <c r="S77" s="176"/>
    </row>
    <row r="78" spans="1:19" ht="15.75" thickBot="1">
      <c r="A78" s="172"/>
      <c r="B78" s="173" t="s">
        <v>201</v>
      </c>
      <c r="C78" s="174" t="s">
        <v>198</v>
      </c>
      <c r="D78" s="177" t="str">
        <f>'[2]G-STAFF'!H39</f>
        <v>MECHANIK</v>
      </c>
      <c r="E78" s="173"/>
      <c r="F78" s="173"/>
      <c r="G78" s="173"/>
      <c r="H78" s="173"/>
      <c r="I78" s="176"/>
      <c r="J78" s="173"/>
      <c r="K78" s="172"/>
      <c r="L78" s="173" t="s">
        <v>201</v>
      </c>
      <c r="M78" s="174" t="s">
        <v>198</v>
      </c>
      <c r="N78" s="178" t="e">
        <f>'[2]G-STAFF'!H68</f>
        <v>#REF!</v>
      </c>
      <c r="O78" s="179"/>
      <c r="P78" s="173"/>
      <c r="Q78" s="173"/>
      <c r="R78" s="173"/>
      <c r="S78" s="176"/>
    </row>
    <row r="79" spans="1:19" ht="10.5" customHeight="1" thickTop="1">
      <c r="A79" s="170"/>
      <c r="B79" s="182"/>
      <c r="C79" s="182"/>
      <c r="D79" s="182"/>
      <c r="E79" s="182"/>
      <c r="F79" s="182"/>
      <c r="G79" s="182"/>
      <c r="H79" s="182"/>
      <c r="I79" s="183"/>
      <c r="J79" s="169"/>
      <c r="K79" s="170"/>
      <c r="L79" s="182"/>
      <c r="M79" s="182"/>
      <c r="N79" s="182"/>
      <c r="O79" s="182"/>
      <c r="P79" s="182"/>
      <c r="Q79" s="182"/>
      <c r="R79" s="182"/>
      <c r="S79" s="183"/>
    </row>
    <row r="80" spans="1:19">
      <c r="A80" s="170"/>
      <c r="B80" s="184" t="s">
        <v>202</v>
      </c>
      <c r="C80" s="185"/>
      <c r="D80" s="185"/>
      <c r="E80" s="185"/>
      <c r="F80" s="185"/>
      <c r="G80" s="185"/>
      <c r="H80" s="185"/>
      <c r="I80" s="183"/>
      <c r="J80" s="169"/>
      <c r="K80" s="170"/>
      <c r="L80" s="184" t="s">
        <v>202</v>
      </c>
      <c r="M80" s="184"/>
      <c r="N80" s="185"/>
      <c r="O80" s="185"/>
      <c r="P80" s="185"/>
      <c r="Q80" s="185"/>
      <c r="R80" s="185"/>
      <c r="S80" s="183"/>
    </row>
    <row r="81" spans="1:19" ht="14.25" customHeight="1">
      <c r="A81" s="170"/>
      <c r="B81" s="186" t="s">
        <v>111</v>
      </c>
      <c r="C81" s="186"/>
      <c r="D81" s="186"/>
      <c r="E81" s="186"/>
      <c r="F81" s="186"/>
      <c r="G81" s="187"/>
      <c r="H81" s="187">
        <f>+GENERAL!F14</f>
        <v>4877211</v>
      </c>
      <c r="I81" s="188"/>
      <c r="J81" s="187"/>
      <c r="K81" s="170"/>
      <c r="L81" s="186" t="s">
        <v>111</v>
      </c>
      <c r="M81" s="186"/>
      <c r="N81" s="186"/>
      <c r="O81" s="186"/>
      <c r="P81" s="186"/>
      <c r="Q81" s="187"/>
      <c r="R81" s="187">
        <v>0</v>
      </c>
      <c r="S81" s="188"/>
    </row>
    <row r="82" spans="1:19" ht="14.25" customHeight="1">
      <c r="A82" s="170"/>
      <c r="B82" s="186" t="s">
        <v>203</v>
      </c>
      <c r="C82" s="186"/>
      <c r="D82" s="186"/>
      <c r="E82" s="186"/>
      <c r="F82" s="186"/>
      <c r="G82" s="187"/>
      <c r="H82" s="187">
        <f>+GENERAL!J14</f>
        <v>300000</v>
      </c>
      <c r="I82" s="188"/>
      <c r="J82" s="187"/>
      <c r="K82" s="170"/>
      <c r="L82" s="186" t="s">
        <v>203</v>
      </c>
      <c r="M82" s="186"/>
      <c r="N82" s="186"/>
      <c r="O82" s="186"/>
      <c r="P82" s="186"/>
      <c r="Q82" s="187"/>
      <c r="R82" s="187"/>
      <c r="S82" s="188"/>
    </row>
    <row r="83" spans="1:19" ht="14.25" customHeight="1">
      <c r="A83" s="170"/>
      <c r="B83" s="186" t="s">
        <v>224</v>
      </c>
      <c r="C83" s="186"/>
      <c r="D83" s="186"/>
      <c r="E83" s="186"/>
      <c r="F83" s="186"/>
      <c r="G83" s="187"/>
      <c r="H83" s="187">
        <f>+GENERAL!T14</f>
        <v>448215.69090000005</v>
      </c>
      <c r="I83" s="188"/>
      <c r="J83" s="209"/>
      <c r="K83" s="170"/>
      <c r="L83" s="186" t="s">
        <v>224</v>
      </c>
      <c r="M83" s="186"/>
      <c r="N83" s="186"/>
      <c r="O83" s="186"/>
      <c r="P83" s="186"/>
      <c r="Q83" s="187"/>
      <c r="R83" s="187">
        <v>0</v>
      </c>
      <c r="S83" s="188"/>
    </row>
    <row r="84" spans="1:19" ht="14.25" customHeight="1">
      <c r="A84" s="170"/>
      <c r="B84" s="186" t="s">
        <v>195</v>
      </c>
      <c r="C84" s="186"/>
      <c r="D84" s="187">
        <f>'[2]G-STAFF'!Z39</f>
        <v>24</v>
      </c>
      <c r="E84" s="186" t="s">
        <v>204</v>
      </c>
      <c r="F84" s="186" t="s">
        <v>205</v>
      </c>
      <c r="G84" s="187">
        <v>4000</v>
      </c>
      <c r="H84" s="187">
        <f>+GENERAL!M14</f>
        <v>150000</v>
      </c>
      <c r="I84" s="188"/>
      <c r="J84" s="187"/>
      <c r="K84" s="170"/>
      <c r="L84" s="186" t="s">
        <v>195</v>
      </c>
      <c r="M84" s="186"/>
      <c r="N84" s="187" t="e">
        <f>'[2]G-STAFF'!#REF!</f>
        <v>#REF!</v>
      </c>
      <c r="O84" s="186" t="s">
        <v>204</v>
      </c>
      <c r="P84" s="186" t="s">
        <v>205</v>
      </c>
      <c r="Q84" s="187">
        <v>6000</v>
      </c>
      <c r="R84" s="187">
        <v>0</v>
      </c>
      <c r="S84" s="188"/>
    </row>
    <row r="85" spans="1:19" ht="14.25" customHeight="1">
      <c r="A85" s="170"/>
      <c r="B85" s="186" t="s">
        <v>217</v>
      </c>
      <c r="C85" s="186"/>
      <c r="D85" s="186"/>
      <c r="E85" s="186"/>
      <c r="F85" s="186"/>
      <c r="G85" s="187"/>
      <c r="H85" s="187"/>
      <c r="I85" s="188"/>
      <c r="J85" s="209"/>
      <c r="K85" s="170"/>
      <c r="L85" s="186" t="s">
        <v>217</v>
      </c>
      <c r="M85" s="186"/>
      <c r="N85" s="186"/>
      <c r="O85" s="186"/>
      <c r="P85" s="186"/>
      <c r="Q85" s="187"/>
      <c r="R85" s="187"/>
      <c r="S85" s="188"/>
    </row>
    <row r="86" spans="1:19" ht="14.25" customHeight="1">
      <c r="A86" s="170"/>
      <c r="B86" s="186" t="s">
        <v>206</v>
      </c>
      <c r="C86" s="186"/>
      <c r="D86" s="212">
        <f>'[2]G-STAFF'!CH39</f>
        <v>0</v>
      </c>
      <c r="E86" s="186" t="s">
        <v>207</v>
      </c>
      <c r="F86" s="186" t="s">
        <v>205</v>
      </c>
      <c r="G86" s="187">
        <f>'[2]G-STAFF'!M39</f>
        <v>30970.023121387283</v>
      </c>
      <c r="H86" s="187">
        <f>G86*D86</f>
        <v>0</v>
      </c>
      <c r="I86" s="188"/>
      <c r="J86" s="187"/>
      <c r="K86" s="170"/>
      <c r="L86" s="186" t="s">
        <v>206</v>
      </c>
      <c r="M86" s="186"/>
      <c r="N86" s="212" t="e">
        <f>'[2]G-STAFF'!#REF!</f>
        <v>#REF!</v>
      </c>
      <c r="O86" s="186" t="s">
        <v>207</v>
      </c>
      <c r="P86" s="186" t="s">
        <v>205</v>
      </c>
      <c r="Q86" s="187" t="e">
        <f>'[2]G-STAFF'!#REF!</f>
        <v>#REF!</v>
      </c>
      <c r="R86" s="187" t="e">
        <f>Q86*N86</f>
        <v>#REF!</v>
      </c>
      <c r="S86" s="188"/>
    </row>
    <row r="87" spans="1:19" ht="14.25" customHeight="1" thickBot="1">
      <c r="A87" s="170"/>
      <c r="B87" s="190" t="s">
        <v>208</v>
      </c>
      <c r="C87" s="190"/>
      <c r="D87" s="213">
        <f>'[2]G-STAFF'!CG39</f>
        <v>0</v>
      </c>
      <c r="E87" s="190" t="s">
        <v>207</v>
      </c>
      <c r="F87" s="190" t="s">
        <v>205</v>
      </c>
      <c r="G87" s="192">
        <f>G86</f>
        <v>30970.023121387283</v>
      </c>
      <c r="H87" s="192">
        <f>G87*D87</f>
        <v>0</v>
      </c>
      <c r="I87" s="188"/>
      <c r="J87" s="187"/>
      <c r="K87" s="170"/>
      <c r="L87" s="190" t="s">
        <v>208</v>
      </c>
      <c r="M87" s="190"/>
      <c r="N87" s="213" t="e">
        <f>'[2]G-STAFF'!#REF!</f>
        <v>#REF!</v>
      </c>
      <c r="O87" s="190" t="s">
        <v>207</v>
      </c>
      <c r="P87" s="190" t="s">
        <v>205</v>
      </c>
      <c r="Q87" s="192" t="e">
        <f>Q86</f>
        <v>#REF!</v>
      </c>
      <c r="R87" s="192">
        <v>0</v>
      </c>
      <c r="S87" s="188"/>
    </row>
    <row r="88" spans="1:19" ht="15.75" thickBot="1">
      <c r="A88" s="170"/>
      <c r="B88" s="190" t="s">
        <v>219</v>
      </c>
      <c r="C88" s="190"/>
      <c r="D88" s="213">
        <f>'[2]G-STAFF'!CI39</f>
        <v>0</v>
      </c>
      <c r="E88" s="190"/>
      <c r="F88" s="190"/>
      <c r="G88" s="192"/>
      <c r="H88" s="192">
        <f>SUM(H81:H87)</f>
        <v>5775426.6908999998</v>
      </c>
      <c r="I88" s="188"/>
      <c r="J88" s="187"/>
      <c r="K88" s="170"/>
      <c r="L88" s="190" t="s">
        <v>219</v>
      </c>
      <c r="M88" s="190"/>
      <c r="N88" s="213" t="e">
        <f>'[2]G-STAFF'!#REF!</f>
        <v>#REF!</v>
      </c>
      <c r="O88" s="190"/>
      <c r="P88" s="190"/>
      <c r="Q88" s="192"/>
      <c r="R88" s="192" t="e">
        <f>SUM(R81:R87)</f>
        <v>#REF!</v>
      </c>
      <c r="S88" s="188"/>
    </row>
    <row r="89" spans="1:19" ht="10.5" customHeight="1" thickTop="1">
      <c r="A89" s="170"/>
      <c r="B89" s="182"/>
      <c r="C89" s="182"/>
      <c r="D89" s="182"/>
      <c r="E89" s="182"/>
      <c r="F89" s="182"/>
      <c r="G89" s="182"/>
      <c r="H89" s="182"/>
      <c r="I89" s="183"/>
      <c r="J89" s="169"/>
      <c r="K89" s="170"/>
      <c r="L89" s="182"/>
      <c r="M89" s="182"/>
      <c r="N89" s="182"/>
      <c r="O89" s="182"/>
      <c r="P89" s="182"/>
      <c r="Q89" s="182"/>
      <c r="R89" s="182"/>
      <c r="S89" s="183"/>
    </row>
    <row r="90" spans="1:19">
      <c r="A90" s="170"/>
      <c r="B90" s="196" t="s">
        <v>113</v>
      </c>
      <c r="C90" s="186"/>
      <c r="D90" s="186"/>
      <c r="E90" s="186"/>
      <c r="F90" s="186"/>
      <c r="G90" s="187"/>
      <c r="H90" s="187"/>
      <c r="I90" s="188"/>
      <c r="J90" s="209"/>
      <c r="K90" s="170"/>
      <c r="L90" s="196" t="s">
        <v>113</v>
      </c>
      <c r="M90" s="186"/>
      <c r="N90" s="186"/>
      <c r="O90" s="186"/>
      <c r="P90" s="186"/>
      <c r="Q90" s="187"/>
      <c r="R90" s="187"/>
      <c r="S90" s="188"/>
    </row>
    <row r="91" spans="1:19" ht="14.25" customHeight="1">
      <c r="A91" s="170"/>
      <c r="B91" s="186" t="s">
        <v>209</v>
      </c>
      <c r="C91" s="186"/>
      <c r="D91" s="197"/>
      <c r="E91" s="186"/>
      <c r="F91" s="186"/>
      <c r="G91" s="198" t="str">
        <f>'[2]G-STAFF'!C39</f>
        <v>K1</v>
      </c>
      <c r="H91" s="187">
        <f>+GENERAL!AA14</f>
        <v>0</v>
      </c>
      <c r="I91" s="188"/>
      <c r="J91" s="209"/>
      <c r="K91" s="170"/>
      <c r="L91" s="186" t="s">
        <v>209</v>
      </c>
      <c r="M91" s="186"/>
      <c r="N91" s="198" t="e">
        <f>'[2]G-STAFF'!C68</f>
        <v>#REF!</v>
      </c>
      <c r="O91" s="186"/>
      <c r="P91" s="186"/>
      <c r="Q91" s="187" t="e">
        <f>'[2]G-STAFF'!Q68</f>
        <v>#REF!</v>
      </c>
      <c r="R91" s="187"/>
      <c r="S91" s="188"/>
    </row>
    <row r="92" spans="1:19" ht="14.25" customHeight="1">
      <c r="A92" s="170"/>
      <c r="B92" s="186" t="s">
        <v>225</v>
      </c>
      <c r="C92" s="186"/>
      <c r="D92" s="197"/>
      <c r="E92" s="186"/>
      <c r="F92" s="186"/>
      <c r="G92" s="198"/>
      <c r="H92" s="187">
        <f>+GENERAL!X14+GENERAL!Y14</f>
        <v>48772.11</v>
      </c>
      <c r="I92" s="188"/>
      <c r="J92" s="209"/>
      <c r="K92" s="170"/>
      <c r="L92" s="186" t="s">
        <v>225</v>
      </c>
      <c r="M92" s="186"/>
      <c r="N92" s="198"/>
      <c r="O92" s="186"/>
      <c r="P92" s="186"/>
      <c r="Q92" s="187"/>
      <c r="R92" s="187"/>
      <c r="S92" s="188"/>
    </row>
    <row r="93" spans="1:19" ht="14.25" customHeight="1">
      <c r="A93" s="170"/>
      <c r="B93" s="186" t="s">
        <v>226</v>
      </c>
      <c r="C93" s="186"/>
      <c r="D93" s="197"/>
      <c r="E93" s="186"/>
      <c r="F93" s="186"/>
      <c r="G93" s="198"/>
      <c r="H93" s="187">
        <f>+GENERAL!V14+GENERAL!W14</f>
        <v>146316.33000000002</v>
      </c>
      <c r="I93" s="188"/>
      <c r="J93" s="209"/>
      <c r="K93" s="170"/>
      <c r="L93" s="186" t="s">
        <v>226</v>
      </c>
      <c r="M93" s="186"/>
      <c r="N93" s="198"/>
      <c r="O93" s="186"/>
      <c r="P93" s="186"/>
      <c r="Q93" s="187"/>
      <c r="R93" s="187"/>
      <c r="S93" s="188"/>
    </row>
    <row r="94" spans="1:19" ht="14.25" customHeight="1">
      <c r="A94" s="170"/>
      <c r="B94" s="186" t="s">
        <v>103</v>
      </c>
      <c r="C94" s="186"/>
      <c r="D94" s="186"/>
      <c r="E94" s="186"/>
      <c r="F94" s="186"/>
      <c r="G94" s="187"/>
      <c r="H94" s="187">
        <f>+H83</f>
        <v>448215.69090000005</v>
      </c>
      <c r="I94" s="188"/>
      <c r="J94" s="209"/>
      <c r="K94" s="170"/>
      <c r="L94" s="186" t="s">
        <v>103</v>
      </c>
      <c r="M94" s="186"/>
      <c r="N94" s="186"/>
      <c r="O94" s="186"/>
      <c r="P94" s="186"/>
      <c r="Q94" s="187" t="e">
        <f>'[2]G-STAFF'!R68</f>
        <v>#REF!</v>
      </c>
      <c r="R94" s="187"/>
      <c r="S94" s="188"/>
    </row>
    <row r="95" spans="1:19" ht="14.25" customHeight="1" thickBot="1">
      <c r="A95" s="170"/>
      <c r="B95" s="190" t="s">
        <v>211</v>
      </c>
      <c r="C95" s="190"/>
      <c r="D95" s="190"/>
      <c r="E95" s="190"/>
      <c r="F95" s="190"/>
      <c r="G95" s="192"/>
      <c r="H95" s="192">
        <f>SUM(H91:H94)</f>
        <v>643304.13089999999</v>
      </c>
      <c r="I95" s="188"/>
      <c r="J95" s="209"/>
      <c r="K95" s="170"/>
      <c r="L95" s="190" t="s">
        <v>211</v>
      </c>
      <c r="M95" s="190"/>
      <c r="N95" s="190"/>
      <c r="O95" s="190"/>
      <c r="P95" s="190"/>
      <c r="Q95" s="192"/>
      <c r="R95" s="192">
        <f>SUM(R91:R94)</f>
        <v>0</v>
      </c>
      <c r="S95" s="188"/>
    </row>
    <row r="96" spans="1:19" ht="15.75" thickBot="1">
      <c r="A96" s="170"/>
      <c r="B96" s="193" t="s">
        <v>220</v>
      </c>
      <c r="C96" s="193"/>
      <c r="D96" s="193"/>
      <c r="E96" s="193"/>
      <c r="F96" s="193"/>
      <c r="G96" s="195"/>
      <c r="H96" s="195">
        <f>SUM(H88-H95)</f>
        <v>5132122.5599999996</v>
      </c>
      <c r="I96" s="188"/>
      <c r="J96" s="209"/>
      <c r="K96" s="170"/>
      <c r="L96" s="193" t="s">
        <v>220</v>
      </c>
      <c r="M96" s="193"/>
      <c r="N96" s="193"/>
      <c r="O96" s="193"/>
      <c r="P96" s="193"/>
      <c r="Q96" s="195"/>
      <c r="R96" s="195" t="e">
        <f>SUM(R88-R95)</f>
        <v>#REF!</v>
      </c>
      <c r="S96" s="188"/>
    </row>
    <row r="97" spans="1:19">
      <c r="A97" s="170"/>
      <c r="B97" s="186" t="s">
        <v>221</v>
      </c>
      <c r="C97" s="186"/>
      <c r="D97" s="186"/>
      <c r="E97" s="186"/>
      <c r="F97" s="186"/>
      <c r="G97" s="187"/>
      <c r="H97" s="187">
        <f>'[2]Urutan Nm'!H72</f>
        <v>10000</v>
      </c>
      <c r="I97" s="188"/>
      <c r="J97" s="209"/>
      <c r="K97" s="170"/>
      <c r="L97" s="186" t="s">
        <v>221</v>
      </c>
      <c r="M97" s="186"/>
      <c r="N97" s="186"/>
      <c r="O97" s="186"/>
      <c r="P97" s="186"/>
      <c r="Q97" s="187"/>
      <c r="R97" s="187"/>
      <c r="S97" s="188"/>
    </row>
    <row r="98" spans="1:19" ht="10.5" customHeight="1" thickBot="1">
      <c r="A98" s="170"/>
      <c r="B98" s="199"/>
      <c r="C98" s="190"/>
      <c r="D98" s="190"/>
      <c r="E98" s="190"/>
      <c r="F98" s="190"/>
      <c r="G98" s="192"/>
      <c r="H98" s="192"/>
      <c r="I98" s="188"/>
      <c r="J98" s="187"/>
      <c r="K98" s="170"/>
      <c r="L98" s="199"/>
      <c r="M98" s="190"/>
      <c r="N98" s="190"/>
      <c r="O98" s="190"/>
      <c r="P98" s="190"/>
      <c r="Q98" s="192"/>
      <c r="R98" s="192"/>
      <c r="S98" s="188"/>
    </row>
    <row r="99" spans="1:19" ht="15.75" thickBot="1">
      <c r="A99" s="170"/>
      <c r="B99" s="200" t="s">
        <v>212</v>
      </c>
      <c r="C99" s="200"/>
      <c r="D99" s="200"/>
      <c r="E99" s="200"/>
      <c r="F99" s="200"/>
      <c r="G99" s="201"/>
      <c r="H99" s="201">
        <f>SUM(H96-H97)</f>
        <v>5122122.5599999996</v>
      </c>
      <c r="I99" s="188"/>
      <c r="J99" s="187"/>
      <c r="K99" s="170"/>
      <c r="L99" s="200" t="s">
        <v>212</v>
      </c>
      <c r="M99" s="200"/>
      <c r="N99" s="200"/>
      <c r="O99" s="200"/>
      <c r="P99" s="200"/>
      <c r="Q99" s="201"/>
      <c r="R99" s="201" t="e">
        <f>SUM(R88-R98)</f>
        <v>#REF!</v>
      </c>
      <c r="S99" s="188"/>
    </row>
    <row r="100" spans="1:19" ht="15.75" thickTop="1">
      <c r="A100" s="170"/>
      <c r="B100" s="202" t="s">
        <v>213</v>
      </c>
      <c r="C100" s="186"/>
      <c r="D100" s="186"/>
      <c r="E100" s="186"/>
      <c r="F100" s="186"/>
      <c r="G100" s="296" t="s">
        <v>214</v>
      </c>
      <c r="H100" s="296"/>
      <c r="I100" s="188"/>
      <c r="J100" s="187"/>
      <c r="K100" s="170"/>
      <c r="L100" s="202" t="s">
        <v>213</v>
      </c>
      <c r="M100" s="186"/>
      <c r="N100" s="186"/>
      <c r="O100" s="186"/>
      <c r="P100" s="186"/>
      <c r="Q100" s="296" t="s">
        <v>214</v>
      </c>
      <c r="R100" s="296"/>
      <c r="S100" s="188"/>
    </row>
    <row r="101" spans="1:19">
      <c r="A101" s="170"/>
      <c r="B101" s="186"/>
      <c r="C101" s="186"/>
      <c r="D101" s="186"/>
      <c r="E101" s="186"/>
      <c r="F101" s="186"/>
      <c r="G101" s="187"/>
      <c r="H101" s="187"/>
      <c r="I101" s="188"/>
      <c r="J101" s="187"/>
      <c r="K101" s="170"/>
      <c r="L101" s="186"/>
      <c r="M101" s="186"/>
      <c r="N101" s="186"/>
      <c r="O101" s="186"/>
      <c r="P101" s="186"/>
      <c r="Q101" s="187"/>
      <c r="R101" s="187"/>
      <c r="S101" s="188"/>
    </row>
    <row r="102" spans="1:19">
      <c r="A102" s="170"/>
      <c r="B102" s="186"/>
      <c r="C102" s="186"/>
      <c r="D102" s="186"/>
      <c r="E102" s="186"/>
      <c r="F102" s="186"/>
      <c r="G102" s="187"/>
      <c r="H102" s="187"/>
      <c r="I102" s="188"/>
      <c r="J102" s="187"/>
      <c r="K102" s="170"/>
      <c r="L102" s="186"/>
      <c r="M102" s="186"/>
      <c r="N102" s="186"/>
      <c r="O102" s="186"/>
      <c r="P102" s="186"/>
      <c r="Q102" s="187"/>
      <c r="R102" s="187"/>
      <c r="S102" s="188"/>
    </row>
    <row r="103" spans="1:19">
      <c r="A103" s="170"/>
      <c r="B103" s="203" t="s">
        <v>215</v>
      </c>
      <c r="C103" s="186"/>
      <c r="D103" s="186"/>
      <c r="E103" s="186"/>
      <c r="F103" s="186"/>
      <c r="G103" s="297" t="s">
        <v>216</v>
      </c>
      <c r="H103" s="297"/>
      <c r="I103" s="188"/>
      <c r="J103" s="187"/>
      <c r="K103" s="170"/>
      <c r="L103" s="203" t="s">
        <v>215</v>
      </c>
      <c r="M103" s="186"/>
      <c r="N103" s="186"/>
      <c r="O103" s="186"/>
      <c r="P103" s="186"/>
      <c r="Q103" s="297" t="s">
        <v>216</v>
      </c>
      <c r="R103" s="297"/>
      <c r="S103" s="188"/>
    </row>
    <row r="104" spans="1:19">
      <c r="A104" s="204"/>
      <c r="B104" s="205"/>
      <c r="C104" s="206"/>
      <c r="D104" s="206"/>
      <c r="E104" s="206"/>
      <c r="F104" s="206"/>
      <c r="G104" s="207"/>
      <c r="H104" s="205"/>
      <c r="I104" s="208"/>
      <c r="J104" s="187"/>
      <c r="K104" s="204"/>
      <c r="L104" s="205"/>
      <c r="M104" s="206"/>
      <c r="N104" s="206"/>
      <c r="O104" s="206"/>
      <c r="P104" s="206"/>
      <c r="Q104" s="207"/>
      <c r="R104" s="205"/>
      <c r="S104" s="208"/>
    </row>
    <row r="105" spans="1:19">
      <c r="A105" s="167"/>
      <c r="B105" s="214"/>
      <c r="C105" s="215"/>
      <c r="D105" s="215"/>
      <c r="E105" s="215"/>
      <c r="F105" s="215"/>
      <c r="G105" s="216"/>
      <c r="H105" s="214"/>
      <c r="I105" s="216"/>
      <c r="J105" s="187"/>
      <c r="K105" s="167"/>
      <c r="L105" s="214"/>
      <c r="M105" s="215"/>
      <c r="N105" s="215"/>
      <c r="O105" s="215"/>
      <c r="P105" s="215"/>
      <c r="Q105" s="216"/>
      <c r="R105" s="214"/>
      <c r="S105" s="216"/>
    </row>
    <row r="106" spans="1:19">
      <c r="A106" s="166"/>
      <c r="B106" s="167"/>
      <c r="C106" s="167"/>
      <c r="D106" s="167"/>
      <c r="E106" s="167"/>
      <c r="F106" s="167"/>
      <c r="G106" s="167"/>
      <c r="H106" s="167"/>
      <c r="I106" s="168"/>
      <c r="J106" s="169"/>
      <c r="K106" s="166"/>
      <c r="L106" s="167"/>
      <c r="M106" s="167"/>
      <c r="N106" s="167"/>
      <c r="O106" s="167"/>
      <c r="P106" s="167"/>
      <c r="Q106" s="167"/>
      <c r="R106" s="167"/>
      <c r="S106" s="168"/>
    </row>
    <row r="107" spans="1:19">
      <c r="A107" s="170"/>
      <c r="B107" s="169"/>
      <c r="C107" s="169"/>
      <c r="D107" s="169"/>
      <c r="E107" s="169"/>
      <c r="F107" s="169"/>
      <c r="G107" s="169"/>
      <c r="H107" s="169"/>
      <c r="I107" s="171"/>
      <c r="J107" s="169"/>
      <c r="K107" s="170"/>
      <c r="L107" s="169"/>
      <c r="M107" s="169"/>
      <c r="N107" s="169"/>
      <c r="O107" s="169"/>
      <c r="P107" s="169"/>
      <c r="Q107" s="169"/>
      <c r="R107" s="169"/>
      <c r="S107" s="171"/>
    </row>
    <row r="108" spans="1:19">
      <c r="A108" s="170"/>
      <c r="B108" s="169"/>
      <c r="C108" s="169"/>
      <c r="D108" s="169"/>
      <c r="E108" s="169"/>
      <c r="F108" s="169"/>
      <c r="G108" s="169"/>
      <c r="H108" s="169"/>
      <c r="I108" s="171"/>
      <c r="J108" s="169"/>
      <c r="K108" s="170"/>
      <c r="L108" s="169"/>
      <c r="M108" s="169"/>
      <c r="N108" s="169"/>
      <c r="O108" s="169"/>
      <c r="P108" s="169"/>
      <c r="Q108" s="169"/>
      <c r="R108" s="169"/>
      <c r="S108" s="171"/>
    </row>
    <row r="109" spans="1:19">
      <c r="A109" s="170"/>
      <c r="B109" s="294" t="s">
        <v>196</v>
      </c>
      <c r="C109" s="294"/>
      <c r="D109" s="294"/>
      <c r="E109" s="294"/>
      <c r="F109" s="294"/>
      <c r="G109" s="294"/>
      <c r="H109" s="294"/>
      <c r="I109" s="295"/>
      <c r="J109" s="169"/>
      <c r="K109" s="170"/>
      <c r="L109" s="294" t="s">
        <v>196</v>
      </c>
      <c r="M109" s="294"/>
      <c r="N109" s="294"/>
      <c r="O109" s="294"/>
      <c r="P109" s="294"/>
      <c r="Q109" s="294"/>
      <c r="R109" s="294"/>
      <c r="S109" s="295"/>
    </row>
    <row r="110" spans="1:19">
      <c r="A110" s="172"/>
      <c r="B110" s="173" t="s">
        <v>197</v>
      </c>
      <c r="C110" s="174" t="s">
        <v>198</v>
      </c>
      <c r="D110" s="211">
        <f>'[2]G-STAFF'!A40</f>
        <v>6</v>
      </c>
      <c r="E110" s="173"/>
      <c r="F110" s="173"/>
      <c r="G110" s="173"/>
      <c r="H110" s="173"/>
      <c r="I110" s="176"/>
      <c r="J110" s="173"/>
      <c r="K110" s="172"/>
      <c r="L110" s="173" t="s">
        <v>197</v>
      </c>
      <c r="M110" s="174" t="s">
        <v>198</v>
      </c>
      <c r="N110" s="211">
        <f>'[2]G-STAFF'!A41</f>
        <v>7</v>
      </c>
      <c r="O110" s="175"/>
      <c r="P110" s="173"/>
      <c r="Q110" s="173"/>
      <c r="R110" s="173"/>
      <c r="S110" s="176"/>
    </row>
    <row r="111" spans="1:19">
      <c r="A111" s="172"/>
      <c r="B111" s="173" t="s">
        <v>199</v>
      </c>
      <c r="C111" s="174" t="s">
        <v>198</v>
      </c>
      <c r="D111" s="177" t="str">
        <f>'[2]G-STAFF'!A3</f>
        <v>01 JANUARI  S/D  31 JANUARI  2025</v>
      </c>
      <c r="E111" s="173"/>
      <c r="F111" s="173"/>
      <c r="G111" s="173"/>
      <c r="H111" s="173"/>
      <c r="I111" s="176"/>
      <c r="J111" s="173"/>
      <c r="K111" s="172"/>
      <c r="L111" s="173" t="s">
        <v>199</v>
      </c>
      <c r="M111" s="174" t="s">
        <v>198</v>
      </c>
      <c r="N111" s="177" t="str">
        <f>'[2]G-STAFF'!A3</f>
        <v>01 JANUARI  S/D  31 JANUARI  2025</v>
      </c>
      <c r="O111" s="179"/>
      <c r="P111" s="173"/>
      <c r="Q111" s="173"/>
      <c r="R111" s="173"/>
      <c r="S111" s="176"/>
    </row>
    <row r="112" spans="1:19">
      <c r="A112" s="172"/>
      <c r="B112" s="173" t="s">
        <v>200</v>
      </c>
      <c r="C112" s="174" t="s">
        <v>198</v>
      </c>
      <c r="D112" s="177" t="str">
        <f>'[2]G-STAFF'!B40</f>
        <v>SUTRIS</v>
      </c>
      <c r="E112" s="173"/>
      <c r="F112" s="173"/>
      <c r="G112" s="173"/>
      <c r="H112" s="173"/>
      <c r="I112" s="176"/>
      <c r="J112" s="173"/>
      <c r="K112" s="172"/>
      <c r="L112" s="173" t="s">
        <v>200</v>
      </c>
      <c r="M112" s="174" t="s">
        <v>198</v>
      </c>
      <c r="N112" s="178" t="str">
        <f>'[2]G-STAFF'!B41</f>
        <v>SUCIPTO</v>
      </c>
      <c r="O112" s="173"/>
      <c r="P112" s="173"/>
      <c r="Q112" s="173"/>
      <c r="R112" s="173"/>
      <c r="S112" s="176"/>
    </row>
    <row r="113" spans="1:19" ht="15.75" thickBot="1">
      <c r="A113" s="172"/>
      <c r="B113" s="173" t="s">
        <v>201</v>
      </c>
      <c r="C113" s="174" t="s">
        <v>198</v>
      </c>
      <c r="D113" s="177" t="str">
        <f>'[2]G-STAFF'!H40</f>
        <v>DRIVER</v>
      </c>
      <c r="E113" s="173"/>
      <c r="F113" s="173"/>
      <c r="G113" s="173"/>
      <c r="H113" s="173"/>
      <c r="I113" s="176"/>
      <c r="J113" s="173"/>
      <c r="K113" s="172"/>
      <c r="L113" s="173" t="s">
        <v>201</v>
      </c>
      <c r="M113" s="174" t="s">
        <v>198</v>
      </c>
      <c r="N113" s="178" t="str">
        <f>'[2]G-STAFF'!H41</f>
        <v>DRIVER</v>
      </c>
      <c r="O113" s="179"/>
      <c r="P113" s="173"/>
      <c r="Q113" s="173"/>
      <c r="R113" s="173"/>
      <c r="S113" s="176"/>
    </row>
    <row r="114" spans="1:19" ht="10.5" customHeight="1" thickTop="1">
      <c r="A114" s="170"/>
      <c r="B114" s="182"/>
      <c r="C114" s="182"/>
      <c r="D114" s="182"/>
      <c r="E114" s="182"/>
      <c r="F114" s="182"/>
      <c r="G114" s="182"/>
      <c r="H114" s="182"/>
      <c r="I114" s="183"/>
      <c r="J114" s="169"/>
      <c r="K114" s="170"/>
      <c r="L114" s="182"/>
      <c r="M114" s="182"/>
      <c r="N114" s="182"/>
      <c r="O114" s="182"/>
      <c r="P114" s="182"/>
      <c r="Q114" s="182"/>
      <c r="R114" s="182"/>
      <c r="S114" s="183"/>
    </row>
    <row r="115" spans="1:19">
      <c r="A115" s="170"/>
      <c r="B115" s="184" t="s">
        <v>202</v>
      </c>
      <c r="C115" s="185"/>
      <c r="D115" s="185"/>
      <c r="E115" s="185"/>
      <c r="F115" s="185"/>
      <c r="G115" s="185"/>
      <c r="H115" s="185"/>
      <c r="I115" s="183"/>
      <c r="J115" s="169"/>
      <c r="K115" s="170"/>
      <c r="L115" s="184" t="s">
        <v>202</v>
      </c>
      <c r="M115" s="184"/>
      <c r="N115" s="185"/>
      <c r="O115" s="185"/>
      <c r="P115" s="185"/>
      <c r="Q115" s="185"/>
      <c r="R115" s="185"/>
      <c r="S115" s="183"/>
    </row>
    <row r="116" spans="1:19" ht="14.25" customHeight="1">
      <c r="A116" s="170"/>
      <c r="B116" s="186" t="s">
        <v>111</v>
      </c>
      <c r="C116" s="186"/>
      <c r="D116" s="187"/>
      <c r="E116" s="186"/>
      <c r="F116" s="186"/>
      <c r="G116" s="187"/>
      <c r="H116" s="187">
        <f>+GENERAL!F15</f>
        <v>4877211</v>
      </c>
      <c r="I116" s="188"/>
      <c r="J116" s="187"/>
      <c r="K116" s="170"/>
      <c r="L116" s="186" t="s">
        <v>111</v>
      </c>
      <c r="M116" s="186"/>
      <c r="N116" s="187"/>
      <c r="O116" s="186"/>
      <c r="P116" s="186"/>
      <c r="Q116" s="187"/>
      <c r="R116" s="187">
        <f>+GENERAL!F16</f>
        <v>4877211</v>
      </c>
      <c r="S116" s="188"/>
    </row>
    <row r="117" spans="1:19" ht="14.25" customHeight="1">
      <c r="A117" s="170"/>
      <c r="B117" s="186" t="s">
        <v>203</v>
      </c>
      <c r="C117" s="186"/>
      <c r="D117" s="186"/>
      <c r="E117" s="186"/>
      <c r="F117" s="186"/>
      <c r="G117" s="187"/>
      <c r="H117" s="187">
        <f>+GENERAL!J15</f>
        <v>100000</v>
      </c>
      <c r="I117" s="188"/>
      <c r="J117" s="209"/>
      <c r="K117" s="170"/>
      <c r="L117" s="186" t="s">
        <v>203</v>
      </c>
      <c r="M117" s="186"/>
      <c r="N117" s="186"/>
      <c r="O117" s="186"/>
      <c r="P117" s="186"/>
      <c r="Q117" s="187"/>
      <c r="R117" s="187">
        <f>+GENERAL!J16</f>
        <v>0</v>
      </c>
      <c r="S117" s="188"/>
    </row>
    <row r="118" spans="1:19" ht="14.25" customHeight="1">
      <c r="A118" s="170"/>
      <c r="B118" s="186" t="s">
        <v>224</v>
      </c>
      <c r="C118" s="186"/>
      <c r="D118" s="186"/>
      <c r="E118" s="186"/>
      <c r="F118" s="186"/>
      <c r="G118" s="187"/>
      <c r="H118" s="187">
        <f>+GENERAL!T15</f>
        <v>448215.69090000005</v>
      </c>
      <c r="I118" s="188"/>
      <c r="J118" s="209"/>
      <c r="K118" s="170"/>
      <c r="L118" s="186" t="s">
        <v>224</v>
      </c>
      <c r="M118" s="186"/>
      <c r="N118" s="186"/>
      <c r="O118" s="186"/>
      <c r="P118" s="186"/>
      <c r="Q118" s="187"/>
      <c r="R118" s="187">
        <f>+GENERAL!T16</f>
        <v>448215.69090000005</v>
      </c>
      <c r="S118" s="188"/>
    </row>
    <row r="119" spans="1:19" ht="14.25" customHeight="1">
      <c r="A119" s="170"/>
      <c r="B119" s="186" t="s">
        <v>195</v>
      </c>
      <c r="C119" s="186"/>
      <c r="D119" s="187">
        <v>19</v>
      </c>
      <c r="E119" s="186" t="s">
        <v>204</v>
      </c>
      <c r="F119" s="186" t="s">
        <v>205</v>
      </c>
      <c r="G119" s="187">
        <v>6000</v>
      </c>
      <c r="H119" s="187">
        <f>+D119*G119</f>
        <v>114000</v>
      </c>
      <c r="I119" s="188"/>
      <c r="J119" s="187"/>
      <c r="K119" s="170"/>
      <c r="L119" s="186" t="s">
        <v>195</v>
      </c>
      <c r="M119" s="186"/>
      <c r="N119" s="187">
        <f>'[2]G-STAFF'!Z41</f>
        <v>20</v>
      </c>
      <c r="O119" s="186" t="s">
        <v>204</v>
      </c>
      <c r="P119" s="186" t="s">
        <v>205</v>
      </c>
      <c r="Q119" s="187">
        <v>6000</v>
      </c>
      <c r="R119" s="187">
        <f>+GENERAL!M16</f>
        <v>120000</v>
      </c>
      <c r="S119" s="188"/>
    </row>
    <row r="120" spans="1:19" ht="14.25" customHeight="1">
      <c r="A120" s="170"/>
      <c r="B120" s="186" t="s">
        <v>217</v>
      </c>
      <c r="C120" s="186"/>
      <c r="D120" s="186"/>
      <c r="E120" s="186"/>
      <c r="F120" s="186"/>
      <c r="G120" s="187"/>
      <c r="H120" s="187"/>
      <c r="I120" s="188"/>
      <c r="J120" s="209"/>
      <c r="K120" s="170"/>
      <c r="L120" s="186" t="s">
        <v>217</v>
      </c>
      <c r="M120" s="186"/>
      <c r="N120" s="186"/>
      <c r="O120" s="186"/>
      <c r="P120" s="186"/>
      <c r="Q120" s="187"/>
      <c r="R120" s="187">
        <v>0</v>
      </c>
      <c r="S120" s="188"/>
    </row>
    <row r="121" spans="1:19" ht="14.25" customHeight="1">
      <c r="A121" s="170"/>
      <c r="B121" s="186" t="s">
        <v>206</v>
      </c>
      <c r="C121" s="186"/>
      <c r="D121" s="212">
        <f>'[2]G-STAFF'!CH40</f>
        <v>10</v>
      </c>
      <c r="E121" s="186" t="s">
        <v>207</v>
      </c>
      <c r="F121" s="186" t="s">
        <v>205</v>
      </c>
      <c r="G121" s="187">
        <f>'[2]G-STAFF'!M40</f>
        <v>25222.890173410404</v>
      </c>
      <c r="H121" s="187">
        <f>G121*D121+7</f>
        <v>252235.90173410403</v>
      </c>
      <c r="I121" s="188"/>
      <c r="J121" s="187"/>
      <c r="K121" s="170"/>
      <c r="L121" s="186" t="s">
        <v>206</v>
      </c>
      <c r="M121" s="186"/>
      <c r="N121" s="212">
        <f>'[2]G-STAFF'!CH41</f>
        <v>10</v>
      </c>
      <c r="O121" s="186" t="s">
        <v>207</v>
      </c>
      <c r="P121" s="186" t="s">
        <v>205</v>
      </c>
      <c r="Q121" s="187">
        <f>'[2]G-STAFF'!M41</f>
        <v>25222.890173410404</v>
      </c>
      <c r="R121" s="187">
        <f>Q121*N121+6</f>
        <v>252234.90173410403</v>
      </c>
      <c r="S121" s="188"/>
    </row>
    <row r="122" spans="1:19" ht="14.25" customHeight="1" thickBot="1">
      <c r="A122" s="170"/>
      <c r="B122" s="190" t="s">
        <v>208</v>
      </c>
      <c r="C122" s="190"/>
      <c r="D122" s="213">
        <f>'[2]G-STAFF'!CG40</f>
        <v>53.5</v>
      </c>
      <c r="E122" s="190" t="s">
        <v>207</v>
      </c>
      <c r="F122" s="190" t="s">
        <v>205</v>
      </c>
      <c r="G122" s="192">
        <f>G121</f>
        <v>25222.890173410404</v>
      </c>
      <c r="H122" s="192">
        <f>G122*D122</f>
        <v>1349424.6242774567</v>
      </c>
      <c r="I122" s="188"/>
      <c r="J122" s="187"/>
      <c r="K122" s="170"/>
      <c r="L122" s="190" t="s">
        <v>208</v>
      </c>
      <c r="M122" s="190"/>
      <c r="N122" s="213">
        <f>'[2]G-STAFF'!CG41</f>
        <v>44</v>
      </c>
      <c r="O122" s="190" t="s">
        <v>207</v>
      </c>
      <c r="P122" s="190" t="s">
        <v>205</v>
      </c>
      <c r="Q122" s="192">
        <f>Q121</f>
        <v>25222.890173410404</v>
      </c>
      <c r="R122" s="192">
        <f>Q122*N122</f>
        <v>1109807.1676300578</v>
      </c>
      <c r="S122" s="188"/>
    </row>
    <row r="123" spans="1:19" ht="15.75" thickBot="1">
      <c r="A123" s="170"/>
      <c r="B123" s="190" t="s">
        <v>219</v>
      </c>
      <c r="C123" s="190"/>
      <c r="D123" s="213">
        <f>'[2]G-STAFF'!CI40</f>
        <v>63.5</v>
      </c>
      <c r="E123" s="190"/>
      <c r="F123" s="190"/>
      <c r="G123" s="192"/>
      <c r="H123" s="192">
        <f>SUM(H116:H122)</f>
        <v>7141087.2169115609</v>
      </c>
      <c r="I123" s="188"/>
      <c r="J123" s="187"/>
      <c r="K123" s="170"/>
      <c r="L123" s="190" t="s">
        <v>219</v>
      </c>
      <c r="M123" s="190"/>
      <c r="N123" s="213">
        <f>'[2]G-STAFF'!CI41</f>
        <v>54</v>
      </c>
      <c r="O123" s="190"/>
      <c r="P123" s="190"/>
      <c r="Q123" s="192"/>
      <c r="R123" s="192">
        <f>SUM(R116:R122)</f>
        <v>6807468.760264162</v>
      </c>
      <c r="S123" s="188"/>
    </row>
    <row r="124" spans="1:19" ht="10.5" customHeight="1" thickTop="1">
      <c r="A124" s="170"/>
      <c r="B124" s="182"/>
      <c r="C124" s="182"/>
      <c r="D124" s="182"/>
      <c r="E124" s="182"/>
      <c r="F124" s="182"/>
      <c r="G124" s="182"/>
      <c r="H124" s="182"/>
      <c r="I124" s="183"/>
      <c r="J124" s="169"/>
      <c r="K124" s="170"/>
      <c r="L124" s="182"/>
      <c r="M124" s="182"/>
      <c r="N124" s="182"/>
      <c r="O124" s="182"/>
      <c r="P124" s="182"/>
      <c r="Q124" s="182"/>
      <c r="R124" s="182"/>
      <c r="S124" s="183"/>
    </row>
    <row r="125" spans="1:19">
      <c r="A125" s="170"/>
      <c r="B125" s="196" t="s">
        <v>113</v>
      </c>
      <c r="C125" s="186"/>
      <c r="D125" s="186"/>
      <c r="E125" s="186"/>
      <c r="F125" s="186"/>
      <c r="G125" s="187"/>
      <c r="H125" s="187"/>
      <c r="I125" s="188"/>
      <c r="J125" s="209"/>
      <c r="K125" s="170"/>
      <c r="L125" s="196" t="s">
        <v>113</v>
      </c>
      <c r="M125" s="186"/>
      <c r="N125" s="186"/>
      <c r="O125" s="186"/>
      <c r="P125" s="186"/>
      <c r="Q125" s="187"/>
      <c r="R125" s="187"/>
      <c r="S125" s="188"/>
    </row>
    <row r="126" spans="1:19" ht="14.25" customHeight="1">
      <c r="A126" s="170"/>
      <c r="B126" s="186" t="s">
        <v>209</v>
      </c>
      <c r="C126" s="186"/>
      <c r="D126" s="197"/>
      <c r="E126" s="186"/>
      <c r="F126" s="186"/>
      <c r="G126" s="198" t="str">
        <f>'[2]G-STAFF'!C40</f>
        <v>K1</v>
      </c>
      <c r="H126" s="187">
        <f>+GENERAL!AA15</f>
        <v>32642</v>
      </c>
      <c r="I126" s="188"/>
      <c r="J126" s="209"/>
      <c r="K126" s="170"/>
      <c r="L126" s="186" t="s">
        <v>209</v>
      </c>
      <c r="M126" s="186"/>
      <c r="N126" s="198"/>
      <c r="O126" s="186"/>
      <c r="P126" s="186"/>
      <c r="Q126" s="198" t="str">
        <f>'[2]G-STAFF'!C41</f>
        <v>K</v>
      </c>
      <c r="R126" s="187">
        <f>+GENERAL!AA16</f>
        <v>45509</v>
      </c>
      <c r="S126" s="188"/>
    </row>
    <row r="127" spans="1:19" ht="14.25" customHeight="1">
      <c r="A127" s="170"/>
      <c r="B127" s="186" t="s">
        <v>225</v>
      </c>
      <c r="C127" s="186"/>
      <c r="D127" s="197"/>
      <c r="E127" s="186"/>
      <c r="F127" s="186"/>
      <c r="G127" s="198"/>
      <c r="H127" s="187">
        <f>+GENERAL!X15+GENERAL!Y15</f>
        <v>48772.11</v>
      </c>
      <c r="I127" s="188"/>
      <c r="J127" s="209"/>
      <c r="K127" s="170"/>
      <c r="L127" s="186" t="s">
        <v>225</v>
      </c>
      <c r="M127" s="186"/>
      <c r="N127" s="198"/>
      <c r="O127" s="186"/>
      <c r="P127" s="186"/>
      <c r="Q127" s="198"/>
      <c r="R127" s="187">
        <f>+GENERAL!X16+GENERAL!Y16</f>
        <v>48772.11</v>
      </c>
      <c r="S127" s="188"/>
    </row>
    <row r="128" spans="1:19" ht="14.25" customHeight="1">
      <c r="A128" s="170"/>
      <c r="B128" s="186" t="s">
        <v>226</v>
      </c>
      <c r="C128" s="186"/>
      <c r="D128" s="197"/>
      <c r="E128" s="186"/>
      <c r="F128" s="186"/>
      <c r="G128" s="198"/>
      <c r="H128" s="187">
        <f>+GENERAL!V15+GENERAL!W15</f>
        <v>146316.33000000002</v>
      </c>
      <c r="I128" s="188"/>
      <c r="J128" s="209"/>
      <c r="K128" s="170"/>
      <c r="L128" s="186" t="s">
        <v>226</v>
      </c>
      <c r="M128" s="186"/>
      <c r="N128" s="198"/>
      <c r="O128" s="186"/>
      <c r="P128" s="186"/>
      <c r="Q128" s="198"/>
      <c r="R128" s="187">
        <f>+GENERAL!V17+GENERAL!W17</f>
        <v>146316.33000000002</v>
      </c>
      <c r="S128" s="188"/>
    </row>
    <row r="129" spans="1:20" ht="14.25" customHeight="1">
      <c r="A129" s="170"/>
      <c r="B129" s="186" t="s">
        <v>103</v>
      </c>
      <c r="C129" s="186"/>
      <c r="D129" s="186"/>
      <c r="E129" s="186"/>
      <c r="F129" s="186"/>
      <c r="G129" s="187"/>
      <c r="H129" s="187">
        <f>+H118</f>
        <v>448215.69090000005</v>
      </c>
      <c r="I129" s="188"/>
      <c r="J129" s="209"/>
      <c r="K129" s="170"/>
      <c r="L129" s="186" t="s">
        <v>103</v>
      </c>
      <c r="M129" s="186"/>
      <c r="N129" s="186"/>
      <c r="O129" s="186"/>
      <c r="P129" s="186"/>
      <c r="Q129" s="187"/>
      <c r="R129" s="187">
        <f>+R118</f>
        <v>448215.69090000005</v>
      </c>
      <c r="S129" s="188"/>
    </row>
    <row r="130" spans="1:20" ht="14.25" customHeight="1" thickBot="1">
      <c r="A130" s="170"/>
      <c r="B130" s="190" t="s">
        <v>211</v>
      </c>
      <c r="C130" s="190"/>
      <c r="D130" s="190"/>
      <c r="E130" s="190"/>
      <c r="F130" s="190"/>
      <c r="G130" s="192"/>
      <c r="H130" s="192">
        <f>SUM(H126:H129)</f>
        <v>675946.13089999999</v>
      </c>
      <c r="I130" s="188"/>
      <c r="J130" s="209"/>
      <c r="K130" s="170"/>
      <c r="L130" s="190" t="s">
        <v>211</v>
      </c>
      <c r="M130" s="190"/>
      <c r="N130" s="190"/>
      <c r="O130" s="190"/>
      <c r="P130" s="190"/>
      <c r="Q130" s="192"/>
      <c r="R130" s="192">
        <f>SUM(R126:R129)</f>
        <v>688813.13089999999</v>
      </c>
      <c r="S130" s="188"/>
    </row>
    <row r="131" spans="1:20" ht="15.75" thickBot="1">
      <c r="A131" s="170"/>
      <c r="B131" s="193" t="s">
        <v>220</v>
      </c>
      <c r="C131" s="193"/>
      <c r="D131" s="193"/>
      <c r="E131" s="193"/>
      <c r="F131" s="193"/>
      <c r="G131" s="195"/>
      <c r="H131" s="195">
        <f>SUM(H123-H130)</f>
        <v>6465141.0860115606</v>
      </c>
      <c r="I131" s="188"/>
      <c r="J131" s="209"/>
      <c r="K131" s="170"/>
      <c r="L131" s="193" t="s">
        <v>220</v>
      </c>
      <c r="M131" s="193"/>
      <c r="N131" s="193"/>
      <c r="O131" s="193"/>
      <c r="P131" s="193"/>
      <c r="Q131" s="195"/>
      <c r="R131" s="195">
        <f>SUM(R123-R130)</f>
        <v>6118655.6293641618</v>
      </c>
      <c r="S131" s="188"/>
      <c r="T131" s="218"/>
    </row>
    <row r="132" spans="1:20">
      <c r="A132" s="170"/>
      <c r="B132" s="186" t="s">
        <v>221</v>
      </c>
      <c r="C132" s="186"/>
      <c r="D132" s="186"/>
      <c r="E132" s="186"/>
      <c r="F132" s="186"/>
      <c r="G132" s="187"/>
      <c r="H132" s="187">
        <f>'[2]Urutan Nm'!H73</f>
        <v>10000</v>
      </c>
      <c r="I132" s="188"/>
      <c r="J132" s="209"/>
      <c r="K132" s="170"/>
      <c r="L132" s="186" t="s">
        <v>221</v>
      </c>
      <c r="M132" s="186"/>
      <c r="N132" s="186"/>
      <c r="O132" s="186"/>
      <c r="P132" s="186"/>
      <c r="Q132" s="187"/>
      <c r="R132" s="187">
        <f>'[2]Urutan Nm'!H74</f>
        <v>10000</v>
      </c>
      <c r="S132" s="188"/>
      <c r="T132" s="218"/>
    </row>
    <row r="133" spans="1:20" ht="10.5" customHeight="1" thickBot="1">
      <c r="A133" s="170"/>
      <c r="B133" s="199"/>
      <c r="C133" s="190"/>
      <c r="D133" s="190"/>
      <c r="E133" s="190"/>
      <c r="F133" s="190"/>
      <c r="G133" s="192"/>
      <c r="H133" s="192"/>
      <c r="I133" s="188"/>
      <c r="J133" s="187"/>
      <c r="K133" s="170"/>
      <c r="L133" s="199"/>
      <c r="M133" s="190"/>
      <c r="N133" s="190"/>
      <c r="O133" s="190"/>
      <c r="P133" s="190"/>
      <c r="Q133" s="192"/>
      <c r="R133" s="192"/>
      <c r="S133" s="188"/>
    </row>
    <row r="134" spans="1:20" ht="15.75" thickBot="1">
      <c r="A134" s="170"/>
      <c r="B134" s="200" t="s">
        <v>212</v>
      </c>
      <c r="C134" s="200"/>
      <c r="D134" s="200"/>
      <c r="E134" s="200"/>
      <c r="F134" s="200"/>
      <c r="G134" s="201"/>
      <c r="H134" s="201">
        <f>SUM(H131-H132)</f>
        <v>6455141.0860115606</v>
      </c>
      <c r="I134" s="188"/>
      <c r="J134" s="187"/>
      <c r="K134" s="170"/>
      <c r="L134" s="200" t="s">
        <v>212</v>
      </c>
      <c r="M134" s="200"/>
      <c r="N134" s="200"/>
      <c r="O134" s="200"/>
      <c r="P134" s="200"/>
      <c r="Q134" s="201"/>
      <c r="R134" s="201">
        <f>SUM(R131-R132)</f>
        <v>6108655.6293641618</v>
      </c>
      <c r="S134" s="188"/>
      <c r="T134" s="218"/>
    </row>
    <row r="135" spans="1:20" ht="15.75" thickTop="1">
      <c r="A135" s="170"/>
      <c r="B135" s="202" t="s">
        <v>213</v>
      </c>
      <c r="C135" s="186"/>
      <c r="D135" s="186"/>
      <c r="E135" s="186"/>
      <c r="F135" s="186"/>
      <c r="G135" s="296" t="s">
        <v>214</v>
      </c>
      <c r="H135" s="296"/>
      <c r="I135" s="188"/>
      <c r="J135" s="187"/>
      <c r="K135" s="170"/>
      <c r="L135" s="202" t="s">
        <v>213</v>
      </c>
      <c r="M135" s="186"/>
      <c r="N135" s="186"/>
      <c r="O135" s="186"/>
      <c r="P135" s="186"/>
      <c r="Q135" s="296" t="s">
        <v>214</v>
      </c>
      <c r="R135" s="296"/>
      <c r="S135" s="188"/>
    </row>
    <row r="136" spans="1:20">
      <c r="A136" s="170"/>
      <c r="B136" s="186"/>
      <c r="C136" s="186"/>
      <c r="D136" s="186"/>
      <c r="E136" s="186"/>
      <c r="F136" s="186"/>
      <c r="G136" s="187"/>
      <c r="H136" s="187"/>
      <c r="I136" s="188"/>
      <c r="J136" s="187"/>
      <c r="K136" s="170"/>
      <c r="L136" s="186"/>
      <c r="M136" s="186"/>
      <c r="N136" s="186"/>
      <c r="O136" s="186"/>
      <c r="P136" s="186"/>
      <c r="Q136" s="187"/>
      <c r="R136" s="187"/>
      <c r="S136" s="188"/>
    </row>
    <row r="137" spans="1:20">
      <c r="A137" s="170"/>
      <c r="B137" s="186"/>
      <c r="C137" s="186"/>
      <c r="D137" s="186"/>
      <c r="E137" s="186"/>
      <c r="F137" s="186"/>
      <c r="G137" s="187"/>
      <c r="H137" s="187"/>
      <c r="I137" s="188"/>
      <c r="J137" s="187"/>
      <c r="K137" s="170"/>
      <c r="L137" s="186"/>
      <c r="M137" s="186"/>
      <c r="N137" s="186"/>
      <c r="O137" s="186"/>
      <c r="P137" s="186"/>
      <c r="Q137" s="187"/>
      <c r="R137" s="187"/>
      <c r="S137" s="188"/>
    </row>
    <row r="138" spans="1:20">
      <c r="A138" s="170"/>
      <c r="B138" s="203" t="s">
        <v>215</v>
      </c>
      <c r="C138" s="186"/>
      <c r="D138" s="186"/>
      <c r="E138" s="186"/>
      <c r="F138" s="186"/>
      <c r="G138" s="297" t="s">
        <v>216</v>
      </c>
      <c r="H138" s="297"/>
      <c r="I138" s="188"/>
      <c r="J138" s="187"/>
      <c r="K138" s="170"/>
      <c r="L138" s="203" t="s">
        <v>215</v>
      </c>
      <c r="M138" s="186"/>
      <c r="N138" s="186"/>
      <c r="O138" s="186"/>
      <c r="P138" s="186"/>
      <c r="Q138" s="297" t="s">
        <v>216</v>
      </c>
      <c r="R138" s="297"/>
      <c r="S138" s="188"/>
    </row>
    <row r="139" spans="1:20">
      <c r="A139" s="204"/>
      <c r="B139" s="205"/>
      <c r="C139" s="206"/>
      <c r="D139" s="206"/>
      <c r="E139" s="206"/>
      <c r="F139" s="206"/>
      <c r="G139" s="207"/>
      <c r="H139" s="205"/>
      <c r="I139" s="208"/>
      <c r="J139" s="187"/>
      <c r="K139" s="204"/>
      <c r="L139" s="205"/>
      <c r="M139" s="206"/>
      <c r="N139" s="206"/>
      <c r="O139" s="206"/>
      <c r="P139" s="206"/>
      <c r="Q139" s="207"/>
      <c r="R139" s="205"/>
      <c r="S139" s="208"/>
    </row>
    <row r="140" spans="1:20">
      <c r="A140" s="169"/>
      <c r="B140" s="186"/>
      <c r="C140" s="186"/>
      <c r="D140" s="186"/>
      <c r="E140" s="186"/>
      <c r="F140" s="186"/>
      <c r="G140" s="187"/>
      <c r="H140" s="186"/>
      <c r="I140" s="187"/>
      <c r="J140" s="187"/>
      <c r="K140" s="169"/>
      <c r="L140" s="186"/>
      <c r="M140" s="186"/>
      <c r="N140" s="186"/>
      <c r="O140" s="186"/>
      <c r="P140" s="186"/>
      <c r="Q140" s="187"/>
      <c r="R140" s="187"/>
      <c r="S140" s="187"/>
    </row>
    <row r="141" spans="1:20">
      <c r="A141" s="166"/>
      <c r="B141" s="167"/>
      <c r="C141" s="167"/>
      <c r="D141" s="167"/>
      <c r="E141" s="167"/>
      <c r="F141" s="167"/>
      <c r="G141" s="167"/>
      <c r="H141" s="167"/>
      <c r="I141" s="168"/>
      <c r="J141" s="169"/>
      <c r="K141" s="166"/>
      <c r="L141" s="167"/>
      <c r="M141" s="167"/>
      <c r="N141" s="167"/>
      <c r="O141" s="167"/>
      <c r="P141" s="167"/>
      <c r="Q141" s="167"/>
      <c r="R141" s="167"/>
      <c r="S141" s="168"/>
    </row>
    <row r="142" spans="1:20">
      <c r="A142" s="170"/>
      <c r="B142" s="169"/>
      <c r="C142" s="169"/>
      <c r="D142" s="169"/>
      <c r="E142" s="169"/>
      <c r="F142" s="169"/>
      <c r="G142" s="169"/>
      <c r="H142" s="169"/>
      <c r="I142" s="171"/>
      <c r="J142" s="169"/>
      <c r="K142" s="170"/>
      <c r="L142" s="169"/>
      <c r="M142" s="169"/>
      <c r="N142" s="169"/>
      <c r="O142" s="169"/>
      <c r="P142" s="169"/>
      <c r="Q142" s="169"/>
      <c r="R142" s="169"/>
      <c r="S142" s="171"/>
    </row>
    <row r="143" spans="1:20">
      <c r="A143" s="170"/>
      <c r="B143" s="169"/>
      <c r="C143" s="169"/>
      <c r="D143" s="169"/>
      <c r="E143" s="169"/>
      <c r="F143" s="169"/>
      <c r="G143" s="169"/>
      <c r="H143" s="169"/>
      <c r="I143" s="171"/>
      <c r="J143" s="169"/>
      <c r="K143" s="170"/>
      <c r="L143" s="169"/>
      <c r="M143" s="169"/>
      <c r="N143" s="169"/>
      <c r="O143" s="169"/>
      <c r="P143" s="169"/>
      <c r="Q143" s="169"/>
      <c r="R143" s="169"/>
      <c r="S143" s="171"/>
    </row>
    <row r="144" spans="1:20">
      <c r="A144" s="170"/>
      <c r="B144" s="294" t="s">
        <v>196</v>
      </c>
      <c r="C144" s="294"/>
      <c r="D144" s="294"/>
      <c r="E144" s="294"/>
      <c r="F144" s="294"/>
      <c r="G144" s="294"/>
      <c r="H144" s="294"/>
      <c r="I144" s="295"/>
      <c r="J144" s="169"/>
      <c r="K144" s="170"/>
      <c r="L144" s="294" t="s">
        <v>196</v>
      </c>
      <c r="M144" s="294"/>
      <c r="N144" s="294"/>
      <c r="O144" s="294"/>
      <c r="P144" s="294"/>
      <c r="Q144" s="294"/>
      <c r="R144" s="294"/>
      <c r="S144" s="295"/>
    </row>
    <row r="145" spans="1:19">
      <c r="A145" s="172"/>
      <c r="B145" s="173" t="s">
        <v>197</v>
      </c>
      <c r="C145" s="174" t="s">
        <v>198</v>
      </c>
      <c r="D145" s="211">
        <f>'[2]G-STAFF'!A42</f>
        <v>8</v>
      </c>
      <c r="E145" s="173"/>
      <c r="F145" s="173"/>
      <c r="G145" s="173"/>
      <c r="H145" s="173"/>
      <c r="I145" s="176"/>
      <c r="J145" s="173"/>
      <c r="K145" s="172"/>
      <c r="L145" s="173" t="s">
        <v>197</v>
      </c>
      <c r="M145" s="174" t="s">
        <v>198</v>
      </c>
      <c r="N145" s="211">
        <f>'[2]G-STAFF'!A43</f>
        <v>9</v>
      </c>
      <c r="O145" s="175"/>
      <c r="P145" s="173"/>
      <c r="Q145" s="173"/>
      <c r="R145" s="173"/>
      <c r="S145" s="176"/>
    </row>
    <row r="146" spans="1:19">
      <c r="A146" s="172"/>
      <c r="B146" s="173" t="s">
        <v>199</v>
      </c>
      <c r="C146" s="174" t="s">
        <v>198</v>
      </c>
      <c r="D146" s="177" t="str">
        <f>'[2]G-STAFF'!A3</f>
        <v>01 JANUARI  S/D  31 JANUARI  2025</v>
      </c>
      <c r="E146" s="173"/>
      <c r="F146" s="173"/>
      <c r="G146" s="173"/>
      <c r="H146" s="173"/>
      <c r="I146" s="176"/>
      <c r="J146" s="173"/>
      <c r="K146" s="172"/>
      <c r="L146" s="173" t="s">
        <v>199</v>
      </c>
      <c r="M146" s="174" t="s">
        <v>198</v>
      </c>
      <c r="N146" s="177" t="str">
        <f>'[2]G-STAFF'!A3</f>
        <v>01 JANUARI  S/D  31 JANUARI  2025</v>
      </c>
      <c r="O146" s="179"/>
      <c r="P146" s="173"/>
      <c r="Q146" s="173"/>
      <c r="R146" s="173"/>
      <c r="S146" s="176"/>
    </row>
    <row r="147" spans="1:19">
      <c r="A147" s="172"/>
      <c r="B147" s="173" t="s">
        <v>200</v>
      </c>
      <c r="C147" s="174" t="s">
        <v>198</v>
      </c>
      <c r="D147" s="177" t="str">
        <f>'[2]G-STAFF'!B42</f>
        <v>UDI</v>
      </c>
      <c r="E147" s="173"/>
      <c r="F147" s="173"/>
      <c r="G147" s="173"/>
      <c r="H147" s="173"/>
      <c r="I147" s="176"/>
      <c r="J147" s="173"/>
      <c r="K147" s="172"/>
      <c r="L147" s="173" t="s">
        <v>200</v>
      </c>
      <c r="M147" s="174" t="s">
        <v>198</v>
      </c>
      <c r="N147" s="178" t="str">
        <f>'[2]G-STAFF'!B43</f>
        <v>ANDI</v>
      </c>
      <c r="O147" s="173"/>
      <c r="P147" s="173"/>
      <c r="Q147" s="173"/>
      <c r="R147" s="173"/>
      <c r="S147" s="176"/>
    </row>
    <row r="148" spans="1:19" ht="15.75" thickBot="1">
      <c r="A148" s="172"/>
      <c r="B148" s="173" t="s">
        <v>201</v>
      </c>
      <c r="C148" s="174" t="s">
        <v>198</v>
      </c>
      <c r="D148" s="177" t="str">
        <f>'[2]G-STAFF'!H42</f>
        <v>DRIVER</v>
      </c>
      <c r="E148" s="173"/>
      <c r="F148" s="173"/>
      <c r="G148" s="173"/>
      <c r="H148" s="173"/>
      <c r="I148" s="176"/>
      <c r="J148" s="173"/>
      <c r="K148" s="172"/>
      <c r="L148" s="173" t="s">
        <v>201</v>
      </c>
      <c r="M148" s="174" t="s">
        <v>198</v>
      </c>
      <c r="N148" s="178" t="str">
        <f>'[2]G-STAFF'!H43</f>
        <v>DRIVER</v>
      </c>
      <c r="O148" s="179"/>
      <c r="P148" s="173"/>
      <c r="Q148" s="173"/>
      <c r="R148" s="173"/>
      <c r="S148" s="176"/>
    </row>
    <row r="149" spans="1:19" ht="10.5" customHeight="1" thickTop="1">
      <c r="A149" s="170"/>
      <c r="B149" s="182"/>
      <c r="C149" s="182"/>
      <c r="D149" s="182"/>
      <c r="E149" s="182"/>
      <c r="F149" s="182"/>
      <c r="G149" s="182"/>
      <c r="H149" s="182"/>
      <c r="I149" s="183"/>
      <c r="J149" s="169"/>
      <c r="K149" s="170"/>
      <c r="L149" s="182"/>
      <c r="M149" s="182"/>
      <c r="N149" s="182"/>
      <c r="O149" s="182"/>
      <c r="P149" s="182"/>
      <c r="Q149" s="182"/>
      <c r="R149" s="182"/>
      <c r="S149" s="183"/>
    </row>
    <row r="150" spans="1:19">
      <c r="A150" s="170"/>
      <c r="B150" s="184" t="s">
        <v>202</v>
      </c>
      <c r="C150" s="185"/>
      <c r="D150" s="185"/>
      <c r="E150" s="185"/>
      <c r="F150" s="185"/>
      <c r="G150" s="185"/>
      <c r="H150" s="185"/>
      <c r="I150" s="183"/>
      <c r="J150" s="169"/>
      <c r="K150" s="170"/>
      <c r="L150" s="184" t="s">
        <v>202</v>
      </c>
      <c r="M150" s="184"/>
      <c r="N150" s="185"/>
      <c r="O150" s="185"/>
      <c r="P150" s="185"/>
      <c r="Q150" s="185"/>
      <c r="R150" s="185"/>
      <c r="S150" s="183"/>
    </row>
    <row r="151" spans="1:19" ht="14.25" customHeight="1">
      <c r="A151" s="170"/>
      <c r="B151" s="186" t="s">
        <v>111</v>
      </c>
      <c r="C151" s="186"/>
      <c r="D151" s="187"/>
      <c r="E151" s="186"/>
      <c r="F151" s="186"/>
      <c r="G151" s="187"/>
      <c r="H151" s="187">
        <f>+GENERAL!F17</f>
        <v>4594855</v>
      </c>
      <c r="I151" s="188"/>
      <c r="J151" s="187"/>
      <c r="K151" s="170"/>
      <c r="L151" s="186" t="s">
        <v>111</v>
      </c>
      <c r="M151" s="186"/>
      <c r="N151" s="187"/>
      <c r="O151" s="186"/>
      <c r="P151" s="186"/>
      <c r="Q151" s="187"/>
      <c r="R151" s="187">
        <f>+GENERAL!F18</f>
        <v>4594855</v>
      </c>
      <c r="S151" s="188"/>
    </row>
    <row r="152" spans="1:19" ht="14.25" customHeight="1">
      <c r="A152" s="170"/>
      <c r="B152" s="186" t="s">
        <v>203</v>
      </c>
      <c r="C152" s="186"/>
      <c r="D152" s="187"/>
      <c r="E152" s="186"/>
      <c r="F152" s="186"/>
      <c r="G152" s="187"/>
      <c r="H152" s="187">
        <f>+GENERAL!J17</f>
        <v>0</v>
      </c>
      <c r="I152" s="188"/>
      <c r="J152" s="187"/>
      <c r="K152" s="170"/>
      <c r="L152" s="186" t="s">
        <v>203</v>
      </c>
      <c r="M152" s="186"/>
      <c r="N152" s="187"/>
      <c r="O152" s="186"/>
      <c r="P152" s="186"/>
      <c r="Q152" s="187"/>
      <c r="R152" s="187">
        <f>+GENERAL!J18</f>
        <v>0</v>
      </c>
      <c r="S152" s="188"/>
    </row>
    <row r="153" spans="1:19" ht="14.25" customHeight="1">
      <c r="A153" s="170"/>
      <c r="B153" s="186" t="s">
        <v>224</v>
      </c>
      <c r="C153" s="186"/>
      <c r="D153" s="186"/>
      <c r="E153" s="186"/>
      <c r="F153" s="186"/>
      <c r="G153" s="187"/>
      <c r="H153" s="187">
        <f>+GENERAL!T17</f>
        <v>448215.69090000005</v>
      </c>
      <c r="I153" s="188"/>
      <c r="J153" s="209"/>
      <c r="K153" s="170"/>
      <c r="L153" s="186" t="s">
        <v>224</v>
      </c>
      <c r="M153" s="186"/>
      <c r="N153" s="186"/>
      <c r="O153" s="186"/>
      <c r="P153" s="186"/>
      <c r="Q153" s="187"/>
      <c r="R153" s="187">
        <f>+GENERAL!T18</f>
        <v>448215.69090000005</v>
      </c>
      <c r="S153" s="188"/>
    </row>
    <row r="154" spans="1:19" ht="14.25" customHeight="1">
      <c r="A154" s="170"/>
      <c r="B154" s="186" t="s">
        <v>195</v>
      </c>
      <c r="C154" s="186"/>
      <c r="D154" s="187">
        <f>'[2]G-STAFF'!Z42</f>
        <v>18</v>
      </c>
      <c r="E154" s="186" t="s">
        <v>204</v>
      </c>
      <c r="F154" s="186" t="s">
        <v>205</v>
      </c>
      <c r="G154" s="187">
        <v>6000</v>
      </c>
      <c r="H154" s="187">
        <f>G154*D154</f>
        <v>108000</v>
      </c>
      <c r="I154" s="188"/>
      <c r="J154" s="187"/>
      <c r="K154" s="170"/>
      <c r="L154" s="186" t="s">
        <v>195</v>
      </c>
      <c r="M154" s="186"/>
      <c r="N154" s="187">
        <f>'[2]G-STAFF'!Z43</f>
        <v>20</v>
      </c>
      <c r="O154" s="186" t="s">
        <v>204</v>
      </c>
      <c r="P154" s="186" t="s">
        <v>205</v>
      </c>
      <c r="Q154" s="187">
        <v>6000</v>
      </c>
      <c r="R154" s="187">
        <f>+GENERAL!M18</f>
        <v>114000</v>
      </c>
      <c r="S154" s="188"/>
    </row>
    <row r="155" spans="1:19" ht="14.25" customHeight="1">
      <c r="A155" s="170"/>
      <c r="B155" s="186" t="s">
        <v>217</v>
      </c>
      <c r="C155" s="186"/>
      <c r="D155" s="186"/>
      <c r="E155" s="186"/>
      <c r="F155" s="186"/>
      <c r="G155" s="187"/>
      <c r="H155" s="187"/>
      <c r="I155" s="188"/>
      <c r="J155" s="209"/>
      <c r="K155" s="170"/>
      <c r="L155" s="186" t="s">
        <v>217</v>
      </c>
      <c r="M155" s="186"/>
      <c r="N155" s="186"/>
      <c r="O155" s="186"/>
      <c r="P155" s="186"/>
      <c r="Q155" s="187"/>
      <c r="R155" s="187">
        <v>0</v>
      </c>
      <c r="S155" s="188"/>
    </row>
    <row r="156" spans="1:19" ht="14.25" customHeight="1">
      <c r="A156" s="170"/>
      <c r="B156" s="186" t="s">
        <v>206</v>
      </c>
      <c r="C156" s="186"/>
      <c r="D156" s="212">
        <f>'[2]G-STAFF'!CH42</f>
        <v>32</v>
      </c>
      <c r="E156" s="186" t="s">
        <v>207</v>
      </c>
      <c r="F156" s="186" t="s">
        <v>205</v>
      </c>
      <c r="G156" s="187">
        <f>'[2]G-STAFF'!M42</f>
        <v>24252.832369942196</v>
      </c>
      <c r="H156" s="187">
        <f>G156*D156+34</f>
        <v>776124.63583815028</v>
      </c>
      <c r="I156" s="188"/>
      <c r="J156" s="187"/>
      <c r="K156" s="170"/>
      <c r="L156" s="186" t="s">
        <v>206</v>
      </c>
      <c r="M156" s="186"/>
      <c r="N156" s="212">
        <f>'[2]G-STAFF'!CH43</f>
        <v>10</v>
      </c>
      <c r="O156" s="186" t="s">
        <v>207</v>
      </c>
      <c r="P156" s="186" t="s">
        <v>205</v>
      </c>
      <c r="Q156" s="187">
        <f>'[2]G-STAFF'!M43</f>
        <v>24252.832369942196</v>
      </c>
      <c r="R156" s="187">
        <f>Q156*N156</f>
        <v>242528.32369942195</v>
      </c>
      <c r="S156" s="188"/>
    </row>
    <row r="157" spans="1:19" ht="14.25" customHeight="1" thickBot="1">
      <c r="A157" s="170"/>
      <c r="B157" s="190" t="s">
        <v>208</v>
      </c>
      <c r="C157" s="190"/>
      <c r="D157" s="213">
        <f>'[2]G-STAFF'!CG42</f>
        <v>166.5</v>
      </c>
      <c r="E157" s="190" t="s">
        <v>207</v>
      </c>
      <c r="F157" s="190" t="s">
        <v>205</v>
      </c>
      <c r="G157" s="192">
        <f>G156</f>
        <v>24252.832369942196</v>
      </c>
      <c r="H157" s="192">
        <f>G157*D157</f>
        <v>4038096.5895953756</v>
      </c>
      <c r="I157" s="188"/>
      <c r="J157" s="187"/>
      <c r="K157" s="170"/>
      <c r="L157" s="190" t="s">
        <v>208</v>
      </c>
      <c r="M157" s="190"/>
      <c r="N157" s="213">
        <f>'[2]G-STAFF'!CG43</f>
        <v>79.5</v>
      </c>
      <c r="O157" s="190" t="s">
        <v>207</v>
      </c>
      <c r="P157" s="190" t="s">
        <v>205</v>
      </c>
      <c r="Q157" s="192">
        <f>Q156</f>
        <v>24252.832369942196</v>
      </c>
      <c r="R157" s="192">
        <f>Q157*N157+15</f>
        <v>1928115.1734104047</v>
      </c>
      <c r="S157" s="188"/>
    </row>
    <row r="158" spans="1:19" ht="15.75" thickBot="1">
      <c r="A158" s="170"/>
      <c r="B158" s="190" t="s">
        <v>219</v>
      </c>
      <c r="C158" s="190"/>
      <c r="D158" s="213">
        <f>'[2]G-STAFF'!CI42</f>
        <v>198.5</v>
      </c>
      <c r="E158" s="190"/>
      <c r="F158" s="190"/>
      <c r="G158" s="192"/>
      <c r="H158" s="192">
        <f>SUM(H151:H157)</f>
        <v>9965291.9163335264</v>
      </c>
      <c r="I158" s="188"/>
      <c r="J158" s="187"/>
      <c r="K158" s="170"/>
      <c r="L158" s="190" t="s">
        <v>219</v>
      </c>
      <c r="M158" s="190"/>
      <c r="N158" s="213">
        <f>'[2]G-STAFF'!CI43</f>
        <v>89.5</v>
      </c>
      <c r="O158" s="190"/>
      <c r="P158" s="190"/>
      <c r="Q158" s="192"/>
      <c r="R158" s="192">
        <f>SUM(R151:R157)</f>
        <v>7327714.1880098265</v>
      </c>
      <c r="S158" s="188"/>
    </row>
    <row r="159" spans="1:19" ht="10.5" customHeight="1" thickTop="1">
      <c r="A159" s="170"/>
      <c r="B159" s="182"/>
      <c r="C159" s="182"/>
      <c r="D159" s="182"/>
      <c r="E159" s="182"/>
      <c r="F159" s="182"/>
      <c r="G159" s="182"/>
      <c r="H159" s="182"/>
      <c r="I159" s="183"/>
      <c r="J159" s="169"/>
      <c r="K159" s="170"/>
      <c r="L159" s="182"/>
      <c r="M159" s="182"/>
      <c r="N159" s="182"/>
      <c r="O159" s="182"/>
      <c r="P159" s="182"/>
      <c r="Q159" s="182"/>
      <c r="R159" s="182"/>
      <c r="S159" s="183"/>
    </row>
    <row r="160" spans="1:19">
      <c r="A160" s="170"/>
      <c r="B160" s="196" t="s">
        <v>113</v>
      </c>
      <c r="C160" s="186"/>
      <c r="D160" s="186"/>
      <c r="E160" s="186"/>
      <c r="F160" s="186"/>
      <c r="G160" s="187"/>
      <c r="H160" s="187"/>
      <c r="I160" s="188"/>
      <c r="J160" s="209"/>
      <c r="K160" s="170"/>
      <c r="L160" s="196" t="s">
        <v>113</v>
      </c>
      <c r="M160" s="186"/>
      <c r="N160" s="186"/>
      <c r="O160" s="186"/>
      <c r="P160" s="186"/>
      <c r="Q160" s="187"/>
      <c r="R160" s="187"/>
      <c r="S160" s="188"/>
    </row>
    <row r="161" spans="1:19" ht="14.25" customHeight="1">
      <c r="A161" s="170"/>
      <c r="B161" s="186" t="s">
        <v>209</v>
      </c>
      <c r="C161" s="186"/>
      <c r="D161" s="197"/>
      <c r="E161" s="186"/>
      <c r="F161" s="186"/>
      <c r="G161" s="198" t="str">
        <f>'[2]G-STAFF'!C42</f>
        <v>K1</v>
      </c>
      <c r="H161" s="187">
        <f>+GENERAL!AA17</f>
        <v>86696</v>
      </c>
      <c r="I161" s="188"/>
      <c r="J161" s="209"/>
      <c r="K161" s="170"/>
      <c r="L161" s="186" t="s">
        <v>209</v>
      </c>
      <c r="M161" s="186"/>
      <c r="N161" s="198"/>
      <c r="O161" s="186"/>
      <c r="P161" s="186"/>
      <c r="Q161" s="198" t="str">
        <f>'[2]G-STAFF'!C43</f>
        <v>K1</v>
      </c>
      <c r="R161" s="187">
        <f>+GENERAL!AA18</f>
        <v>0</v>
      </c>
      <c r="S161" s="188"/>
    </row>
    <row r="162" spans="1:19" ht="14.25" customHeight="1">
      <c r="A162" s="170"/>
      <c r="B162" s="186" t="s">
        <v>225</v>
      </c>
      <c r="C162" s="186"/>
      <c r="D162" s="197"/>
      <c r="E162" s="186"/>
      <c r="F162" s="186"/>
      <c r="G162" s="198"/>
      <c r="H162" s="187">
        <f>+GENERAL!X17+GENERAL!Y17</f>
        <v>48772.11</v>
      </c>
      <c r="I162" s="188"/>
      <c r="J162" s="209"/>
      <c r="K162" s="170"/>
      <c r="L162" s="186" t="s">
        <v>225</v>
      </c>
      <c r="M162" s="186"/>
      <c r="N162" s="198"/>
      <c r="O162" s="186"/>
      <c r="P162" s="186"/>
      <c r="Q162" s="198"/>
      <c r="R162" s="187">
        <f>+GENERAL!X18+GENERAL!Y18</f>
        <v>48772.11</v>
      </c>
      <c r="S162" s="188"/>
    </row>
    <row r="163" spans="1:19" ht="14.25" customHeight="1">
      <c r="A163" s="170"/>
      <c r="B163" s="186" t="s">
        <v>226</v>
      </c>
      <c r="C163" s="186"/>
      <c r="D163" s="197"/>
      <c r="E163" s="186"/>
      <c r="F163" s="186"/>
      <c r="G163" s="198"/>
      <c r="H163" s="187">
        <f>+GENERAL!V17+GENERAL!W17+1</f>
        <v>146317.33000000002</v>
      </c>
      <c r="I163" s="188"/>
      <c r="J163" s="209"/>
      <c r="K163" s="170"/>
      <c r="L163" s="186" t="s">
        <v>226</v>
      </c>
      <c r="M163" s="186"/>
      <c r="N163" s="198"/>
      <c r="O163" s="186"/>
      <c r="P163" s="186"/>
      <c r="Q163" s="198"/>
      <c r="R163" s="187">
        <f>+GENERAL!V18+GENERAL!W18</f>
        <v>146316.33000000002</v>
      </c>
      <c r="S163" s="188"/>
    </row>
    <row r="164" spans="1:19" ht="14.25" customHeight="1">
      <c r="A164" s="170"/>
      <c r="B164" s="186" t="s">
        <v>103</v>
      </c>
      <c r="C164" s="186"/>
      <c r="D164" s="186"/>
      <c r="E164" s="186"/>
      <c r="F164" s="186"/>
      <c r="G164" s="187"/>
      <c r="H164" s="187">
        <f>+H153</f>
        <v>448215.69090000005</v>
      </c>
      <c r="I164" s="188"/>
      <c r="J164" s="209"/>
      <c r="K164" s="170"/>
      <c r="L164" s="186" t="s">
        <v>103</v>
      </c>
      <c r="M164" s="186"/>
      <c r="N164" s="186"/>
      <c r="O164" s="186"/>
      <c r="P164" s="186"/>
      <c r="Q164" s="187"/>
      <c r="R164" s="187">
        <f>+R153</f>
        <v>448215.69090000005</v>
      </c>
      <c r="S164" s="188"/>
    </row>
    <row r="165" spans="1:19" ht="14.25" customHeight="1" thickBot="1">
      <c r="A165" s="170"/>
      <c r="B165" s="190" t="s">
        <v>211</v>
      </c>
      <c r="C165" s="190"/>
      <c r="D165" s="190"/>
      <c r="E165" s="190"/>
      <c r="F165" s="190"/>
      <c r="G165" s="192"/>
      <c r="H165" s="192">
        <f>SUM(H161:H164)</f>
        <v>730001.13089999999</v>
      </c>
      <c r="I165" s="188"/>
      <c r="J165" s="209"/>
      <c r="K165" s="170"/>
      <c r="L165" s="190" t="s">
        <v>211</v>
      </c>
      <c r="M165" s="190"/>
      <c r="N165" s="190"/>
      <c r="O165" s="190"/>
      <c r="P165" s="190"/>
      <c r="Q165" s="192"/>
      <c r="R165" s="192">
        <f>SUM(R161:R164)</f>
        <v>643304.13089999999</v>
      </c>
      <c r="S165" s="188"/>
    </row>
    <row r="166" spans="1:19" ht="15.75" thickBot="1">
      <c r="A166" s="170"/>
      <c r="B166" s="193" t="s">
        <v>220</v>
      </c>
      <c r="C166" s="193"/>
      <c r="D166" s="193"/>
      <c r="E166" s="193"/>
      <c r="F166" s="193"/>
      <c r="G166" s="195"/>
      <c r="H166" s="195">
        <f>SUM(H158-H165)</f>
        <v>9235290.7854335271</v>
      </c>
      <c r="I166" s="188"/>
      <c r="J166" s="209"/>
      <c r="K166" s="170"/>
      <c r="L166" s="193" t="s">
        <v>220</v>
      </c>
      <c r="M166" s="193"/>
      <c r="N166" s="193"/>
      <c r="O166" s="193"/>
      <c r="P166" s="193"/>
      <c r="Q166" s="195"/>
      <c r="R166" s="195">
        <f>SUM(R158-R165)</f>
        <v>6684410.0571098262</v>
      </c>
      <c r="S166" s="188"/>
    </row>
    <row r="167" spans="1:19">
      <c r="A167" s="170"/>
      <c r="B167" s="186" t="s">
        <v>221</v>
      </c>
      <c r="C167" s="186"/>
      <c r="D167" s="186"/>
      <c r="E167" s="186"/>
      <c r="F167" s="186"/>
      <c r="G167" s="187"/>
      <c r="H167" s="187">
        <f>'[2]Urutan Nm'!H75</f>
        <v>10000</v>
      </c>
      <c r="I167" s="188"/>
      <c r="J167" s="209"/>
      <c r="K167" s="170"/>
      <c r="L167" s="186" t="s">
        <v>221</v>
      </c>
      <c r="M167" s="186"/>
      <c r="N167" s="186"/>
      <c r="O167" s="186"/>
      <c r="P167" s="186"/>
      <c r="Q167" s="187"/>
      <c r="R167" s="187">
        <f>'[2]Urutan Nm'!H76</f>
        <v>10000</v>
      </c>
      <c r="S167" s="188"/>
    </row>
    <row r="168" spans="1:19" ht="10.5" customHeight="1" thickBot="1">
      <c r="A168" s="170"/>
      <c r="B168" s="199"/>
      <c r="C168" s="190"/>
      <c r="D168" s="190"/>
      <c r="E168" s="190"/>
      <c r="F168" s="190"/>
      <c r="G168" s="192"/>
      <c r="H168" s="192"/>
      <c r="I168" s="188"/>
      <c r="J168" s="187"/>
      <c r="K168" s="170"/>
      <c r="L168" s="199"/>
      <c r="M168" s="190"/>
      <c r="N168" s="190"/>
      <c r="O168" s="190"/>
      <c r="P168" s="190"/>
      <c r="Q168" s="192"/>
      <c r="R168" s="192"/>
      <c r="S168" s="188"/>
    </row>
    <row r="169" spans="1:19" ht="15.75" thickBot="1">
      <c r="A169" s="170"/>
      <c r="B169" s="200" t="s">
        <v>212</v>
      </c>
      <c r="C169" s="200"/>
      <c r="D169" s="200"/>
      <c r="E169" s="200"/>
      <c r="F169" s="200"/>
      <c r="G169" s="201"/>
      <c r="H169" s="201">
        <f>SUM(H166-H167)</f>
        <v>9225290.7854335271</v>
      </c>
      <c r="I169" s="188"/>
      <c r="J169" s="187"/>
      <c r="K169" s="170"/>
      <c r="L169" s="200" t="s">
        <v>212</v>
      </c>
      <c r="M169" s="200"/>
      <c r="N169" s="200"/>
      <c r="O169" s="200"/>
      <c r="P169" s="200"/>
      <c r="Q169" s="201"/>
      <c r="R169" s="201">
        <f>SUM(R166-R167)</f>
        <v>6674410.0571098262</v>
      </c>
      <c r="S169" s="188"/>
    </row>
    <row r="170" spans="1:19" ht="15.75" thickTop="1">
      <c r="A170" s="170"/>
      <c r="B170" s="202" t="s">
        <v>213</v>
      </c>
      <c r="C170" s="186"/>
      <c r="D170" s="186"/>
      <c r="E170" s="186"/>
      <c r="F170" s="186"/>
      <c r="G170" s="296" t="s">
        <v>214</v>
      </c>
      <c r="H170" s="296"/>
      <c r="I170" s="188"/>
      <c r="J170" s="187"/>
      <c r="K170" s="170"/>
      <c r="L170" s="202" t="s">
        <v>213</v>
      </c>
      <c r="M170" s="186"/>
      <c r="N170" s="186"/>
      <c r="O170" s="186"/>
      <c r="P170" s="186"/>
      <c r="Q170" s="296" t="s">
        <v>214</v>
      </c>
      <c r="R170" s="296"/>
      <c r="S170" s="188"/>
    </row>
    <row r="171" spans="1:19">
      <c r="A171" s="170"/>
      <c r="B171" s="186"/>
      <c r="C171" s="186"/>
      <c r="D171" s="186"/>
      <c r="E171" s="186"/>
      <c r="F171" s="186"/>
      <c r="G171" s="187"/>
      <c r="H171" s="187"/>
      <c r="I171" s="188"/>
      <c r="J171" s="187"/>
      <c r="K171" s="170"/>
      <c r="L171" s="186"/>
      <c r="M171" s="186"/>
      <c r="N171" s="186"/>
      <c r="O171" s="186"/>
      <c r="P171" s="186"/>
      <c r="Q171" s="187"/>
      <c r="R171" s="187"/>
      <c r="S171" s="188"/>
    </row>
    <row r="172" spans="1:19">
      <c r="A172" s="170"/>
      <c r="B172" s="186"/>
      <c r="C172" s="186"/>
      <c r="D172" s="186"/>
      <c r="E172" s="186"/>
      <c r="F172" s="186"/>
      <c r="G172" s="187"/>
      <c r="H172" s="187"/>
      <c r="I172" s="188"/>
      <c r="J172" s="187"/>
      <c r="K172" s="170"/>
      <c r="L172" s="186"/>
      <c r="M172" s="186"/>
      <c r="N172" s="186"/>
      <c r="O172" s="186"/>
      <c r="P172" s="186"/>
      <c r="Q172" s="187"/>
      <c r="R172" s="187"/>
      <c r="S172" s="188"/>
    </row>
    <row r="173" spans="1:19">
      <c r="A173" s="170"/>
      <c r="B173" s="203" t="s">
        <v>215</v>
      </c>
      <c r="C173" s="186"/>
      <c r="D173" s="186"/>
      <c r="E173" s="186"/>
      <c r="F173" s="186"/>
      <c r="G173" s="297" t="s">
        <v>216</v>
      </c>
      <c r="H173" s="297"/>
      <c r="I173" s="188"/>
      <c r="J173" s="187"/>
      <c r="K173" s="170"/>
      <c r="L173" s="203" t="s">
        <v>215</v>
      </c>
      <c r="M173" s="186"/>
      <c r="N173" s="186"/>
      <c r="O173" s="186"/>
      <c r="P173" s="186"/>
      <c r="Q173" s="297" t="s">
        <v>216</v>
      </c>
      <c r="R173" s="297"/>
      <c r="S173" s="188"/>
    </row>
    <row r="174" spans="1:19">
      <c r="A174" s="204"/>
      <c r="B174" s="205"/>
      <c r="C174" s="206"/>
      <c r="D174" s="206"/>
      <c r="E174" s="206"/>
      <c r="F174" s="206"/>
      <c r="G174" s="207"/>
      <c r="H174" s="205"/>
      <c r="I174" s="208"/>
      <c r="J174" s="187"/>
      <c r="K174" s="204"/>
      <c r="L174" s="205"/>
      <c r="M174" s="206"/>
      <c r="N174" s="206"/>
      <c r="O174" s="206"/>
      <c r="P174" s="206"/>
      <c r="Q174" s="207"/>
      <c r="R174" s="205"/>
      <c r="S174" s="208"/>
    </row>
    <row r="175" spans="1:19">
      <c r="A175" s="169"/>
      <c r="B175" s="203"/>
      <c r="C175" s="186"/>
      <c r="D175" s="186"/>
      <c r="E175" s="186"/>
      <c r="F175" s="186"/>
      <c r="G175" s="187"/>
      <c r="H175" s="203"/>
      <c r="I175" s="187"/>
      <c r="J175" s="187"/>
      <c r="K175" s="169"/>
      <c r="L175" s="203"/>
      <c r="M175" s="186"/>
      <c r="N175" s="186"/>
      <c r="O175" s="186"/>
      <c r="P175" s="186"/>
      <c r="Q175" s="187"/>
      <c r="R175" s="203"/>
      <c r="S175" s="187"/>
    </row>
    <row r="176" spans="1:19">
      <c r="A176" s="166"/>
      <c r="B176" s="214"/>
      <c r="C176" s="215"/>
      <c r="D176" s="215"/>
      <c r="E176" s="215"/>
      <c r="F176" s="215"/>
      <c r="G176" s="216"/>
      <c r="H176" s="214"/>
      <c r="I176" s="217"/>
      <c r="J176" s="187"/>
      <c r="K176" s="166"/>
      <c r="L176" s="214"/>
      <c r="M176" s="215"/>
      <c r="N176" s="215"/>
      <c r="O176" s="215"/>
      <c r="P176" s="215"/>
      <c r="Q176" s="216"/>
      <c r="R176" s="214"/>
      <c r="S176" s="217"/>
    </row>
    <row r="177" spans="1:19">
      <c r="A177" s="170"/>
      <c r="B177" s="169"/>
      <c r="C177" s="169"/>
      <c r="D177" s="169"/>
      <c r="E177" s="169"/>
      <c r="F177" s="169"/>
      <c r="G177" s="169"/>
      <c r="H177" s="169"/>
      <c r="I177" s="171"/>
      <c r="J177" s="169"/>
      <c r="K177" s="170"/>
      <c r="L177" s="169"/>
      <c r="M177" s="169"/>
      <c r="N177" s="169"/>
      <c r="O177" s="169"/>
      <c r="P177" s="169"/>
      <c r="Q177" s="169"/>
      <c r="R177" s="169"/>
      <c r="S177" s="171"/>
    </row>
    <row r="178" spans="1:19">
      <c r="A178" s="170"/>
      <c r="B178" s="169"/>
      <c r="C178" s="169"/>
      <c r="D178" s="169"/>
      <c r="E178" s="169"/>
      <c r="F178" s="169"/>
      <c r="G178" s="169"/>
      <c r="H178" s="169"/>
      <c r="I178" s="171"/>
      <c r="J178" s="169"/>
      <c r="K178" s="170"/>
      <c r="L178" s="169"/>
      <c r="M178" s="169"/>
      <c r="N178" s="169"/>
      <c r="O178" s="169"/>
      <c r="P178" s="169"/>
      <c r="Q178" s="169"/>
      <c r="R178" s="169"/>
      <c r="S178" s="171"/>
    </row>
    <row r="179" spans="1:19">
      <c r="A179" s="170"/>
      <c r="B179" s="294" t="s">
        <v>196</v>
      </c>
      <c r="C179" s="294"/>
      <c r="D179" s="294"/>
      <c r="E179" s="294"/>
      <c r="F179" s="294"/>
      <c r="G179" s="294"/>
      <c r="H179" s="294"/>
      <c r="I179" s="295"/>
      <c r="J179" s="169"/>
      <c r="K179" s="170"/>
      <c r="L179" s="294" t="s">
        <v>196</v>
      </c>
      <c r="M179" s="294"/>
      <c r="N179" s="294"/>
      <c r="O179" s="294"/>
      <c r="P179" s="294"/>
      <c r="Q179" s="294"/>
      <c r="R179" s="294"/>
      <c r="S179" s="295"/>
    </row>
    <row r="180" spans="1:19">
      <c r="A180" s="172"/>
      <c r="B180" s="173" t="s">
        <v>197</v>
      </c>
      <c r="C180" s="174" t="s">
        <v>198</v>
      </c>
      <c r="D180" s="211">
        <f>'[2]G-STAFF'!A44</f>
        <v>10</v>
      </c>
      <c r="E180" s="173"/>
      <c r="F180" s="173"/>
      <c r="G180" s="173"/>
      <c r="H180" s="173"/>
      <c r="I180" s="176"/>
      <c r="J180" s="173"/>
      <c r="K180" s="172"/>
      <c r="L180" s="173" t="s">
        <v>197</v>
      </c>
      <c r="M180" s="174" t="s">
        <v>198</v>
      </c>
      <c r="N180" s="211">
        <f>'[2]G-STAFF'!A45</f>
        <v>11</v>
      </c>
      <c r="O180" s="175"/>
      <c r="P180" s="173"/>
      <c r="Q180" s="173"/>
      <c r="R180" s="173"/>
      <c r="S180" s="176"/>
    </row>
    <row r="181" spans="1:19">
      <c r="A181" s="172"/>
      <c r="B181" s="173" t="s">
        <v>199</v>
      </c>
      <c r="C181" s="174" t="s">
        <v>198</v>
      </c>
      <c r="D181" s="177" t="str">
        <f>'[2]G-STAFF'!A3</f>
        <v>01 JANUARI  S/D  31 JANUARI  2025</v>
      </c>
      <c r="E181" s="173"/>
      <c r="F181" s="173"/>
      <c r="G181" s="173"/>
      <c r="H181" s="173"/>
      <c r="I181" s="176"/>
      <c r="J181" s="173"/>
      <c r="K181" s="172"/>
      <c r="L181" s="173" t="s">
        <v>199</v>
      </c>
      <c r="M181" s="174" t="s">
        <v>198</v>
      </c>
      <c r="N181" s="177" t="str">
        <f>'[2]G-STAFF'!A3</f>
        <v>01 JANUARI  S/D  31 JANUARI  2025</v>
      </c>
      <c r="O181" s="179"/>
      <c r="P181" s="173"/>
      <c r="Q181" s="173"/>
      <c r="R181" s="173"/>
      <c r="S181" s="176"/>
    </row>
    <row r="182" spans="1:19">
      <c r="A182" s="172"/>
      <c r="B182" s="173" t="s">
        <v>200</v>
      </c>
      <c r="C182" s="174" t="s">
        <v>198</v>
      </c>
      <c r="D182" s="177" t="str">
        <f>'[2]G-STAFF'!B44</f>
        <v>OMAN HERMAWAN</v>
      </c>
      <c r="E182" s="173"/>
      <c r="F182" s="173"/>
      <c r="G182" s="173"/>
      <c r="H182" s="173"/>
      <c r="I182" s="176"/>
      <c r="J182" s="173"/>
      <c r="K182" s="172"/>
      <c r="L182" s="173" t="s">
        <v>200</v>
      </c>
      <c r="M182" s="174" t="s">
        <v>198</v>
      </c>
      <c r="N182" s="178" t="str">
        <f>'[2]G-STAFF'!B45</f>
        <v>ZULKARNAEN</v>
      </c>
      <c r="O182" s="173"/>
      <c r="P182" s="173"/>
      <c r="Q182" s="173"/>
      <c r="R182" s="173"/>
      <c r="S182" s="176"/>
    </row>
    <row r="183" spans="1:19" ht="15.75" thickBot="1">
      <c r="A183" s="172"/>
      <c r="B183" s="173" t="s">
        <v>201</v>
      </c>
      <c r="C183" s="174" t="s">
        <v>198</v>
      </c>
      <c r="D183" s="177" t="str">
        <f>'[2]G-STAFF'!H44</f>
        <v>DRIVER</v>
      </c>
      <c r="E183" s="173"/>
      <c r="F183" s="173"/>
      <c r="G183" s="173"/>
      <c r="H183" s="173"/>
      <c r="I183" s="176"/>
      <c r="J183" s="173"/>
      <c r="K183" s="172"/>
      <c r="L183" s="173" t="s">
        <v>201</v>
      </c>
      <c r="M183" s="174" t="s">
        <v>198</v>
      </c>
      <c r="N183" s="178" t="str">
        <f>'[2]G-STAFF'!H45</f>
        <v>DRIVER</v>
      </c>
      <c r="O183" s="179"/>
      <c r="P183" s="173"/>
      <c r="Q183" s="173"/>
      <c r="R183" s="173"/>
      <c r="S183" s="176"/>
    </row>
    <row r="184" spans="1:19" ht="10.5" customHeight="1" thickTop="1">
      <c r="A184" s="170"/>
      <c r="B184" s="182"/>
      <c r="C184" s="182"/>
      <c r="D184" s="182"/>
      <c r="E184" s="182"/>
      <c r="F184" s="182"/>
      <c r="G184" s="182"/>
      <c r="H184" s="182"/>
      <c r="I184" s="183"/>
      <c r="J184" s="169"/>
      <c r="K184" s="170"/>
      <c r="L184" s="182"/>
      <c r="M184" s="182"/>
      <c r="N184" s="182"/>
      <c r="O184" s="182"/>
      <c r="P184" s="182"/>
      <c r="Q184" s="182"/>
      <c r="R184" s="182"/>
      <c r="S184" s="183"/>
    </row>
    <row r="185" spans="1:19">
      <c r="A185" s="170"/>
      <c r="B185" s="184" t="s">
        <v>202</v>
      </c>
      <c r="C185" s="185"/>
      <c r="D185" s="185"/>
      <c r="E185" s="185"/>
      <c r="F185" s="185"/>
      <c r="G185" s="185"/>
      <c r="H185" s="185"/>
      <c r="I185" s="183"/>
      <c r="J185" s="169"/>
      <c r="K185" s="170"/>
      <c r="L185" s="184" t="s">
        <v>202</v>
      </c>
      <c r="M185" s="184"/>
      <c r="N185" s="185"/>
      <c r="O185" s="185"/>
      <c r="P185" s="185"/>
      <c r="Q185" s="185"/>
      <c r="R185" s="185"/>
      <c r="S185" s="183"/>
    </row>
    <row r="186" spans="1:19" ht="14.25" customHeight="1">
      <c r="A186" s="170"/>
      <c r="B186" s="186" t="s">
        <v>111</v>
      </c>
      <c r="C186" s="186"/>
      <c r="D186" s="187"/>
      <c r="E186" s="186"/>
      <c r="F186" s="186"/>
      <c r="G186" s="187"/>
      <c r="H186" s="187" t="e">
        <f>+GENERAL!#REF!</f>
        <v>#REF!</v>
      </c>
      <c r="I186" s="188"/>
      <c r="J186" s="187"/>
      <c r="K186" s="170"/>
      <c r="L186" s="186" t="s">
        <v>111</v>
      </c>
      <c r="M186" s="186"/>
      <c r="N186" s="187"/>
      <c r="O186" s="186"/>
      <c r="P186" s="186"/>
      <c r="Q186" s="187"/>
      <c r="R186" s="187">
        <f>+GENERAL!F19</f>
        <v>4494855</v>
      </c>
      <c r="S186" s="188"/>
    </row>
    <row r="187" spans="1:19" ht="14.25" customHeight="1">
      <c r="A187" s="170"/>
      <c r="B187" s="186" t="s">
        <v>203</v>
      </c>
      <c r="C187" s="186"/>
      <c r="D187" s="186"/>
      <c r="E187" s="186"/>
      <c r="F187" s="186"/>
      <c r="G187" s="187"/>
      <c r="H187" s="187" t="e">
        <f>+GENERAL!#REF!</f>
        <v>#REF!</v>
      </c>
      <c r="I187" s="188"/>
      <c r="J187" s="209"/>
      <c r="K187" s="170"/>
      <c r="L187" s="186" t="s">
        <v>203</v>
      </c>
      <c r="M187" s="186"/>
      <c r="N187" s="186"/>
      <c r="O187" s="186"/>
      <c r="P187" s="186"/>
      <c r="Q187" s="187"/>
      <c r="R187" s="187">
        <f>+GENERAL!J19</f>
        <v>0</v>
      </c>
      <c r="S187" s="188"/>
    </row>
    <row r="188" spans="1:19" ht="14.25" customHeight="1">
      <c r="A188" s="170"/>
      <c r="B188" s="186" t="s">
        <v>224</v>
      </c>
      <c r="C188" s="186"/>
      <c r="D188" s="186"/>
      <c r="E188" s="186"/>
      <c r="F188" s="186"/>
      <c r="G188" s="187"/>
      <c r="H188" s="187" t="e">
        <f>+GENERAL!#REF!</f>
        <v>#REF!</v>
      </c>
      <c r="I188" s="188"/>
      <c r="J188" s="209"/>
      <c r="K188" s="170"/>
      <c r="L188" s="186" t="s">
        <v>224</v>
      </c>
      <c r="M188" s="186"/>
      <c r="N188" s="186"/>
      <c r="O188" s="186"/>
      <c r="P188" s="186"/>
      <c r="Q188" s="187"/>
      <c r="R188" s="187">
        <f>+GENERAL!T19</f>
        <v>448215.69090000005</v>
      </c>
      <c r="S188" s="188"/>
    </row>
    <row r="189" spans="1:19" ht="14.25" customHeight="1">
      <c r="A189" s="170"/>
      <c r="B189" s="186" t="s">
        <v>195</v>
      </c>
      <c r="C189" s="186"/>
      <c r="D189" s="187">
        <f>'[2]G-STAFF'!Z44</f>
        <v>19</v>
      </c>
      <c r="E189" s="186" t="s">
        <v>204</v>
      </c>
      <c r="F189" s="186" t="s">
        <v>205</v>
      </c>
      <c r="G189" s="187">
        <v>6000</v>
      </c>
      <c r="H189" s="187">
        <f>G189*D189</f>
        <v>114000</v>
      </c>
      <c r="I189" s="188"/>
      <c r="J189" s="187"/>
      <c r="K189" s="170"/>
      <c r="L189" s="186" t="s">
        <v>195</v>
      </c>
      <c r="M189" s="186"/>
      <c r="N189" s="187">
        <f>'[2]G-STAFF'!Z45</f>
        <v>18</v>
      </c>
      <c r="O189" s="186" t="s">
        <v>204</v>
      </c>
      <c r="P189" s="186" t="s">
        <v>205</v>
      </c>
      <c r="Q189" s="187">
        <v>6000</v>
      </c>
      <c r="R189" s="187">
        <f>Q189*N189</f>
        <v>108000</v>
      </c>
      <c r="S189" s="188"/>
    </row>
    <row r="190" spans="1:19" ht="14.25" customHeight="1">
      <c r="A190" s="170"/>
      <c r="B190" s="186" t="s">
        <v>217</v>
      </c>
      <c r="C190" s="186"/>
      <c r="D190" s="187"/>
      <c r="E190" s="186"/>
      <c r="F190" s="186"/>
      <c r="G190" s="187"/>
      <c r="H190" s="187"/>
      <c r="I190" s="188"/>
      <c r="J190" s="187"/>
      <c r="K190" s="170"/>
      <c r="L190" s="186" t="s">
        <v>217</v>
      </c>
      <c r="M190" s="186"/>
      <c r="N190" s="187"/>
      <c r="O190" s="186"/>
      <c r="P190" s="186"/>
      <c r="Q190" s="187"/>
      <c r="R190" s="187"/>
      <c r="S190" s="188"/>
    </row>
    <row r="191" spans="1:19" ht="14.25" customHeight="1">
      <c r="A191" s="170"/>
      <c r="B191" s="186" t="s">
        <v>206</v>
      </c>
      <c r="C191" s="186"/>
      <c r="D191" s="212">
        <f>'[2]G-STAFF'!CH44</f>
        <v>10</v>
      </c>
      <c r="E191" s="186" t="s">
        <v>207</v>
      </c>
      <c r="F191" s="186" t="s">
        <v>205</v>
      </c>
      <c r="G191" s="187">
        <f>'[2]G-STAFF'!M44</f>
        <v>23767.803468208094</v>
      </c>
      <c r="H191" s="187">
        <f>G191*D191</f>
        <v>237678.03468208094</v>
      </c>
      <c r="I191" s="188"/>
      <c r="J191" s="187"/>
      <c r="K191" s="170"/>
      <c r="L191" s="186" t="s">
        <v>206</v>
      </c>
      <c r="M191" s="186"/>
      <c r="N191" s="212">
        <f>'[2]G-STAFF'!CH45</f>
        <v>10</v>
      </c>
      <c r="O191" s="186" t="s">
        <v>207</v>
      </c>
      <c r="P191" s="186" t="s">
        <v>205</v>
      </c>
      <c r="Q191" s="187">
        <f>'[2]G-STAFF'!M45</f>
        <v>25222.890173410404</v>
      </c>
      <c r="R191" s="187">
        <f>Q191*N191+7</f>
        <v>252235.90173410403</v>
      </c>
      <c r="S191" s="188"/>
    </row>
    <row r="192" spans="1:19" ht="14.25" customHeight="1" thickBot="1">
      <c r="A192" s="170"/>
      <c r="B192" s="190" t="s">
        <v>208</v>
      </c>
      <c r="C192" s="190"/>
      <c r="D192" s="213">
        <f>'[2]G-STAFF'!CG44</f>
        <v>57</v>
      </c>
      <c r="E192" s="190" t="s">
        <v>207</v>
      </c>
      <c r="F192" s="190" t="s">
        <v>205</v>
      </c>
      <c r="G192" s="192">
        <f>G191</f>
        <v>23767.803468208094</v>
      </c>
      <c r="H192" s="192">
        <f>G192*D192+13</f>
        <v>1354777.7976878614</v>
      </c>
      <c r="I192" s="188"/>
      <c r="J192" s="187"/>
      <c r="K192" s="170"/>
      <c r="L192" s="190" t="s">
        <v>208</v>
      </c>
      <c r="M192" s="190"/>
      <c r="N192" s="213">
        <f>'[2]G-STAFF'!CG45</f>
        <v>55</v>
      </c>
      <c r="O192" s="190" t="s">
        <v>207</v>
      </c>
      <c r="P192" s="190" t="s">
        <v>205</v>
      </c>
      <c r="Q192" s="192">
        <f>Q191</f>
        <v>25222.890173410404</v>
      </c>
      <c r="R192" s="192">
        <f>Q192*N192</f>
        <v>1387258.9595375722</v>
      </c>
      <c r="S192" s="188"/>
    </row>
    <row r="193" spans="1:19" ht="15.75" thickBot="1">
      <c r="A193" s="170"/>
      <c r="B193" s="190" t="s">
        <v>219</v>
      </c>
      <c r="C193" s="190"/>
      <c r="D193" s="213">
        <f>'[2]G-STAFF'!CI44</f>
        <v>67</v>
      </c>
      <c r="E193" s="190"/>
      <c r="F193" s="190"/>
      <c r="G193" s="192"/>
      <c r="H193" s="192" t="e">
        <f>SUM(H186:H192)</f>
        <v>#REF!</v>
      </c>
      <c r="I193" s="188"/>
      <c r="J193" s="187"/>
      <c r="K193" s="170"/>
      <c r="L193" s="190" t="s">
        <v>219</v>
      </c>
      <c r="M193" s="190"/>
      <c r="N193" s="213">
        <f>'[2]G-STAFF'!CI45</f>
        <v>65</v>
      </c>
      <c r="O193" s="190"/>
      <c r="P193" s="190"/>
      <c r="Q193" s="192"/>
      <c r="R193" s="192">
        <f>SUM(R186:R192)</f>
        <v>6690565.5521716764</v>
      </c>
      <c r="S193" s="188"/>
    </row>
    <row r="194" spans="1:19" ht="10.5" customHeight="1" thickTop="1">
      <c r="A194" s="170"/>
      <c r="B194" s="182"/>
      <c r="C194" s="182"/>
      <c r="D194" s="182"/>
      <c r="E194" s="182"/>
      <c r="F194" s="182"/>
      <c r="G194" s="182"/>
      <c r="H194" s="182"/>
      <c r="I194" s="183"/>
      <c r="J194" s="169"/>
      <c r="K194" s="170"/>
      <c r="L194" s="182"/>
      <c r="M194" s="182"/>
      <c r="N194" s="182"/>
      <c r="O194" s="182"/>
      <c r="P194" s="182"/>
      <c r="Q194" s="182"/>
      <c r="R194" s="182"/>
      <c r="S194" s="183"/>
    </row>
    <row r="195" spans="1:19">
      <c r="A195" s="170"/>
      <c r="B195" s="196" t="s">
        <v>113</v>
      </c>
      <c r="C195" s="186"/>
      <c r="D195" s="186"/>
      <c r="E195" s="186"/>
      <c r="F195" s="186"/>
      <c r="G195" s="187"/>
      <c r="H195" s="187"/>
      <c r="I195" s="188"/>
      <c r="J195" s="209"/>
      <c r="K195" s="170"/>
      <c r="L195" s="196" t="s">
        <v>113</v>
      </c>
      <c r="M195" s="186"/>
      <c r="N195" s="186"/>
      <c r="O195" s="186"/>
      <c r="P195" s="186"/>
      <c r="Q195" s="187"/>
      <c r="R195" s="187"/>
      <c r="S195" s="188"/>
    </row>
    <row r="196" spans="1:19" ht="14.25" customHeight="1">
      <c r="A196" s="170"/>
      <c r="B196" s="186" t="s">
        <v>209</v>
      </c>
      <c r="C196" s="186"/>
      <c r="D196" s="197"/>
      <c r="E196" s="186"/>
      <c r="F196" s="186"/>
      <c r="G196" s="198" t="str">
        <f>'[2]G-STAFF'!C44</f>
        <v>K2</v>
      </c>
      <c r="H196" s="187" t="e">
        <f>+GENERAL!#REF!</f>
        <v>#REF!</v>
      </c>
      <c r="I196" s="188"/>
      <c r="J196" s="209"/>
      <c r="K196" s="170"/>
      <c r="L196" s="186" t="s">
        <v>209</v>
      </c>
      <c r="M196" s="186"/>
      <c r="N196" s="198"/>
      <c r="O196" s="186"/>
      <c r="P196" s="186"/>
      <c r="Q196" s="198" t="str">
        <f>'[2]G-STAFF'!C45</f>
        <v>K2</v>
      </c>
      <c r="R196" s="187">
        <f>+GENERAL!AA19</f>
        <v>33988</v>
      </c>
      <c r="S196" s="188"/>
    </row>
    <row r="197" spans="1:19" ht="14.25" customHeight="1">
      <c r="A197" s="170"/>
      <c r="B197" s="186" t="s">
        <v>225</v>
      </c>
      <c r="C197" s="186"/>
      <c r="D197" s="197"/>
      <c r="E197" s="186"/>
      <c r="F197" s="186"/>
      <c r="G197" s="198"/>
      <c r="H197" s="187" t="e">
        <f>+GENERAL!#REF!+GENERAL!#REF!</f>
        <v>#REF!</v>
      </c>
      <c r="I197" s="188"/>
      <c r="J197" s="209"/>
      <c r="K197" s="170"/>
      <c r="L197" s="186" t="s">
        <v>225</v>
      </c>
      <c r="M197" s="186"/>
      <c r="N197" s="198"/>
      <c r="O197" s="186"/>
      <c r="P197" s="186"/>
      <c r="Q197" s="198"/>
      <c r="R197" s="187">
        <f>+GENERAL!X19+GENERAL!Y19</f>
        <v>48772.11</v>
      </c>
      <c r="S197" s="188"/>
    </row>
    <row r="198" spans="1:19" ht="14.25" customHeight="1">
      <c r="A198" s="170"/>
      <c r="B198" s="186" t="s">
        <v>226</v>
      </c>
      <c r="C198" s="186"/>
      <c r="D198" s="197"/>
      <c r="E198" s="186"/>
      <c r="F198" s="186"/>
      <c r="G198" s="198"/>
      <c r="H198" s="187" t="e">
        <f>+GENERAL!#REF!+GENERAL!#REF!-1</f>
        <v>#REF!</v>
      </c>
      <c r="I198" s="188"/>
      <c r="J198" s="209"/>
      <c r="K198" s="170"/>
      <c r="L198" s="186" t="s">
        <v>226</v>
      </c>
      <c r="M198" s="186"/>
      <c r="N198" s="198"/>
      <c r="O198" s="186"/>
      <c r="P198" s="186"/>
      <c r="Q198" s="198"/>
      <c r="R198" s="187">
        <f>+GENERAL!V19+GENERAL!W19-1</f>
        <v>146315.33000000002</v>
      </c>
      <c r="S198" s="188"/>
    </row>
    <row r="199" spans="1:19" ht="14.25" customHeight="1">
      <c r="A199" s="170"/>
      <c r="B199" s="186" t="s">
        <v>103</v>
      </c>
      <c r="C199" s="186"/>
      <c r="D199" s="186"/>
      <c r="E199" s="186"/>
      <c r="F199" s="186"/>
      <c r="G199" s="187"/>
      <c r="H199" s="187" t="e">
        <f>+H188</f>
        <v>#REF!</v>
      </c>
      <c r="I199" s="188"/>
      <c r="J199" s="209"/>
      <c r="K199" s="170"/>
      <c r="L199" s="186" t="s">
        <v>103</v>
      </c>
      <c r="M199" s="186"/>
      <c r="N199" s="186"/>
      <c r="O199" s="186"/>
      <c r="P199" s="186"/>
      <c r="Q199" s="187"/>
      <c r="R199" s="187">
        <f>+R188</f>
        <v>448215.69090000005</v>
      </c>
      <c r="S199" s="188"/>
    </row>
    <row r="200" spans="1:19" ht="14.25" customHeight="1" thickBot="1">
      <c r="A200" s="170"/>
      <c r="B200" s="190" t="s">
        <v>211</v>
      </c>
      <c r="C200" s="190"/>
      <c r="D200" s="190"/>
      <c r="E200" s="190"/>
      <c r="F200" s="190"/>
      <c r="G200" s="192"/>
      <c r="H200" s="192" t="e">
        <f>SUM(H196:H199)</f>
        <v>#REF!</v>
      </c>
      <c r="I200" s="188"/>
      <c r="J200" s="209"/>
      <c r="K200" s="170"/>
      <c r="L200" s="190" t="s">
        <v>211</v>
      </c>
      <c r="M200" s="190"/>
      <c r="N200" s="190"/>
      <c r="O200" s="190"/>
      <c r="P200" s="190"/>
      <c r="Q200" s="192"/>
      <c r="R200" s="192">
        <f>SUM(R196:R199)</f>
        <v>677291.13089999999</v>
      </c>
      <c r="S200" s="188"/>
    </row>
    <row r="201" spans="1:19" ht="15.75" thickBot="1">
      <c r="A201" s="170"/>
      <c r="B201" s="193" t="s">
        <v>220</v>
      </c>
      <c r="C201" s="193"/>
      <c r="D201" s="193"/>
      <c r="E201" s="193"/>
      <c r="F201" s="193"/>
      <c r="G201" s="195"/>
      <c r="H201" s="195" t="e">
        <f>SUM(H193-H200)</f>
        <v>#REF!</v>
      </c>
      <c r="I201" s="188"/>
      <c r="J201" s="209"/>
      <c r="K201" s="170"/>
      <c r="L201" s="193" t="s">
        <v>220</v>
      </c>
      <c r="M201" s="193"/>
      <c r="N201" s="193"/>
      <c r="O201" s="193"/>
      <c r="P201" s="193"/>
      <c r="Q201" s="195"/>
      <c r="R201" s="195">
        <f>SUM(R193-R200)</f>
        <v>6013274.4212716762</v>
      </c>
      <c r="S201" s="188"/>
    </row>
    <row r="202" spans="1:19">
      <c r="A202" s="170"/>
      <c r="B202" s="186" t="s">
        <v>221</v>
      </c>
      <c r="C202" s="186"/>
      <c r="D202" s="186"/>
      <c r="E202" s="186"/>
      <c r="F202" s="186"/>
      <c r="G202" s="187"/>
      <c r="H202" s="187">
        <f>'[2]Urutan Nm'!H77</f>
        <v>10000</v>
      </c>
      <c r="I202" s="188"/>
      <c r="J202" s="209"/>
      <c r="K202" s="170"/>
      <c r="L202" s="186" t="s">
        <v>221</v>
      </c>
      <c r="M202" s="186"/>
      <c r="N202" s="186"/>
      <c r="O202" s="186"/>
      <c r="P202" s="186"/>
      <c r="Q202" s="187"/>
      <c r="R202" s="187">
        <f>'[2]Urutan Nm'!H78</f>
        <v>10000</v>
      </c>
      <c r="S202" s="188"/>
    </row>
    <row r="203" spans="1:19" ht="10.5" customHeight="1" thickBot="1">
      <c r="A203" s="170"/>
      <c r="B203" s="199"/>
      <c r="C203" s="190"/>
      <c r="D203" s="190"/>
      <c r="E203" s="190"/>
      <c r="F203" s="190"/>
      <c r="G203" s="192"/>
      <c r="H203" s="192"/>
      <c r="I203" s="188"/>
      <c r="J203" s="187"/>
      <c r="K203" s="170"/>
      <c r="L203" s="199"/>
      <c r="M203" s="190"/>
      <c r="N203" s="190"/>
      <c r="O203" s="190"/>
      <c r="P203" s="190"/>
      <c r="Q203" s="192"/>
      <c r="R203" s="192"/>
      <c r="S203" s="188"/>
    </row>
    <row r="204" spans="1:19" ht="15.75" thickBot="1">
      <c r="A204" s="170"/>
      <c r="B204" s="200" t="s">
        <v>212</v>
      </c>
      <c r="C204" s="200"/>
      <c r="D204" s="200"/>
      <c r="E204" s="200"/>
      <c r="F204" s="200"/>
      <c r="G204" s="201"/>
      <c r="H204" s="201" t="e">
        <f>SUM(H201-H202)</f>
        <v>#REF!</v>
      </c>
      <c r="I204" s="188"/>
      <c r="J204" s="187"/>
      <c r="K204" s="170"/>
      <c r="L204" s="200" t="s">
        <v>212</v>
      </c>
      <c r="M204" s="200"/>
      <c r="N204" s="200"/>
      <c r="O204" s="200"/>
      <c r="P204" s="200"/>
      <c r="Q204" s="201"/>
      <c r="R204" s="201">
        <f>SUM(R193-R203)</f>
        <v>6690565.5521716764</v>
      </c>
      <c r="S204" s="188"/>
    </row>
    <row r="205" spans="1:19" ht="15.75" thickTop="1">
      <c r="A205" s="170"/>
      <c r="B205" s="202" t="s">
        <v>213</v>
      </c>
      <c r="C205" s="186"/>
      <c r="D205" s="186"/>
      <c r="E205" s="186"/>
      <c r="F205" s="186"/>
      <c r="G205" s="296" t="s">
        <v>214</v>
      </c>
      <c r="H205" s="296"/>
      <c r="I205" s="188"/>
      <c r="J205" s="187"/>
      <c r="K205" s="170"/>
      <c r="L205" s="202" t="s">
        <v>213</v>
      </c>
      <c r="M205" s="186"/>
      <c r="N205" s="186"/>
      <c r="O205" s="186"/>
      <c r="P205" s="186"/>
      <c r="Q205" s="296" t="s">
        <v>214</v>
      </c>
      <c r="R205" s="296"/>
      <c r="S205" s="188"/>
    </row>
    <row r="206" spans="1:19">
      <c r="A206" s="170"/>
      <c r="B206" s="186"/>
      <c r="C206" s="186"/>
      <c r="D206" s="186"/>
      <c r="E206" s="186"/>
      <c r="F206" s="186"/>
      <c r="G206" s="187"/>
      <c r="H206" s="187"/>
      <c r="I206" s="188"/>
      <c r="J206" s="187"/>
      <c r="K206" s="170"/>
      <c r="L206" s="186"/>
      <c r="M206" s="186"/>
      <c r="N206" s="186"/>
      <c r="O206" s="186"/>
      <c r="P206" s="186"/>
      <c r="Q206" s="187"/>
      <c r="R206" s="187"/>
      <c r="S206" s="188"/>
    </row>
    <row r="207" spans="1:19">
      <c r="A207" s="170"/>
      <c r="B207" s="186"/>
      <c r="C207" s="186"/>
      <c r="D207" s="186"/>
      <c r="E207" s="186"/>
      <c r="F207" s="186"/>
      <c r="G207" s="187"/>
      <c r="H207" s="187"/>
      <c r="I207" s="188"/>
      <c r="J207" s="187"/>
      <c r="K207" s="170"/>
      <c r="L207" s="186"/>
      <c r="M207" s="186"/>
      <c r="N207" s="186"/>
      <c r="O207" s="186"/>
      <c r="P207" s="186"/>
      <c r="Q207" s="187"/>
      <c r="R207" s="187"/>
      <c r="S207" s="188"/>
    </row>
    <row r="208" spans="1:19">
      <c r="A208" s="170"/>
      <c r="B208" s="203" t="s">
        <v>215</v>
      </c>
      <c r="C208" s="186"/>
      <c r="D208" s="186"/>
      <c r="E208" s="186"/>
      <c r="F208" s="186"/>
      <c r="G208" s="297" t="s">
        <v>216</v>
      </c>
      <c r="H208" s="297"/>
      <c r="I208" s="188"/>
      <c r="J208" s="187"/>
      <c r="K208" s="170"/>
      <c r="L208" s="203" t="s">
        <v>215</v>
      </c>
      <c r="M208" s="186"/>
      <c r="N208" s="186"/>
      <c r="O208" s="186"/>
      <c r="P208" s="186"/>
      <c r="Q208" s="297" t="s">
        <v>216</v>
      </c>
      <c r="R208" s="297"/>
      <c r="S208" s="188"/>
    </row>
    <row r="209" spans="1:19">
      <c r="A209" s="204"/>
      <c r="B209" s="205"/>
      <c r="C209" s="206"/>
      <c r="D209" s="206"/>
      <c r="E209" s="206"/>
      <c r="F209" s="206"/>
      <c r="G209" s="207"/>
      <c r="H209" s="205"/>
      <c r="I209" s="208"/>
      <c r="J209" s="187"/>
      <c r="K209" s="204"/>
      <c r="L209" s="205"/>
      <c r="M209" s="206"/>
      <c r="N209" s="206"/>
      <c r="O209" s="206"/>
      <c r="P209" s="206"/>
      <c r="Q209" s="207"/>
      <c r="R209" s="205"/>
      <c r="S209" s="208"/>
    </row>
    <row r="210" spans="1:19">
      <c r="A210" s="169"/>
      <c r="B210" s="186"/>
      <c r="C210" s="186"/>
      <c r="D210" s="186"/>
      <c r="E210" s="186"/>
      <c r="F210" s="186"/>
      <c r="G210" s="187"/>
      <c r="H210" s="186"/>
      <c r="I210" s="187"/>
      <c r="J210" s="187"/>
      <c r="K210" s="169"/>
      <c r="L210" s="186"/>
      <c r="M210" s="186"/>
      <c r="N210" s="186"/>
      <c r="O210" s="186"/>
      <c r="P210" s="186"/>
      <c r="Q210" s="187"/>
      <c r="R210" s="187"/>
      <c r="S210" s="187"/>
    </row>
    <row r="211" spans="1:19">
      <c r="A211" s="166"/>
      <c r="B211" s="167"/>
      <c r="C211" s="167"/>
      <c r="D211" s="167"/>
      <c r="E211" s="167"/>
      <c r="F211" s="167"/>
      <c r="G211" s="167"/>
      <c r="H211" s="167"/>
      <c r="I211" s="168"/>
      <c r="J211" s="169"/>
      <c r="K211" s="166"/>
      <c r="L211" s="167"/>
      <c r="M211" s="167"/>
      <c r="N211" s="167"/>
      <c r="O211" s="167"/>
      <c r="P211" s="167"/>
      <c r="Q211" s="167"/>
      <c r="R211" s="167"/>
      <c r="S211" s="168"/>
    </row>
    <row r="212" spans="1:19">
      <c r="A212" s="170"/>
      <c r="B212" s="169"/>
      <c r="C212" s="169"/>
      <c r="D212" s="169"/>
      <c r="E212" s="169"/>
      <c r="F212" s="169"/>
      <c r="G212" s="169"/>
      <c r="H212" s="169"/>
      <c r="I212" s="171"/>
      <c r="J212" s="169"/>
      <c r="K212" s="170"/>
      <c r="L212" s="169"/>
      <c r="M212" s="169"/>
      <c r="N212" s="169"/>
      <c r="O212" s="169"/>
      <c r="P212" s="169"/>
      <c r="Q212" s="169"/>
      <c r="R212" s="169"/>
      <c r="S212" s="171"/>
    </row>
    <row r="213" spans="1:19">
      <c r="A213" s="170"/>
      <c r="B213" s="169"/>
      <c r="C213" s="169"/>
      <c r="D213" s="169"/>
      <c r="E213" s="169"/>
      <c r="F213" s="169"/>
      <c r="G213" s="169"/>
      <c r="H213" s="169"/>
      <c r="I213" s="171"/>
      <c r="J213" s="169"/>
      <c r="K213" s="170"/>
      <c r="L213" s="169"/>
      <c r="M213" s="169"/>
      <c r="N213" s="169"/>
      <c r="O213" s="169"/>
      <c r="P213" s="169"/>
      <c r="Q213" s="169"/>
      <c r="R213" s="169"/>
      <c r="S213" s="171"/>
    </row>
    <row r="214" spans="1:19">
      <c r="A214" s="170"/>
      <c r="B214" s="294" t="s">
        <v>196</v>
      </c>
      <c r="C214" s="294"/>
      <c r="D214" s="294"/>
      <c r="E214" s="294"/>
      <c r="F214" s="294"/>
      <c r="G214" s="294"/>
      <c r="H214" s="294"/>
      <c r="I214" s="295"/>
      <c r="J214" s="169"/>
      <c r="K214" s="170"/>
      <c r="L214" s="294" t="s">
        <v>196</v>
      </c>
      <c r="M214" s="294"/>
      <c r="N214" s="294"/>
      <c r="O214" s="294"/>
      <c r="P214" s="294"/>
      <c r="Q214" s="294"/>
      <c r="R214" s="294"/>
      <c r="S214" s="295"/>
    </row>
    <row r="215" spans="1:19">
      <c r="A215" s="172"/>
      <c r="B215" s="173" t="s">
        <v>197</v>
      </c>
      <c r="C215" s="174" t="s">
        <v>198</v>
      </c>
      <c r="D215" s="211">
        <f>GENERAL!A21</f>
        <v>12</v>
      </c>
      <c r="E215" s="173"/>
      <c r="F215" s="173"/>
      <c r="G215" s="173"/>
      <c r="H215" s="173"/>
      <c r="I215" s="176"/>
      <c r="J215" s="173"/>
      <c r="K215" s="172"/>
      <c r="L215" s="173" t="s">
        <v>197</v>
      </c>
      <c r="M215" s="174" t="s">
        <v>198</v>
      </c>
      <c r="N215" s="211">
        <f>'[2]G-STAFF'!A47</f>
        <v>13</v>
      </c>
      <c r="O215" s="175"/>
      <c r="P215" s="173"/>
      <c r="Q215" s="173"/>
      <c r="R215" s="173"/>
      <c r="S215" s="176"/>
    </row>
    <row r="216" spans="1:19">
      <c r="A216" s="172"/>
      <c r="B216" s="173" t="s">
        <v>199</v>
      </c>
      <c r="C216" s="174" t="s">
        <v>198</v>
      </c>
      <c r="D216" s="177" t="str">
        <f>'[2]G-STAFF'!A3</f>
        <v>01 JANUARI  S/D  31 JANUARI  2025</v>
      </c>
      <c r="E216" s="173"/>
      <c r="F216" s="173"/>
      <c r="G216" s="173"/>
      <c r="H216" s="173"/>
      <c r="I216" s="176"/>
      <c r="J216" s="173"/>
      <c r="K216" s="172"/>
      <c r="L216" s="173" t="s">
        <v>199</v>
      </c>
      <c r="M216" s="174" t="s">
        <v>198</v>
      </c>
      <c r="N216" s="177" t="str">
        <f>'[2]G-STAFF'!A3</f>
        <v>01 JANUARI  S/D  31 JANUARI  2025</v>
      </c>
      <c r="O216" s="179"/>
      <c r="P216" s="173"/>
      <c r="Q216" s="173"/>
      <c r="R216" s="173"/>
      <c r="S216" s="176"/>
    </row>
    <row r="217" spans="1:19">
      <c r="A217" s="172"/>
      <c r="B217" s="173" t="s">
        <v>200</v>
      </c>
      <c r="C217" s="174" t="s">
        <v>198</v>
      </c>
      <c r="D217" s="177" t="str">
        <f>'[2]G-STAFF'!B46</f>
        <v>NOVA SUGANDI</v>
      </c>
      <c r="E217" s="173"/>
      <c r="F217" s="173"/>
      <c r="G217" s="173"/>
      <c r="H217" s="173"/>
      <c r="I217" s="176"/>
      <c r="J217" s="173"/>
      <c r="K217" s="172"/>
      <c r="L217" s="173" t="s">
        <v>200</v>
      </c>
      <c r="M217" s="174" t="s">
        <v>198</v>
      </c>
      <c r="N217" s="178" t="str">
        <f>'[2]G-STAFF'!B47</f>
        <v>JAMALUDIN</v>
      </c>
      <c r="O217" s="173"/>
      <c r="P217" s="173"/>
      <c r="Q217" s="173"/>
      <c r="R217" s="173"/>
      <c r="S217" s="176"/>
    </row>
    <row r="218" spans="1:19" ht="15.75" thickBot="1">
      <c r="A218" s="172"/>
      <c r="B218" s="173" t="s">
        <v>201</v>
      </c>
      <c r="C218" s="174" t="s">
        <v>198</v>
      </c>
      <c r="D218" s="177" t="str">
        <f>'[2]G-STAFF'!H46</f>
        <v>DRIVER</v>
      </c>
      <c r="E218" s="173"/>
      <c r="F218" s="173"/>
      <c r="G218" s="173"/>
      <c r="H218" s="173"/>
      <c r="I218" s="176"/>
      <c r="J218" s="173"/>
      <c r="K218" s="172"/>
      <c r="L218" s="173" t="s">
        <v>201</v>
      </c>
      <c r="M218" s="174" t="s">
        <v>198</v>
      </c>
      <c r="N218" s="178" t="str">
        <f>'[2]G-STAFF'!H47</f>
        <v>DRIVER</v>
      </c>
      <c r="O218" s="179"/>
      <c r="P218" s="173"/>
      <c r="Q218" s="173"/>
      <c r="R218" s="173"/>
      <c r="S218" s="176"/>
    </row>
    <row r="219" spans="1:19" ht="10.5" customHeight="1" thickTop="1">
      <c r="A219" s="170"/>
      <c r="B219" s="182"/>
      <c r="C219" s="182"/>
      <c r="D219" s="182"/>
      <c r="E219" s="182"/>
      <c r="F219" s="182"/>
      <c r="G219" s="182"/>
      <c r="H219" s="182"/>
      <c r="I219" s="183"/>
      <c r="J219" s="169"/>
      <c r="K219" s="170"/>
      <c r="L219" s="182"/>
      <c r="M219" s="182"/>
      <c r="N219" s="182"/>
      <c r="O219" s="182"/>
      <c r="P219" s="182"/>
      <c r="Q219" s="182"/>
      <c r="R219" s="182"/>
      <c r="S219" s="183"/>
    </row>
    <row r="220" spans="1:19">
      <c r="A220" s="170"/>
      <c r="B220" s="184" t="s">
        <v>202</v>
      </c>
      <c r="C220" s="185"/>
      <c r="D220" s="185"/>
      <c r="E220" s="185"/>
      <c r="F220" s="185"/>
      <c r="G220" s="185"/>
      <c r="H220" s="185"/>
      <c r="I220" s="183"/>
      <c r="J220" s="169"/>
      <c r="K220" s="170"/>
      <c r="L220" s="184" t="s">
        <v>202</v>
      </c>
      <c r="M220" s="184"/>
      <c r="N220" s="185"/>
      <c r="O220" s="185"/>
      <c r="P220" s="185"/>
      <c r="Q220" s="185"/>
      <c r="R220" s="185"/>
      <c r="S220" s="183"/>
    </row>
    <row r="221" spans="1:19">
      <c r="A221" s="170"/>
      <c r="B221" s="186" t="s">
        <v>111</v>
      </c>
      <c r="C221" s="186"/>
      <c r="D221" s="187"/>
      <c r="E221" s="186"/>
      <c r="F221" s="186"/>
      <c r="G221" s="187"/>
      <c r="H221" s="187">
        <f>+GENERAL!F20</f>
        <v>4494855</v>
      </c>
      <c r="I221" s="188"/>
      <c r="J221" s="187"/>
      <c r="K221" s="170"/>
      <c r="L221" s="186" t="s">
        <v>111</v>
      </c>
      <c r="M221" s="186"/>
      <c r="N221" s="187"/>
      <c r="O221" s="186"/>
      <c r="P221" s="186"/>
      <c r="Q221" s="187"/>
      <c r="R221" s="187">
        <f>+GENERAL!F21</f>
        <v>4494855</v>
      </c>
      <c r="S221" s="188"/>
    </row>
    <row r="222" spans="1:19">
      <c r="A222" s="170"/>
      <c r="B222" s="186" t="s">
        <v>203</v>
      </c>
      <c r="C222" s="186"/>
      <c r="D222" s="186"/>
      <c r="E222" s="186"/>
      <c r="F222" s="186"/>
      <c r="G222" s="187"/>
      <c r="H222" s="187">
        <f>+GENERAL!J20</f>
        <v>0</v>
      </c>
      <c r="I222" s="188"/>
      <c r="J222" s="209"/>
      <c r="K222" s="170"/>
      <c r="L222" s="186" t="s">
        <v>203</v>
      </c>
      <c r="M222" s="186"/>
      <c r="N222" s="186"/>
      <c r="O222" s="186"/>
      <c r="P222" s="186"/>
      <c r="Q222" s="187"/>
      <c r="R222" s="187">
        <f>+GENERAL!J21</f>
        <v>0</v>
      </c>
      <c r="S222" s="188"/>
    </row>
    <row r="223" spans="1:19">
      <c r="A223" s="170"/>
      <c r="B223" s="186" t="s">
        <v>224</v>
      </c>
      <c r="C223" s="186"/>
      <c r="D223" s="186"/>
      <c r="E223" s="186"/>
      <c r="F223" s="186"/>
      <c r="G223" s="187"/>
      <c r="H223" s="187">
        <f>+GENERAL!T20</f>
        <v>448215.69090000005</v>
      </c>
      <c r="I223" s="188"/>
      <c r="J223" s="209"/>
      <c r="K223" s="170"/>
      <c r="L223" s="186" t="s">
        <v>224</v>
      </c>
      <c r="M223" s="186"/>
      <c r="N223" s="186"/>
      <c r="O223" s="186"/>
      <c r="P223" s="186"/>
      <c r="Q223" s="187"/>
      <c r="R223" s="187">
        <f>+GENERAL!T21</f>
        <v>448215.69090000005</v>
      </c>
      <c r="S223" s="188"/>
    </row>
    <row r="224" spans="1:19">
      <c r="A224" s="170"/>
      <c r="B224" s="186" t="s">
        <v>195</v>
      </c>
      <c r="C224" s="186"/>
      <c r="D224" s="187">
        <f>'[2]G-STAFF'!Z46</f>
        <v>20</v>
      </c>
      <c r="E224" s="186" t="s">
        <v>204</v>
      </c>
      <c r="F224" s="186" t="s">
        <v>205</v>
      </c>
      <c r="G224" s="187">
        <v>6000</v>
      </c>
      <c r="H224" s="187">
        <f>G224*D224</f>
        <v>120000</v>
      </c>
      <c r="I224" s="188"/>
      <c r="J224" s="187"/>
      <c r="K224" s="170"/>
      <c r="L224" s="186" t="s">
        <v>195</v>
      </c>
      <c r="M224" s="186"/>
      <c r="N224" s="187">
        <f>'[2]G-STAFF'!Z47</f>
        <v>20</v>
      </c>
      <c r="O224" s="186" t="s">
        <v>204</v>
      </c>
      <c r="P224" s="186" t="s">
        <v>205</v>
      </c>
      <c r="Q224" s="187">
        <v>6000</v>
      </c>
      <c r="R224" s="187">
        <f>Q224*N224</f>
        <v>120000</v>
      </c>
      <c r="S224" s="188"/>
    </row>
    <row r="225" spans="1:19">
      <c r="A225" s="170"/>
      <c r="B225" s="186" t="s">
        <v>217</v>
      </c>
      <c r="C225" s="186"/>
      <c r="D225" s="186"/>
      <c r="E225" s="186"/>
      <c r="F225" s="186"/>
      <c r="G225" s="187"/>
      <c r="H225" s="187">
        <v>0</v>
      </c>
      <c r="I225" s="188"/>
      <c r="J225" s="209"/>
      <c r="K225" s="170"/>
      <c r="L225" s="186" t="s">
        <v>217</v>
      </c>
      <c r="M225" s="186"/>
      <c r="N225" s="186"/>
      <c r="O225" s="186"/>
      <c r="P225" s="186"/>
      <c r="Q225" s="187"/>
      <c r="R225" s="187">
        <v>0</v>
      </c>
      <c r="S225" s="188"/>
    </row>
    <row r="226" spans="1:19">
      <c r="A226" s="170"/>
      <c r="B226" s="186" t="s">
        <v>206</v>
      </c>
      <c r="C226" s="186"/>
      <c r="D226" s="212">
        <f>'[2]G-STAFF'!CH46</f>
        <v>10</v>
      </c>
      <c r="E226" s="186" t="s">
        <v>207</v>
      </c>
      <c r="F226" s="186" t="s">
        <v>205</v>
      </c>
      <c r="G226" s="187">
        <f>'[2]G-STAFF'!M46</f>
        <v>25222.890173410404</v>
      </c>
      <c r="H226" s="187">
        <f>G226*D226+10</f>
        <v>252238.90173410403</v>
      </c>
      <c r="I226" s="188"/>
      <c r="J226" s="187"/>
      <c r="K226" s="170"/>
      <c r="L226" s="186" t="s">
        <v>206</v>
      </c>
      <c r="M226" s="186"/>
      <c r="N226" s="212">
        <f>'[2]G-STAFF'!CH47</f>
        <v>10</v>
      </c>
      <c r="O226" s="186" t="s">
        <v>207</v>
      </c>
      <c r="P226" s="186" t="s">
        <v>205</v>
      </c>
      <c r="Q226" s="187">
        <f>'[2]G-STAFF'!M47</f>
        <v>20590.751445086706</v>
      </c>
      <c r="R226" s="187">
        <f>Q226*N226+33</f>
        <v>205940.51445086705</v>
      </c>
      <c r="S226" s="188"/>
    </row>
    <row r="227" spans="1:19" ht="15.75" thickBot="1">
      <c r="A227" s="170"/>
      <c r="B227" s="190" t="s">
        <v>208</v>
      </c>
      <c r="C227" s="190"/>
      <c r="D227" s="213">
        <f>'[2]G-STAFF'!CG46</f>
        <v>76.5</v>
      </c>
      <c r="E227" s="190" t="s">
        <v>207</v>
      </c>
      <c r="F227" s="190" t="s">
        <v>205</v>
      </c>
      <c r="G227" s="192">
        <f>G226</f>
        <v>25222.890173410404</v>
      </c>
      <c r="H227" s="192">
        <f>G227*D227</f>
        <v>1929551.0982658959</v>
      </c>
      <c r="I227" s="188"/>
      <c r="J227" s="187"/>
      <c r="K227" s="170"/>
      <c r="L227" s="190" t="s">
        <v>208</v>
      </c>
      <c r="M227" s="190"/>
      <c r="N227" s="213">
        <f>'[2]G-STAFF'!CG47</f>
        <v>121.5</v>
      </c>
      <c r="O227" s="190" t="s">
        <v>207</v>
      </c>
      <c r="P227" s="190" t="s">
        <v>205</v>
      </c>
      <c r="Q227" s="192">
        <f>Q226</f>
        <v>20590.751445086706</v>
      </c>
      <c r="R227" s="192">
        <f>Q227*N227</f>
        <v>2501776.3005780349</v>
      </c>
      <c r="S227" s="188"/>
    </row>
    <row r="228" spans="1:19" ht="15.75" thickBot="1">
      <c r="A228" s="170"/>
      <c r="B228" s="190" t="s">
        <v>219</v>
      </c>
      <c r="C228" s="190"/>
      <c r="D228" s="213">
        <f>'[2]G-STAFF'!CI46</f>
        <v>86.5</v>
      </c>
      <c r="E228" s="190"/>
      <c r="F228" s="190"/>
      <c r="G228" s="192"/>
      <c r="H228" s="192">
        <f>SUM(H221:H227)</f>
        <v>7244860.6908999998</v>
      </c>
      <c r="I228" s="188"/>
      <c r="J228" s="187"/>
      <c r="K228" s="170"/>
      <c r="L228" s="190" t="s">
        <v>219</v>
      </c>
      <c r="M228" s="190"/>
      <c r="N228" s="213">
        <f>'[2]G-STAFF'!CI47</f>
        <v>131.5</v>
      </c>
      <c r="O228" s="190"/>
      <c r="P228" s="190"/>
      <c r="Q228" s="192"/>
      <c r="R228" s="192">
        <f>SUM(R221:R227)</f>
        <v>7770787.505928902</v>
      </c>
      <c r="S228" s="188"/>
    </row>
    <row r="229" spans="1:19" ht="10.5" customHeight="1" thickTop="1">
      <c r="A229" s="170"/>
      <c r="B229" s="182"/>
      <c r="C229" s="182"/>
      <c r="D229" s="182"/>
      <c r="E229" s="182"/>
      <c r="F229" s="182"/>
      <c r="G229" s="182"/>
      <c r="H229" s="182"/>
      <c r="I229" s="183"/>
      <c r="J229" s="169"/>
      <c r="K229" s="170"/>
      <c r="L229" s="182"/>
      <c r="M229" s="182"/>
      <c r="N229" s="182"/>
      <c r="O229" s="182"/>
      <c r="P229" s="182"/>
      <c r="Q229" s="182"/>
      <c r="R229" s="182"/>
      <c r="S229" s="183"/>
    </row>
    <row r="230" spans="1:19">
      <c r="A230" s="170"/>
      <c r="B230" s="196" t="s">
        <v>113</v>
      </c>
      <c r="C230" s="186"/>
      <c r="D230" s="186"/>
      <c r="E230" s="186"/>
      <c r="F230" s="186"/>
      <c r="G230" s="187"/>
      <c r="H230" s="187"/>
      <c r="I230" s="188"/>
      <c r="J230" s="209"/>
      <c r="K230" s="170"/>
      <c r="L230" s="196" t="s">
        <v>113</v>
      </c>
      <c r="M230" s="186"/>
      <c r="N230" s="186"/>
      <c r="O230" s="186"/>
      <c r="P230" s="186"/>
      <c r="Q230" s="187"/>
      <c r="R230" s="187"/>
      <c r="S230" s="188"/>
    </row>
    <row r="231" spans="1:19">
      <c r="A231" s="170"/>
      <c r="B231" s="186" t="s">
        <v>209</v>
      </c>
      <c r="C231" s="186"/>
      <c r="D231" s="197"/>
      <c r="E231" s="186"/>
      <c r="F231" s="186"/>
      <c r="G231" s="198" t="str">
        <f>'[2]G-STAFF'!C46</f>
        <v>K</v>
      </c>
      <c r="H231" s="187">
        <f>+GENERAL!AA20</f>
        <v>0</v>
      </c>
      <c r="I231" s="188"/>
      <c r="J231" s="209"/>
      <c r="K231" s="170"/>
      <c r="L231" s="186" t="s">
        <v>209</v>
      </c>
      <c r="M231" s="186"/>
      <c r="N231" s="198"/>
      <c r="O231" s="186"/>
      <c r="P231" s="186"/>
      <c r="Q231" s="198" t="str">
        <f>'[2]G-STAFF'!C47</f>
        <v>K2</v>
      </c>
      <c r="R231" s="187">
        <f>+GENERAL!AA21</f>
        <v>45091</v>
      </c>
      <c r="S231" s="188"/>
    </row>
    <row r="232" spans="1:19">
      <c r="A232" s="170"/>
      <c r="B232" s="186" t="s">
        <v>225</v>
      </c>
      <c r="C232" s="186"/>
      <c r="D232" s="197"/>
      <c r="E232" s="186"/>
      <c r="F232" s="186"/>
      <c r="G232" s="198"/>
      <c r="H232" s="187">
        <f>+GENERAL!X20+GENERAL!Y20</f>
        <v>48772.11</v>
      </c>
      <c r="I232" s="188"/>
      <c r="J232" s="209"/>
      <c r="K232" s="170"/>
      <c r="L232" s="186" t="s">
        <v>225</v>
      </c>
      <c r="M232" s="186"/>
      <c r="N232" s="198"/>
      <c r="O232" s="186"/>
      <c r="P232" s="186"/>
      <c r="Q232" s="198"/>
      <c r="R232" s="187">
        <f>+GENERAL!X21+GENERAL!Y21</f>
        <v>48772.11</v>
      </c>
      <c r="S232" s="188"/>
    </row>
    <row r="233" spans="1:19">
      <c r="A233" s="170"/>
      <c r="B233" s="186" t="s">
        <v>226</v>
      </c>
      <c r="C233" s="186"/>
      <c r="D233" s="197"/>
      <c r="E233" s="186"/>
      <c r="F233" s="186"/>
      <c r="G233" s="198"/>
      <c r="H233" s="187">
        <f>+GENERAL!V20+GENERAL!W20+1</f>
        <v>146317.33000000002</v>
      </c>
      <c r="I233" s="188"/>
      <c r="J233" s="209"/>
      <c r="K233" s="170"/>
      <c r="L233" s="186" t="s">
        <v>226</v>
      </c>
      <c r="M233" s="186"/>
      <c r="N233" s="198"/>
      <c r="O233" s="186"/>
      <c r="P233" s="186"/>
      <c r="Q233" s="198"/>
      <c r="R233" s="187">
        <f>+GENERAL!V21+GENERAL!W21</f>
        <v>146316.33000000002</v>
      </c>
      <c r="S233" s="188"/>
    </row>
    <row r="234" spans="1:19">
      <c r="A234" s="170"/>
      <c r="B234" s="186" t="s">
        <v>103</v>
      </c>
      <c r="C234" s="186"/>
      <c r="D234" s="186"/>
      <c r="E234" s="186"/>
      <c r="F234" s="186"/>
      <c r="G234" s="187"/>
      <c r="H234" s="187">
        <f>+H223</f>
        <v>448215.69090000005</v>
      </c>
      <c r="I234" s="188"/>
      <c r="J234" s="209"/>
      <c r="K234" s="170"/>
      <c r="L234" s="186" t="s">
        <v>103</v>
      </c>
      <c r="M234" s="186"/>
      <c r="N234" s="186"/>
      <c r="O234" s="186"/>
      <c r="P234" s="186"/>
      <c r="Q234" s="187"/>
      <c r="R234" s="187">
        <f>+R223</f>
        <v>448215.69090000005</v>
      </c>
      <c r="S234" s="188"/>
    </row>
    <row r="235" spans="1:19" ht="15.75" thickBot="1">
      <c r="A235" s="170"/>
      <c r="B235" s="190" t="s">
        <v>211</v>
      </c>
      <c r="C235" s="190"/>
      <c r="D235" s="190"/>
      <c r="E235" s="190"/>
      <c r="F235" s="190"/>
      <c r="G235" s="192"/>
      <c r="H235" s="192">
        <f>SUM(H231:H234)</f>
        <v>643305.13089999999</v>
      </c>
      <c r="I235" s="188"/>
      <c r="J235" s="209"/>
      <c r="K235" s="170"/>
      <c r="L235" s="190" t="s">
        <v>211</v>
      </c>
      <c r="M235" s="190"/>
      <c r="N235" s="190"/>
      <c r="O235" s="190"/>
      <c r="P235" s="190"/>
      <c r="Q235" s="192"/>
      <c r="R235" s="192">
        <f>SUM(R231:R234)</f>
        <v>688395.13089999999</v>
      </c>
      <c r="S235" s="188"/>
    </row>
    <row r="236" spans="1:19" ht="15.75" thickBot="1">
      <c r="A236" s="170"/>
      <c r="B236" s="193" t="s">
        <v>220</v>
      </c>
      <c r="C236" s="193"/>
      <c r="D236" s="193"/>
      <c r="E236" s="193"/>
      <c r="F236" s="193"/>
      <c r="G236" s="195"/>
      <c r="H236" s="195">
        <f>SUM(H228-H235)</f>
        <v>6601555.5599999996</v>
      </c>
      <c r="I236" s="188"/>
      <c r="J236" s="209"/>
      <c r="K236" s="170"/>
      <c r="L236" s="193" t="s">
        <v>220</v>
      </c>
      <c r="M236" s="193"/>
      <c r="N236" s="193"/>
      <c r="O236" s="193"/>
      <c r="P236" s="193"/>
      <c r="Q236" s="195"/>
      <c r="R236" s="195">
        <f>SUM(R228-R235)</f>
        <v>7082392.3750289017</v>
      </c>
      <c r="S236" s="188"/>
    </row>
    <row r="237" spans="1:19">
      <c r="A237" s="170"/>
      <c r="B237" s="186" t="s">
        <v>221</v>
      </c>
      <c r="C237" s="186"/>
      <c r="D237" s="186"/>
      <c r="E237" s="186"/>
      <c r="F237" s="186"/>
      <c r="G237" s="187"/>
      <c r="H237" s="187">
        <f>'[2]Urutan Nm'!H79</f>
        <v>10000</v>
      </c>
      <c r="I237" s="188"/>
      <c r="J237" s="209"/>
      <c r="K237" s="170"/>
      <c r="L237" s="186" t="s">
        <v>221</v>
      </c>
      <c r="M237" s="186"/>
      <c r="N237" s="186"/>
      <c r="O237" s="186"/>
      <c r="P237" s="186"/>
      <c r="Q237" s="187"/>
      <c r="R237" s="187">
        <f>'[2]Urutan Nm'!H80</f>
        <v>10000</v>
      </c>
      <c r="S237" s="188"/>
    </row>
    <row r="238" spans="1:19" ht="10.5" customHeight="1" thickBot="1">
      <c r="A238" s="170"/>
      <c r="B238" s="199"/>
      <c r="C238" s="190"/>
      <c r="D238" s="190"/>
      <c r="E238" s="190"/>
      <c r="F238" s="190"/>
      <c r="G238" s="192"/>
      <c r="H238" s="192"/>
      <c r="I238" s="188"/>
      <c r="J238" s="187"/>
      <c r="K238" s="170"/>
      <c r="L238" s="199"/>
      <c r="M238" s="190"/>
      <c r="N238" s="190"/>
      <c r="O238" s="190"/>
      <c r="P238" s="190"/>
      <c r="Q238" s="192"/>
      <c r="R238" s="192"/>
      <c r="S238" s="188"/>
    </row>
    <row r="239" spans="1:19" ht="15.75" thickBot="1">
      <c r="A239" s="170"/>
      <c r="B239" s="200" t="s">
        <v>212</v>
      </c>
      <c r="C239" s="200"/>
      <c r="D239" s="200"/>
      <c r="E239" s="200"/>
      <c r="F239" s="200"/>
      <c r="G239" s="201"/>
      <c r="H239" s="201">
        <f>+H236-H237</f>
        <v>6591555.5599999996</v>
      </c>
      <c r="I239" s="188"/>
      <c r="J239" s="187"/>
      <c r="K239" s="170"/>
      <c r="L239" s="200" t="s">
        <v>212</v>
      </c>
      <c r="M239" s="200"/>
      <c r="N239" s="200"/>
      <c r="O239" s="200"/>
      <c r="P239" s="200"/>
      <c r="Q239" s="201"/>
      <c r="R239" s="201">
        <f>+R236-R237</f>
        <v>7072392.3750289017</v>
      </c>
      <c r="S239" s="188"/>
    </row>
    <row r="240" spans="1:19" ht="15.75" thickTop="1">
      <c r="A240" s="170"/>
      <c r="B240" s="202" t="s">
        <v>213</v>
      </c>
      <c r="C240" s="186"/>
      <c r="D240" s="186"/>
      <c r="E240" s="186"/>
      <c r="F240" s="186"/>
      <c r="G240" s="296" t="s">
        <v>214</v>
      </c>
      <c r="H240" s="296"/>
      <c r="I240" s="188"/>
      <c r="J240" s="187"/>
      <c r="K240" s="170"/>
      <c r="L240" s="202" t="s">
        <v>213</v>
      </c>
      <c r="M240" s="186"/>
      <c r="N240" s="186"/>
      <c r="O240" s="186"/>
      <c r="P240" s="186"/>
      <c r="Q240" s="296" t="s">
        <v>214</v>
      </c>
      <c r="R240" s="296"/>
      <c r="S240" s="188"/>
    </row>
    <row r="241" spans="1:19">
      <c r="A241" s="170"/>
      <c r="B241" s="186"/>
      <c r="C241" s="186"/>
      <c r="D241" s="186"/>
      <c r="E241" s="186"/>
      <c r="F241" s="186"/>
      <c r="G241" s="187"/>
      <c r="H241" s="187"/>
      <c r="I241" s="188"/>
      <c r="J241" s="187"/>
      <c r="K241" s="170"/>
      <c r="L241" s="186"/>
      <c r="M241" s="186"/>
      <c r="N241" s="186"/>
      <c r="O241" s="186"/>
      <c r="P241" s="186"/>
      <c r="Q241" s="187"/>
      <c r="R241" s="187"/>
      <c r="S241" s="188"/>
    </row>
    <row r="242" spans="1:19">
      <c r="A242" s="170"/>
      <c r="B242" s="186"/>
      <c r="C242" s="186"/>
      <c r="D242" s="186"/>
      <c r="E242" s="186"/>
      <c r="F242" s="186"/>
      <c r="G242" s="187"/>
      <c r="H242" s="187"/>
      <c r="I242" s="188"/>
      <c r="J242" s="187"/>
      <c r="K242" s="170"/>
      <c r="L242" s="186"/>
      <c r="M242" s="186"/>
      <c r="N242" s="186"/>
      <c r="O242" s="186"/>
      <c r="P242" s="186"/>
      <c r="Q242" s="187"/>
      <c r="R242" s="187"/>
      <c r="S242" s="188"/>
    </row>
    <row r="243" spans="1:19">
      <c r="A243" s="170"/>
      <c r="B243" s="203" t="s">
        <v>215</v>
      </c>
      <c r="C243" s="186"/>
      <c r="D243" s="186"/>
      <c r="E243" s="186"/>
      <c r="F243" s="186"/>
      <c r="G243" s="297" t="s">
        <v>216</v>
      </c>
      <c r="H243" s="297"/>
      <c r="I243" s="188"/>
      <c r="J243" s="187"/>
      <c r="K243" s="170"/>
      <c r="L243" s="203" t="s">
        <v>215</v>
      </c>
      <c r="M243" s="186"/>
      <c r="N243" s="186"/>
      <c r="O243" s="186"/>
      <c r="P243" s="186"/>
      <c r="Q243" s="297" t="s">
        <v>216</v>
      </c>
      <c r="R243" s="297"/>
      <c r="S243" s="188"/>
    </row>
    <row r="244" spans="1:19">
      <c r="A244" s="204"/>
      <c r="B244" s="205"/>
      <c r="C244" s="206"/>
      <c r="D244" s="206"/>
      <c r="E244" s="206"/>
      <c r="F244" s="206"/>
      <c r="G244" s="207"/>
      <c r="H244" s="205"/>
      <c r="I244" s="208"/>
      <c r="J244" s="187"/>
      <c r="K244" s="204"/>
      <c r="L244" s="205"/>
      <c r="M244" s="206"/>
      <c r="N244" s="206"/>
      <c r="O244" s="206"/>
      <c r="P244" s="206"/>
      <c r="Q244" s="207"/>
      <c r="R244" s="205"/>
      <c r="S244" s="208"/>
    </row>
  </sheetData>
  <mergeCells count="42">
    <mergeCell ref="B214:I214"/>
    <mergeCell ref="L214:S214"/>
    <mergeCell ref="G240:H240"/>
    <mergeCell ref="Q240:R240"/>
    <mergeCell ref="G243:H243"/>
    <mergeCell ref="Q243:R243"/>
    <mergeCell ref="B179:I179"/>
    <mergeCell ref="L179:S179"/>
    <mergeCell ref="G205:H205"/>
    <mergeCell ref="Q205:R205"/>
    <mergeCell ref="G208:H208"/>
    <mergeCell ref="Q208:R208"/>
    <mergeCell ref="B144:I144"/>
    <mergeCell ref="L144:S144"/>
    <mergeCell ref="G170:H170"/>
    <mergeCell ref="Q170:R170"/>
    <mergeCell ref="G173:H173"/>
    <mergeCell ref="Q173:R173"/>
    <mergeCell ref="B109:I109"/>
    <mergeCell ref="L109:S109"/>
    <mergeCell ref="G135:H135"/>
    <mergeCell ref="Q135:R135"/>
    <mergeCell ref="G138:H138"/>
    <mergeCell ref="Q138:R138"/>
    <mergeCell ref="B74:I74"/>
    <mergeCell ref="L74:S74"/>
    <mergeCell ref="G100:H100"/>
    <mergeCell ref="Q100:R100"/>
    <mergeCell ref="G103:H103"/>
    <mergeCell ref="Q103:R103"/>
    <mergeCell ref="B39:I39"/>
    <mergeCell ref="L39:S39"/>
    <mergeCell ref="G65:H65"/>
    <mergeCell ref="Q65:R65"/>
    <mergeCell ref="G68:H68"/>
    <mergeCell ref="Q68:R68"/>
    <mergeCell ref="B4:I4"/>
    <mergeCell ref="L4:S4"/>
    <mergeCell ref="G30:H30"/>
    <mergeCell ref="Q30:R30"/>
    <mergeCell ref="G33:H33"/>
    <mergeCell ref="Q33:R33"/>
  </mergeCells>
  <pageMargins left="0.23622047244094491" right="0.23622047244094491" top="0" bottom="0.39370078740157483" header="0.31496062992125984" footer="0.31496062992125984"/>
  <pageSetup paperSize="5" scale="82" fitToHeight="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7"/>
  <sheetViews>
    <sheetView showGridLines="0" topLeftCell="A29" zoomScale="80" zoomScaleNormal="80" workbookViewId="0">
      <selection activeCell="F35" sqref="F35"/>
    </sheetView>
  </sheetViews>
  <sheetFormatPr defaultColWidth="9.140625" defaultRowHeight="15" customHeight="1"/>
  <cols>
    <col min="1" max="1" width="4.85546875" style="6" customWidth="1"/>
    <col min="2" max="2" width="28.28515625" style="15" customWidth="1"/>
    <col min="3" max="3" width="14.42578125" style="50" customWidth="1"/>
    <col min="4" max="4" width="5" style="6" customWidth="1"/>
    <col min="5" max="5" width="18.140625" style="6" customWidth="1"/>
    <col min="6" max="6" width="6.7109375" style="253" customWidth="1"/>
    <col min="7" max="7" width="10.28515625" style="6" hidden="1" customWidth="1"/>
    <col min="8" max="8" width="12.7109375" style="6" customWidth="1"/>
    <col min="9" max="10" width="10.7109375" style="6" customWidth="1"/>
    <col min="11" max="11" width="10.7109375" style="6" hidden="1" customWidth="1"/>
    <col min="12" max="12" width="15.140625" style="6" hidden="1" customWidth="1"/>
    <col min="13" max="13" width="8.7109375" style="6" hidden="1" customWidth="1"/>
    <col min="14" max="14" width="12.7109375" style="6" hidden="1" customWidth="1"/>
    <col min="15" max="15" width="6.7109375" style="88" customWidth="1"/>
    <col min="16" max="16" width="8.7109375" style="6" customWidth="1"/>
    <col min="17" max="17" width="11.28515625" style="15" hidden="1" customWidth="1"/>
    <col min="18" max="18" width="10.7109375" style="6" customWidth="1"/>
    <col min="19" max="19" width="10.7109375" style="15" customWidth="1"/>
    <col min="20" max="20" width="10.7109375" style="15" hidden="1" customWidth="1"/>
    <col min="21" max="21" width="12.7109375" style="15" hidden="1" customWidth="1"/>
    <col min="22" max="22" width="12.7109375" style="27" customWidth="1"/>
    <col min="23" max="24" width="10.7109375" style="15" customWidth="1"/>
    <col min="25" max="25" width="10.7109375" style="27" customWidth="1"/>
    <col min="26" max="26" width="10.7109375" style="15" customWidth="1"/>
    <col min="27" max="27" width="10.7109375" style="27" customWidth="1"/>
    <col min="28" max="28" width="12.7109375" style="27" customWidth="1"/>
    <col min="29" max="32" width="10.7109375" style="15" customWidth="1"/>
    <col min="33" max="34" width="10.7109375" style="27" customWidth="1"/>
    <col min="35" max="35" width="12.7109375" style="27" customWidth="1"/>
    <col min="36" max="36" width="5.28515625" style="15" customWidth="1"/>
    <col min="37" max="37" width="3.85546875" style="6" customWidth="1"/>
    <col min="38" max="38" width="11.7109375" style="15" customWidth="1"/>
    <col min="39" max="39" width="11.7109375" style="6" customWidth="1"/>
    <col min="40" max="40" width="14.28515625" style="6" customWidth="1"/>
    <col min="41" max="41" width="11.7109375" style="6" customWidth="1"/>
    <col min="42" max="42" width="13.85546875" style="6" customWidth="1"/>
    <col min="43" max="43" width="15.140625" style="6" customWidth="1"/>
    <col min="44" max="44" width="12.28515625" style="15" customWidth="1"/>
    <col min="45" max="45" width="13" style="15" customWidth="1"/>
    <col min="46" max="46" width="11.7109375" style="15" customWidth="1"/>
    <col min="47" max="50" width="11.7109375" style="6" customWidth="1"/>
    <col min="51" max="51" width="16.42578125" style="6" customWidth="1"/>
    <col min="52" max="52" width="12.140625" style="6" customWidth="1"/>
    <col min="53" max="53" width="13.85546875" style="6" customWidth="1"/>
    <col min="54" max="54" width="11.85546875" style="6" customWidth="1"/>
    <col min="55" max="55" width="14.5703125" style="6" customWidth="1"/>
    <col min="56" max="56" width="15.5703125" style="6" customWidth="1"/>
    <col min="57" max="57" width="11.42578125" style="6" customWidth="1"/>
    <col min="58" max="58" width="26.140625" style="6" customWidth="1"/>
    <col min="59" max="59" width="12" style="6" customWidth="1"/>
    <col min="60" max="60" width="10.7109375" style="6" customWidth="1"/>
    <col min="61" max="61" width="11.85546875" style="6" bestFit="1" customWidth="1"/>
    <col min="62" max="62" width="12.5703125" style="6" bestFit="1" customWidth="1"/>
    <col min="63" max="63" width="3.85546875" style="6" bestFit="1" customWidth="1"/>
    <col min="64" max="64" width="12.140625" style="6" bestFit="1" customWidth="1"/>
    <col min="65" max="65" width="9.42578125" style="6" bestFit="1" customWidth="1"/>
    <col min="66" max="66" width="9.28515625" style="6" bestFit="1" customWidth="1"/>
    <col min="67" max="67" width="9.42578125" style="6" bestFit="1" customWidth="1"/>
    <col min="68" max="68" width="9.28515625" style="6" bestFit="1" customWidth="1"/>
    <col min="69" max="70" width="10.7109375" style="6" bestFit="1" customWidth="1"/>
    <col min="71" max="71" width="12" style="6" customWidth="1"/>
    <col min="72" max="72" width="13.85546875" style="6" bestFit="1" customWidth="1"/>
    <col min="73" max="73" width="13" style="6" bestFit="1" customWidth="1"/>
    <col min="74" max="74" width="9.85546875" style="6" bestFit="1" customWidth="1"/>
    <col min="75" max="75" width="10.85546875" style="6" bestFit="1" customWidth="1"/>
    <col min="76" max="76" width="15.140625" style="6" bestFit="1" customWidth="1"/>
    <col min="77" max="77" width="16.28515625" style="6" bestFit="1" customWidth="1"/>
    <col min="78" max="78" width="12.140625" style="6" bestFit="1" customWidth="1"/>
    <col min="79" max="79" width="13.85546875" style="6" bestFit="1" customWidth="1"/>
    <col min="80" max="80" width="11.85546875" style="6" bestFit="1" customWidth="1"/>
    <col min="81" max="82" width="9.42578125" style="6" bestFit="1" customWidth="1"/>
    <col min="83" max="83" width="9.140625" style="6"/>
    <col min="84" max="84" width="9.28515625" style="6" bestFit="1" customWidth="1"/>
    <col min="85" max="85" width="9.140625" style="6"/>
    <col min="86" max="88" width="10.140625" style="6" bestFit="1" customWidth="1"/>
    <col min="89" max="91" width="9.28515625" style="6" bestFit="1" customWidth="1"/>
    <col min="92" max="94" width="10.140625" style="6" bestFit="1" customWidth="1"/>
    <col min="95" max="100" width="9.140625" style="6"/>
    <col min="101" max="103" width="9.28515625" style="6" bestFit="1" customWidth="1"/>
    <col min="104" max="16384" width="9.140625" style="6"/>
  </cols>
  <sheetData>
    <row r="1" spans="1:47" s="45" customFormat="1" ht="15" customHeight="1">
      <c r="A1" s="41" t="s">
        <v>351</v>
      </c>
      <c r="B1" s="47"/>
      <c r="C1" s="47"/>
      <c r="D1" s="69"/>
      <c r="E1" s="69"/>
      <c r="F1" s="13"/>
      <c r="G1" s="69"/>
      <c r="H1" s="69"/>
      <c r="I1" s="69"/>
      <c r="J1" s="69"/>
      <c r="K1" s="69"/>
      <c r="L1" s="69"/>
      <c r="M1" s="69"/>
      <c r="N1" s="69"/>
      <c r="O1" s="126"/>
      <c r="P1" s="69"/>
      <c r="Q1" s="13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spans="1:47" s="45" customFormat="1" ht="15" customHeight="1">
      <c r="A2" s="41" t="s">
        <v>242</v>
      </c>
      <c r="B2" s="47"/>
      <c r="C2" s="47"/>
      <c r="D2" s="69"/>
      <c r="E2" s="69"/>
      <c r="F2" s="13"/>
      <c r="G2" s="69"/>
      <c r="H2" s="69"/>
      <c r="I2" s="69"/>
      <c r="J2" s="69"/>
      <c r="K2" s="69"/>
      <c r="L2" s="69"/>
      <c r="M2" s="69"/>
      <c r="N2" s="69"/>
      <c r="O2" s="126"/>
      <c r="P2" s="69"/>
      <c r="Q2" s="13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47" s="45" customFormat="1" ht="15" customHeight="1">
      <c r="A3" s="240" t="s">
        <v>364</v>
      </c>
      <c r="B3" s="265"/>
      <c r="C3" s="240"/>
      <c r="D3" s="240"/>
      <c r="E3" s="240"/>
      <c r="F3" s="13"/>
      <c r="G3" s="69"/>
      <c r="H3" s="13"/>
      <c r="I3" s="69"/>
      <c r="J3" s="69"/>
      <c r="K3" s="69"/>
      <c r="L3" s="69"/>
      <c r="M3" s="69"/>
      <c r="N3" s="69"/>
      <c r="O3" s="126"/>
      <c r="P3" s="69"/>
      <c r="Q3" s="13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</row>
    <row r="4" spans="1:47" ht="15" customHeight="1">
      <c r="A4" s="7"/>
      <c r="B4" s="8"/>
      <c r="C4" s="49"/>
      <c r="D4" s="9"/>
      <c r="E4" s="9"/>
      <c r="F4" s="8"/>
      <c r="G4" s="9"/>
      <c r="H4" s="9"/>
      <c r="I4" s="9"/>
      <c r="J4" s="9"/>
      <c r="K4" s="9"/>
      <c r="L4" s="9"/>
      <c r="M4" s="9"/>
      <c r="N4" s="9"/>
      <c r="O4" s="127"/>
      <c r="P4" s="9"/>
      <c r="Q4" s="8"/>
      <c r="R4" s="9"/>
      <c r="S4" s="9"/>
      <c r="T4" s="9"/>
      <c r="U4" s="9"/>
      <c r="V4" s="10"/>
      <c r="W4" s="8"/>
      <c r="X4" s="8"/>
      <c r="Y4" s="11"/>
      <c r="Z4" s="12"/>
      <c r="AA4" s="11"/>
      <c r="AB4" s="13"/>
      <c r="AC4" s="8"/>
      <c r="AD4" s="8"/>
      <c r="AE4" s="8"/>
      <c r="AF4" s="8"/>
      <c r="AG4" s="13"/>
      <c r="AH4" s="14"/>
      <c r="AI4" s="14"/>
    </row>
    <row r="5" spans="1:47" ht="19.899999999999999" customHeight="1">
      <c r="A5" s="282" t="s">
        <v>82</v>
      </c>
      <c r="B5" s="282" t="s">
        <v>3</v>
      </c>
      <c r="C5" s="282" t="s">
        <v>97</v>
      </c>
      <c r="D5" s="282" t="s">
        <v>4</v>
      </c>
      <c r="E5" s="283" t="s">
        <v>251</v>
      </c>
      <c r="F5" s="276" t="s">
        <v>150</v>
      </c>
      <c r="G5" s="275" t="s">
        <v>111</v>
      </c>
      <c r="H5" s="284" t="s">
        <v>111</v>
      </c>
      <c r="I5" s="284" t="s">
        <v>0</v>
      </c>
      <c r="J5" s="284"/>
      <c r="K5" s="132"/>
      <c r="L5" s="304" t="s">
        <v>194</v>
      </c>
      <c r="M5" s="305"/>
      <c r="N5" s="305"/>
      <c r="O5" s="305"/>
      <c r="P5" s="305"/>
      <c r="Q5" s="306"/>
      <c r="R5" s="299" t="s">
        <v>156</v>
      </c>
      <c r="S5" s="299" t="s">
        <v>195</v>
      </c>
      <c r="T5" s="299" t="s">
        <v>89</v>
      </c>
      <c r="U5" s="302" t="s">
        <v>175</v>
      </c>
      <c r="V5" s="276" t="s">
        <v>110</v>
      </c>
      <c r="W5" s="276" t="s">
        <v>103</v>
      </c>
      <c r="X5" s="276"/>
      <c r="Y5" s="276"/>
      <c r="Z5" s="276"/>
      <c r="AA5" s="276" t="s">
        <v>146</v>
      </c>
      <c r="AB5" s="276" t="s">
        <v>114</v>
      </c>
      <c r="AC5" s="276" t="s">
        <v>102</v>
      </c>
      <c r="AD5" s="276"/>
      <c r="AE5" s="276"/>
      <c r="AF5" s="276"/>
      <c r="AG5" s="98" t="s">
        <v>113</v>
      </c>
      <c r="AH5" s="98"/>
      <c r="AI5" s="276" t="s">
        <v>115</v>
      </c>
      <c r="AL5" s="288" t="s">
        <v>167</v>
      </c>
      <c r="AM5" s="289" t="s">
        <v>168</v>
      </c>
      <c r="AN5" s="288" t="s">
        <v>114</v>
      </c>
      <c r="AO5" s="285" t="s">
        <v>164</v>
      </c>
      <c r="AP5" s="288" t="s">
        <v>153</v>
      </c>
      <c r="AQ5" s="285" t="s">
        <v>169</v>
      </c>
      <c r="AR5" s="288" t="s">
        <v>165</v>
      </c>
      <c r="AS5" s="289" t="s">
        <v>166</v>
      </c>
      <c r="AT5" s="291" t="s">
        <v>171</v>
      </c>
      <c r="AU5" s="285" t="s">
        <v>170</v>
      </c>
    </row>
    <row r="6" spans="1:47" ht="19.899999999999999" customHeight="1">
      <c r="A6" s="282"/>
      <c r="B6" s="282"/>
      <c r="C6" s="282"/>
      <c r="D6" s="282"/>
      <c r="E6" s="283"/>
      <c r="F6" s="276"/>
      <c r="G6" s="275"/>
      <c r="H6" s="284"/>
      <c r="I6" s="299" t="s">
        <v>109</v>
      </c>
      <c r="J6" s="302" t="s">
        <v>159</v>
      </c>
      <c r="K6" s="299" t="s">
        <v>85</v>
      </c>
      <c r="L6" s="307"/>
      <c r="M6" s="308"/>
      <c r="N6" s="308"/>
      <c r="O6" s="308"/>
      <c r="P6" s="308"/>
      <c r="Q6" s="309"/>
      <c r="R6" s="300"/>
      <c r="S6" s="300"/>
      <c r="T6" s="300"/>
      <c r="U6" s="313"/>
      <c r="V6" s="276"/>
      <c r="W6" s="236" t="s">
        <v>106</v>
      </c>
      <c r="X6" s="236" t="s">
        <v>108</v>
      </c>
      <c r="Y6" s="236" t="s">
        <v>107</v>
      </c>
      <c r="Z6" s="236" t="s">
        <v>83</v>
      </c>
      <c r="AA6" s="276"/>
      <c r="AB6" s="276"/>
      <c r="AC6" s="59" t="s">
        <v>108</v>
      </c>
      <c r="AD6" s="59" t="s">
        <v>107</v>
      </c>
      <c r="AE6" s="59" t="s">
        <v>83</v>
      </c>
      <c r="AF6" s="59" t="s">
        <v>104</v>
      </c>
      <c r="AG6" s="99" t="s">
        <v>105</v>
      </c>
      <c r="AH6" s="99" t="s">
        <v>1</v>
      </c>
      <c r="AI6" s="276"/>
      <c r="AL6" s="288"/>
      <c r="AM6" s="289"/>
      <c r="AN6" s="288"/>
      <c r="AO6" s="286"/>
      <c r="AP6" s="288"/>
      <c r="AQ6" s="286"/>
      <c r="AR6" s="288"/>
      <c r="AS6" s="289"/>
      <c r="AT6" s="292"/>
      <c r="AU6" s="286"/>
    </row>
    <row r="7" spans="1:47" ht="19.899999999999999" customHeight="1">
      <c r="A7" s="282"/>
      <c r="B7" s="282"/>
      <c r="C7" s="282"/>
      <c r="D7" s="282"/>
      <c r="E7" s="283"/>
      <c r="F7" s="276"/>
      <c r="G7" s="275"/>
      <c r="H7" s="284"/>
      <c r="I7" s="301"/>
      <c r="J7" s="303"/>
      <c r="K7" s="301"/>
      <c r="L7" s="310"/>
      <c r="M7" s="311"/>
      <c r="N7" s="311"/>
      <c r="O7" s="311"/>
      <c r="P7" s="311"/>
      <c r="Q7" s="312"/>
      <c r="R7" s="301"/>
      <c r="S7" s="301"/>
      <c r="T7" s="301"/>
      <c r="U7" s="303"/>
      <c r="V7" s="276"/>
      <c r="W7" s="33">
        <v>1.1900000000000001E-2</v>
      </c>
      <c r="X7" s="33">
        <v>0.02</v>
      </c>
      <c r="Y7" s="33">
        <v>0.02</v>
      </c>
      <c r="Z7" s="77">
        <v>0.04</v>
      </c>
      <c r="AA7" s="276"/>
      <c r="AB7" s="276"/>
      <c r="AC7" s="96">
        <v>0.02</v>
      </c>
      <c r="AD7" s="96">
        <v>0.01</v>
      </c>
      <c r="AE7" s="96">
        <v>0.01</v>
      </c>
      <c r="AF7" s="97">
        <v>0.01</v>
      </c>
      <c r="AG7" s="95" t="s">
        <v>163</v>
      </c>
      <c r="AH7" s="100"/>
      <c r="AI7" s="276"/>
      <c r="AL7" s="288"/>
      <c r="AM7" s="289"/>
      <c r="AN7" s="288"/>
      <c r="AO7" s="102">
        <v>0.05</v>
      </c>
      <c r="AP7" s="288"/>
      <c r="AQ7" s="103">
        <v>12</v>
      </c>
      <c r="AR7" s="288"/>
      <c r="AS7" s="289"/>
      <c r="AT7" s="293"/>
      <c r="AU7" s="287"/>
    </row>
    <row r="8" spans="1:47" s="15" customFormat="1" ht="15" customHeight="1">
      <c r="A8" s="83"/>
      <c r="B8" s="55"/>
      <c r="C8" s="8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128"/>
      <c r="P8" s="55"/>
      <c r="Q8" s="55"/>
      <c r="R8" s="55"/>
      <c r="S8" s="55"/>
      <c r="T8" s="55"/>
      <c r="U8" s="55"/>
      <c r="V8" s="55"/>
      <c r="W8" s="55"/>
      <c r="X8" s="55"/>
      <c r="Y8" s="56"/>
      <c r="Z8" s="55"/>
      <c r="AA8" s="55"/>
      <c r="AB8" s="55"/>
      <c r="AC8" s="56"/>
      <c r="AD8" s="56"/>
      <c r="AE8" s="56"/>
      <c r="AF8" s="76"/>
      <c r="AG8" s="55"/>
      <c r="AH8" s="55"/>
      <c r="AI8" s="85"/>
      <c r="AL8" s="101"/>
      <c r="AM8" s="101"/>
      <c r="AN8" s="101"/>
      <c r="AO8" s="101"/>
      <c r="AP8" s="101"/>
      <c r="AQ8" s="101"/>
      <c r="AR8" s="101"/>
      <c r="AS8" s="101"/>
      <c r="AT8" s="101"/>
      <c r="AU8" s="101"/>
    </row>
    <row r="9" spans="1:47" ht="15" customHeight="1">
      <c r="A9" s="237">
        <v>1</v>
      </c>
      <c r="B9" s="28" t="s">
        <v>51</v>
      </c>
      <c r="C9" s="28" t="s">
        <v>23</v>
      </c>
      <c r="D9" s="106" t="s">
        <v>7</v>
      </c>
      <c r="E9" s="248" t="s">
        <v>281</v>
      </c>
      <c r="F9" s="68">
        <v>30</v>
      </c>
      <c r="G9" s="68">
        <v>145452</v>
      </c>
      <c r="H9" s="24">
        <v>4594855</v>
      </c>
      <c r="I9" s="68">
        <v>100000</v>
      </c>
      <c r="J9" s="68">
        <v>100000</v>
      </c>
      <c r="K9" s="68"/>
      <c r="L9" s="135"/>
      <c r="M9" s="122"/>
      <c r="N9" s="68"/>
      <c r="O9" s="142">
        <v>0</v>
      </c>
      <c r="P9" s="122">
        <v>26559.855491329479</v>
      </c>
      <c r="Q9" s="120">
        <f>+O9*P9</f>
        <v>0</v>
      </c>
      <c r="R9" s="136">
        <f t="shared" ref="R9:R43" si="0">+N9+Q9</f>
        <v>0</v>
      </c>
      <c r="S9" s="24">
        <v>100000</v>
      </c>
      <c r="T9" s="24"/>
      <c r="U9" s="24">
        <v>0</v>
      </c>
      <c r="V9" s="25">
        <f t="shared" ref="V9:V43" si="1">+H9+I9+J9+K9+R9+S9+U9</f>
        <v>4894855</v>
      </c>
      <c r="W9" s="24">
        <f>+AL9*$W$7</f>
        <v>58038.810900000004</v>
      </c>
      <c r="X9" s="24">
        <f>+AL9*$X$7</f>
        <v>97544.22</v>
      </c>
      <c r="Y9" s="24">
        <f>+AL9*$Y$7</f>
        <v>97544.22</v>
      </c>
      <c r="Z9" s="24">
        <f>+AM9*$Z$7</f>
        <v>195088.44</v>
      </c>
      <c r="AA9" s="25">
        <f>SUM(W9:Z9)</f>
        <v>448215.69090000005</v>
      </c>
      <c r="AB9" s="25">
        <f>+V9+AA9</f>
        <v>5343070.6908999998</v>
      </c>
      <c r="AC9" s="66">
        <f>+AL9*$AC$7</f>
        <v>97544.22</v>
      </c>
      <c r="AD9" s="66">
        <f>+AL9*$AD$7</f>
        <v>48772.11</v>
      </c>
      <c r="AE9" s="66">
        <f>+AM9*$AE$7</f>
        <v>48772.11</v>
      </c>
      <c r="AF9" s="66">
        <v>0</v>
      </c>
      <c r="AG9" s="121">
        <f t="shared" ref="AG9:AG43" si="2">SUM(AC9:AF9)</f>
        <v>195088.44</v>
      </c>
      <c r="AH9" s="24">
        <v>0</v>
      </c>
      <c r="AI9" s="238">
        <f>+V9-AG9-AH9</f>
        <v>4699766.5599999996</v>
      </c>
      <c r="AL9" s="24">
        <v>4877211</v>
      </c>
      <c r="AM9" s="24">
        <v>4877211</v>
      </c>
      <c r="AN9" s="101">
        <f>+V9+W9+Z9</f>
        <v>5147982.2509000003</v>
      </c>
      <c r="AO9" s="108">
        <f t="shared" ref="AO9:AO43" si="3">IF(AN9*0.05&gt;500000,500000,AN9*0.05)</f>
        <v>257399.11254500004</v>
      </c>
      <c r="AP9" s="101">
        <f>+AN9-AO9-AC9-AD9</f>
        <v>4744266.8083549999</v>
      </c>
      <c r="AQ9" s="101">
        <f t="shared" ref="AQ9:AQ28" si="4">+AP9*$AQ$7</f>
        <v>56931201.700259998</v>
      </c>
      <c r="AR9" s="101">
        <f t="shared" ref="AR9:AR43" si="5">IF(D9="TK",54000000,(IF(OR(D9="TK1",D9="K"),58500000,(IF(OR(D9="TK2",D9="K1"),63000000,(IF(OR(OR(D9="TK3",D9="TK4"),D9="K2"),67500000,72000000)))))))</f>
        <v>67500000</v>
      </c>
      <c r="AS9" s="113">
        <f t="shared" ref="AS9" si="6">IF((+AQ9-AR9)&lt;=0,0,TRUNC((AQ9-AR9)/1000)*1000)</f>
        <v>0</v>
      </c>
      <c r="AT9" s="113">
        <f t="shared" ref="AT9:AT43" si="7">IF(AS9&lt;=60000000,AS9*5%,IF(AS9&lt;=250000000,3000000+((AS9-60000000)*15%),IF(AS9&lt;=500000000,31500000+((AS9-250000000)*25%),IF(AND(AS9&gt;=500000000,AS9&lt;=5000000000),94000000+((AS9-500000000)*30%),IF(AS9&gt;5000000000,(1444000000+(AS9-5000000000)*35%))))))</f>
        <v>0</v>
      </c>
      <c r="AU9" s="38">
        <f>+AT9/12</f>
        <v>0</v>
      </c>
    </row>
    <row r="10" spans="1:47" ht="15" customHeight="1">
      <c r="A10" s="237">
        <v>2</v>
      </c>
      <c r="B10" s="28" t="s">
        <v>50</v>
      </c>
      <c r="C10" s="28" t="s">
        <v>15</v>
      </c>
      <c r="D10" s="106" t="s">
        <v>7</v>
      </c>
      <c r="E10" s="248" t="s">
        <v>282</v>
      </c>
      <c r="F10" s="68">
        <v>19</v>
      </c>
      <c r="G10" s="68">
        <v>145452</v>
      </c>
      <c r="H10" s="24">
        <v>4594855</v>
      </c>
      <c r="I10" s="68">
        <v>0</v>
      </c>
      <c r="J10" s="68">
        <v>0</v>
      </c>
      <c r="K10" s="68"/>
      <c r="L10" s="135"/>
      <c r="M10" s="122"/>
      <c r="N10" s="68"/>
      <c r="O10" s="142">
        <v>36</v>
      </c>
      <c r="P10" s="122">
        <v>26559.855491329479</v>
      </c>
      <c r="Q10" s="120">
        <f t="shared" ref="Q10:Q43" si="8">+O10*P10</f>
        <v>956154.79768786125</v>
      </c>
      <c r="R10" s="136">
        <f t="shared" si="0"/>
        <v>956154.79768786125</v>
      </c>
      <c r="S10" s="24">
        <v>60000</v>
      </c>
      <c r="T10" s="24"/>
      <c r="U10" s="24">
        <v>0</v>
      </c>
      <c r="V10" s="25">
        <f t="shared" si="1"/>
        <v>5611009.7976878611</v>
      </c>
      <c r="W10" s="24">
        <f t="shared" ref="W10:W43" si="9">+AL10*$W$7</f>
        <v>58038.810900000004</v>
      </c>
      <c r="X10" s="24">
        <f t="shared" ref="X10:X43" si="10">+AL10*$X$7</f>
        <v>97544.22</v>
      </c>
      <c r="Y10" s="24">
        <f t="shared" ref="Y10:Y43" si="11">+AL10*$Y$7</f>
        <v>97544.22</v>
      </c>
      <c r="Z10" s="24">
        <f t="shared" ref="Z10:Z43" si="12">+AM10*$Z$7</f>
        <v>195088.44</v>
      </c>
      <c r="AA10" s="25">
        <f t="shared" ref="AA10:AA43" si="13">SUM(W10:Z10)</f>
        <v>448215.69090000005</v>
      </c>
      <c r="AB10" s="25">
        <f t="shared" ref="AB10:AB43" si="14">+V10+AA10</f>
        <v>6059225.4885878609</v>
      </c>
      <c r="AC10" s="66">
        <f t="shared" ref="AC10:AC43" si="15">+AL10*$AC$7</f>
        <v>97544.22</v>
      </c>
      <c r="AD10" s="66">
        <f t="shared" ref="AD10:AD43" si="16">+AL10*$AD$7</f>
        <v>48772.11</v>
      </c>
      <c r="AE10" s="66">
        <f t="shared" ref="AE10:AE43" si="17">+AM10*$AE$7</f>
        <v>48772.11</v>
      </c>
      <c r="AF10" s="24"/>
      <c r="AG10" s="121">
        <f t="shared" si="2"/>
        <v>195088.44</v>
      </c>
      <c r="AH10" s="24">
        <v>0</v>
      </c>
      <c r="AI10" s="238">
        <f t="shared" ref="AI10:AI43" si="18">+V10-AG10-AH10</f>
        <v>5415921.3576878607</v>
      </c>
      <c r="AL10" s="24">
        <v>4877211</v>
      </c>
      <c r="AM10" s="24">
        <v>4877211</v>
      </c>
      <c r="AN10" s="101">
        <f t="shared" ref="AN10:AN43" si="19">+V10+W10+Z10</f>
        <v>5864137.0485878615</v>
      </c>
      <c r="AO10" s="108">
        <f t="shared" si="3"/>
        <v>293206.8524293931</v>
      </c>
      <c r="AP10" s="101">
        <f t="shared" ref="AP10:AP43" si="20">+AN10-AO10-AC10-AD10</f>
        <v>5424613.8661584686</v>
      </c>
      <c r="AQ10" s="101">
        <f t="shared" si="4"/>
        <v>65095366.393901624</v>
      </c>
      <c r="AR10" s="101">
        <f t="shared" si="5"/>
        <v>67500000</v>
      </c>
      <c r="AS10" s="113">
        <f t="shared" ref="AS10:AS21" si="21">IF((+AQ10-AR10)&lt;=0,0,TRUNC((AQ10-AR10)/1000)*1000)</f>
        <v>0</v>
      </c>
      <c r="AT10" s="113">
        <f t="shared" si="7"/>
        <v>0</v>
      </c>
      <c r="AU10" s="38">
        <f t="shared" ref="AU10:AU43" si="22">+AT10/12</f>
        <v>0</v>
      </c>
    </row>
    <row r="11" spans="1:47" ht="15" customHeight="1">
      <c r="A11" s="237">
        <v>3</v>
      </c>
      <c r="B11" s="28" t="s">
        <v>49</v>
      </c>
      <c r="C11" s="28" t="s">
        <v>16</v>
      </c>
      <c r="D11" s="106" t="s">
        <v>9</v>
      </c>
      <c r="E11" s="248" t="s">
        <v>283</v>
      </c>
      <c r="F11" s="68">
        <v>30</v>
      </c>
      <c r="G11" s="68">
        <v>145452</v>
      </c>
      <c r="H11" s="24">
        <v>4594855</v>
      </c>
      <c r="I11" s="68">
        <v>0</v>
      </c>
      <c r="J11" s="68">
        <v>0</v>
      </c>
      <c r="K11" s="68"/>
      <c r="L11" s="135"/>
      <c r="M11" s="122"/>
      <c r="N11" s="68"/>
      <c r="O11" s="142">
        <v>0</v>
      </c>
      <c r="P11" s="122">
        <v>26559.855491329479</v>
      </c>
      <c r="Q11" s="120">
        <f t="shared" si="8"/>
        <v>0</v>
      </c>
      <c r="R11" s="136">
        <f t="shared" si="0"/>
        <v>0</v>
      </c>
      <c r="S11" s="24">
        <v>96000</v>
      </c>
      <c r="T11" s="24"/>
      <c r="U11" s="24">
        <v>0</v>
      </c>
      <c r="V11" s="25">
        <f t="shared" si="1"/>
        <v>4690855</v>
      </c>
      <c r="W11" s="24">
        <f t="shared" si="9"/>
        <v>58038.810900000004</v>
      </c>
      <c r="X11" s="24">
        <f t="shared" si="10"/>
        <v>97544.22</v>
      </c>
      <c r="Y11" s="24">
        <f t="shared" si="11"/>
        <v>97544.22</v>
      </c>
      <c r="Z11" s="24">
        <f t="shared" si="12"/>
        <v>195088.44</v>
      </c>
      <c r="AA11" s="25">
        <f t="shared" si="13"/>
        <v>448215.69090000005</v>
      </c>
      <c r="AB11" s="25">
        <f t="shared" si="14"/>
        <v>5139070.6908999998</v>
      </c>
      <c r="AC11" s="66">
        <f t="shared" si="15"/>
        <v>97544.22</v>
      </c>
      <c r="AD11" s="66">
        <f t="shared" si="16"/>
        <v>48772.11</v>
      </c>
      <c r="AE11" s="66">
        <f t="shared" si="17"/>
        <v>48772.11</v>
      </c>
      <c r="AF11" s="24"/>
      <c r="AG11" s="121">
        <f t="shared" si="2"/>
        <v>195088.44</v>
      </c>
      <c r="AH11" s="24">
        <v>0</v>
      </c>
      <c r="AI11" s="238">
        <f t="shared" si="18"/>
        <v>4495766.5599999996</v>
      </c>
      <c r="AL11" s="24">
        <v>4877211</v>
      </c>
      <c r="AM11" s="24">
        <v>4877211</v>
      </c>
      <c r="AN11" s="101">
        <f t="shared" si="19"/>
        <v>4943982.2509000003</v>
      </c>
      <c r="AO11" s="108">
        <f t="shared" si="3"/>
        <v>247199.11254500004</v>
      </c>
      <c r="AP11" s="101">
        <f t="shared" si="20"/>
        <v>4550466.8083549999</v>
      </c>
      <c r="AQ11" s="101">
        <f t="shared" si="4"/>
        <v>54605601.700259998</v>
      </c>
      <c r="AR11" s="101">
        <f t="shared" si="5"/>
        <v>63000000</v>
      </c>
      <c r="AS11" s="113">
        <f t="shared" si="21"/>
        <v>0</v>
      </c>
      <c r="AT11" s="113">
        <f t="shared" si="7"/>
        <v>0</v>
      </c>
      <c r="AU11" s="38">
        <f t="shared" si="22"/>
        <v>0</v>
      </c>
    </row>
    <row r="12" spans="1:47" s="111" customFormat="1" ht="15" customHeight="1">
      <c r="A12" s="237">
        <v>4</v>
      </c>
      <c r="B12" s="29" t="s">
        <v>353</v>
      </c>
      <c r="C12" s="28" t="s">
        <v>124</v>
      </c>
      <c r="D12" s="106" t="s">
        <v>8</v>
      </c>
      <c r="E12" s="248" t="s">
        <v>284</v>
      </c>
      <c r="F12" s="68">
        <v>28</v>
      </c>
      <c r="G12" s="68">
        <v>145452</v>
      </c>
      <c r="H12" s="24">
        <v>4594855</v>
      </c>
      <c r="I12" s="68">
        <v>0</v>
      </c>
      <c r="J12" s="68">
        <v>0</v>
      </c>
      <c r="K12" s="68"/>
      <c r="L12" s="135"/>
      <c r="M12" s="122"/>
      <c r="N12" s="68"/>
      <c r="O12" s="142">
        <v>0</v>
      </c>
      <c r="P12" s="122">
        <v>26559.855491329479</v>
      </c>
      <c r="Q12" s="120">
        <f t="shared" si="8"/>
        <v>0</v>
      </c>
      <c r="R12" s="136">
        <f t="shared" si="0"/>
        <v>0</v>
      </c>
      <c r="S12" s="24">
        <v>92000</v>
      </c>
      <c r="T12" s="24"/>
      <c r="U12" s="24">
        <v>0</v>
      </c>
      <c r="V12" s="25">
        <f t="shared" si="1"/>
        <v>4686855</v>
      </c>
      <c r="W12" s="24">
        <f t="shared" si="9"/>
        <v>58038.810900000004</v>
      </c>
      <c r="X12" s="24">
        <f t="shared" si="10"/>
        <v>97544.22</v>
      </c>
      <c r="Y12" s="24">
        <f t="shared" si="11"/>
        <v>97544.22</v>
      </c>
      <c r="Z12" s="24">
        <f t="shared" si="12"/>
        <v>195088.44</v>
      </c>
      <c r="AA12" s="25">
        <f t="shared" si="13"/>
        <v>448215.69090000005</v>
      </c>
      <c r="AB12" s="25">
        <f t="shared" si="14"/>
        <v>5135070.6908999998</v>
      </c>
      <c r="AC12" s="66">
        <f t="shared" si="15"/>
        <v>97544.22</v>
      </c>
      <c r="AD12" s="66">
        <f t="shared" si="16"/>
        <v>48772.11</v>
      </c>
      <c r="AE12" s="66">
        <f t="shared" si="17"/>
        <v>48772.11</v>
      </c>
      <c r="AF12" s="24"/>
      <c r="AG12" s="121">
        <f t="shared" si="2"/>
        <v>195088.44</v>
      </c>
      <c r="AH12" s="24">
        <v>0</v>
      </c>
      <c r="AI12" s="238">
        <f t="shared" si="18"/>
        <v>4491766.5599999996</v>
      </c>
      <c r="AJ12" s="112"/>
      <c r="AL12" s="24">
        <v>4877211</v>
      </c>
      <c r="AM12" s="24">
        <v>4877211</v>
      </c>
      <c r="AN12" s="38">
        <f t="shared" si="19"/>
        <v>4939982.2509000003</v>
      </c>
      <c r="AO12" s="108">
        <f t="shared" si="3"/>
        <v>246999.11254500004</v>
      </c>
      <c r="AP12" s="38">
        <f t="shared" si="20"/>
        <v>4546666.8083549999</v>
      </c>
      <c r="AQ12" s="38">
        <f t="shared" si="4"/>
        <v>54560001.700259998</v>
      </c>
      <c r="AR12" s="38">
        <f t="shared" si="5"/>
        <v>72000000</v>
      </c>
      <c r="AS12" s="113">
        <f t="shared" si="21"/>
        <v>0</v>
      </c>
      <c r="AT12" s="113">
        <f t="shared" si="7"/>
        <v>0</v>
      </c>
      <c r="AU12" s="38">
        <f t="shared" si="22"/>
        <v>0</v>
      </c>
    </row>
    <row r="13" spans="1:47" s="111" customFormat="1" ht="15" customHeight="1">
      <c r="A13" s="237">
        <v>5</v>
      </c>
      <c r="B13" s="29" t="s">
        <v>52</v>
      </c>
      <c r="C13" s="28" t="s">
        <v>15</v>
      </c>
      <c r="D13" s="62" t="s">
        <v>9</v>
      </c>
      <c r="E13" s="248" t="s">
        <v>285</v>
      </c>
      <c r="F13" s="68">
        <v>23</v>
      </c>
      <c r="G13" s="68">
        <v>145452</v>
      </c>
      <c r="H13" s="24">
        <v>4594855</v>
      </c>
      <c r="I13" s="68">
        <v>0</v>
      </c>
      <c r="J13" s="68">
        <v>0</v>
      </c>
      <c r="K13" s="68"/>
      <c r="L13" s="135"/>
      <c r="M13" s="122"/>
      <c r="N13" s="68"/>
      <c r="O13" s="142">
        <v>12</v>
      </c>
      <c r="P13" s="122">
        <v>26559.855491329479</v>
      </c>
      <c r="Q13" s="120">
        <f t="shared" si="8"/>
        <v>318718.26589595375</v>
      </c>
      <c r="R13" s="136">
        <f t="shared" si="0"/>
        <v>318718.26589595375</v>
      </c>
      <c r="S13" s="24">
        <v>72000</v>
      </c>
      <c r="T13" s="24"/>
      <c r="U13" s="24">
        <v>0</v>
      </c>
      <c r="V13" s="25">
        <f t="shared" si="1"/>
        <v>4985573.2658959534</v>
      </c>
      <c r="W13" s="24">
        <f t="shared" si="9"/>
        <v>58038.810900000004</v>
      </c>
      <c r="X13" s="24">
        <f t="shared" si="10"/>
        <v>97544.22</v>
      </c>
      <c r="Y13" s="24">
        <f t="shared" si="11"/>
        <v>97544.22</v>
      </c>
      <c r="Z13" s="24">
        <f t="shared" si="12"/>
        <v>195088.44</v>
      </c>
      <c r="AA13" s="25">
        <f t="shared" si="13"/>
        <v>448215.69090000005</v>
      </c>
      <c r="AB13" s="25">
        <f t="shared" si="14"/>
        <v>5433788.9567959532</v>
      </c>
      <c r="AC13" s="66">
        <f t="shared" si="15"/>
        <v>97544.22</v>
      </c>
      <c r="AD13" s="66">
        <f t="shared" si="16"/>
        <v>48772.11</v>
      </c>
      <c r="AE13" s="66">
        <f t="shared" si="17"/>
        <v>48772.11</v>
      </c>
      <c r="AF13" s="24"/>
      <c r="AG13" s="121">
        <f t="shared" si="2"/>
        <v>195088.44</v>
      </c>
      <c r="AH13" s="24">
        <v>0</v>
      </c>
      <c r="AI13" s="238">
        <f t="shared" si="18"/>
        <v>4790484.825895953</v>
      </c>
      <c r="AJ13" s="112"/>
      <c r="AL13" s="24">
        <v>4877211</v>
      </c>
      <c r="AM13" s="24">
        <v>4877211</v>
      </c>
      <c r="AN13" s="38">
        <f t="shared" si="19"/>
        <v>5238700.5167959537</v>
      </c>
      <c r="AO13" s="108">
        <f t="shared" si="3"/>
        <v>261935.02583979769</v>
      </c>
      <c r="AP13" s="38">
        <f t="shared" si="20"/>
        <v>4830449.1609561555</v>
      </c>
      <c r="AQ13" s="38">
        <f t="shared" si="4"/>
        <v>57965389.931473866</v>
      </c>
      <c r="AR13" s="38">
        <f t="shared" si="5"/>
        <v>63000000</v>
      </c>
      <c r="AS13" s="113">
        <f t="shared" si="21"/>
        <v>0</v>
      </c>
      <c r="AT13" s="113">
        <f t="shared" si="7"/>
        <v>0</v>
      </c>
      <c r="AU13" s="38">
        <f t="shared" si="22"/>
        <v>0</v>
      </c>
    </row>
    <row r="14" spans="1:47" s="111" customFormat="1" ht="15" customHeight="1">
      <c r="A14" s="237">
        <v>6</v>
      </c>
      <c r="B14" s="29" t="s">
        <v>26</v>
      </c>
      <c r="C14" s="28" t="s">
        <v>125</v>
      </c>
      <c r="D14" s="62" t="s">
        <v>7</v>
      </c>
      <c r="E14" s="248" t="s">
        <v>286</v>
      </c>
      <c r="F14" s="68">
        <v>16</v>
      </c>
      <c r="G14" s="68">
        <v>145452</v>
      </c>
      <c r="H14" s="24">
        <v>4594855</v>
      </c>
      <c r="I14" s="68">
        <v>80000</v>
      </c>
      <c r="J14" s="68">
        <v>80000</v>
      </c>
      <c r="K14" s="68"/>
      <c r="L14" s="135"/>
      <c r="M14" s="122"/>
      <c r="N14" s="68"/>
      <c r="O14" s="142">
        <v>0</v>
      </c>
      <c r="P14" s="122">
        <v>26559.855491329479</v>
      </c>
      <c r="Q14" s="120">
        <f t="shared" si="8"/>
        <v>0</v>
      </c>
      <c r="R14" s="136">
        <f t="shared" si="0"/>
        <v>0</v>
      </c>
      <c r="S14" s="24">
        <v>52000</v>
      </c>
      <c r="T14" s="24"/>
      <c r="U14" s="24">
        <v>0</v>
      </c>
      <c r="V14" s="25">
        <f t="shared" si="1"/>
        <v>4806855</v>
      </c>
      <c r="W14" s="24">
        <f t="shared" si="9"/>
        <v>58038.810900000004</v>
      </c>
      <c r="X14" s="24">
        <f t="shared" si="10"/>
        <v>97544.22</v>
      </c>
      <c r="Y14" s="24">
        <f t="shared" si="11"/>
        <v>97544.22</v>
      </c>
      <c r="Z14" s="24">
        <f t="shared" si="12"/>
        <v>195088.44</v>
      </c>
      <c r="AA14" s="25">
        <f t="shared" si="13"/>
        <v>448215.69090000005</v>
      </c>
      <c r="AB14" s="25">
        <f t="shared" si="14"/>
        <v>5255070.6908999998</v>
      </c>
      <c r="AC14" s="66">
        <f t="shared" si="15"/>
        <v>97544.22</v>
      </c>
      <c r="AD14" s="66">
        <f t="shared" si="16"/>
        <v>48772.11</v>
      </c>
      <c r="AE14" s="66">
        <f t="shared" si="17"/>
        <v>48772.11</v>
      </c>
      <c r="AF14" s="24"/>
      <c r="AG14" s="121">
        <f t="shared" si="2"/>
        <v>195088.44</v>
      </c>
      <c r="AH14" s="24">
        <v>0</v>
      </c>
      <c r="AI14" s="238">
        <f t="shared" si="18"/>
        <v>4611766.5599999996</v>
      </c>
      <c r="AJ14" s="112"/>
      <c r="AL14" s="24">
        <v>4877211</v>
      </c>
      <c r="AM14" s="24">
        <v>4877211</v>
      </c>
      <c r="AN14" s="38">
        <f t="shared" si="19"/>
        <v>5059982.2509000003</v>
      </c>
      <c r="AO14" s="108">
        <f t="shared" si="3"/>
        <v>252999.11254500004</v>
      </c>
      <c r="AP14" s="38">
        <f t="shared" si="20"/>
        <v>4660666.8083549999</v>
      </c>
      <c r="AQ14" s="38">
        <f t="shared" si="4"/>
        <v>55928001.700259998</v>
      </c>
      <c r="AR14" s="38">
        <f t="shared" si="5"/>
        <v>67500000</v>
      </c>
      <c r="AS14" s="113">
        <f t="shared" si="21"/>
        <v>0</v>
      </c>
      <c r="AT14" s="113">
        <f t="shared" si="7"/>
        <v>0</v>
      </c>
      <c r="AU14" s="38">
        <f t="shared" si="22"/>
        <v>0</v>
      </c>
    </row>
    <row r="15" spans="1:47" s="111" customFormat="1" ht="15" customHeight="1">
      <c r="A15" s="237">
        <v>7</v>
      </c>
      <c r="B15" s="29" t="s">
        <v>116</v>
      </c>
      <c r="C15" s="28" t="s">
        <v>126</v>
      </c>
      <c r="D15" s="62" t="s">
        <v>7</v>
      </c>
      <c r="E15" s="248" t="s">
        <v>287</v>
      </c>
      <c r="F15" s="68">
        <v>16</v>
      </c>
      <c r="G15" s="68">
        <v>145452</v>
      </c>
      <c r="H15" s="24">
        <v>4594855</v>
      </c>
      <c r="I15" s="68">
        <v>0</v>
      </c>
      <c r="J15" s="68">
        <v>0</v>
      </c>
      <c r="K15" s="68"/>
      <c r="L15" s="135"/>
      <c r="M15" s="122"/>
      <c r="N15" s="68"/>
      <c r="O15" s="142">
        <v>0</v>
      </c>
      <c r="P15" s="122">
        <v>26559.855491329479</v>
      </c>
      <c r="Q15" s="120">
        <f t="shared" si="8"/>
        <v>0</v>
      </c>
      <c r="R15" s="136">
        <f t="shared" si="0"/>
        <v>0</v>
      </c>
      <c r="S15" s="24">
        <v>52000</v>
      </c>
      <c r="T15" s="24"/>
      <c r="U15" s="24">
        <v>0</v>
      </c>
      <c r="V15" s="25">
        <f t="shared" si="1"/>
        <v>4646855</v>
      </c>
      <c r="W15" s="24">
        <f t="shared" si="9"/>
        <v>58038.810900000004</v>
      </c>
      <c r="X15" s="24">
        <f t="shared" si="10"/>
        <v>97544.22</v>
      </c>
      <c r="Y15" s="24">
        <f t="shared" si="11"/>
        <v>97544.22</v>
      </c>
      <c r="Z15" s="24">
        <f t="shared" si="12"/>
        <v>195088.44</v>
      </c>
      <c r="AA15" s="25">
        <f t="shared" si="13"/>
        <v>448215.69090000005</v>
      </c>
      <c r="AB15" s="25">
        <f t="shared" si="14"/>
        <v>5095070.6908999998</v>
      </c>
      <c r="AC15" s="66">
        <f t="shared" si="15"/>
        <v>97544.22</v>
      </c>
      <c r="AD15" s="66">
        <f t="shared" si="16"/>
        <v>48772.11</v>
      </c>
      <c r="AE15" s="66">
        <f t="shared" si="17"/>
        <v>48772.11</v>
      </c>
      <c r="AF15" s="24">
        <v>48772.11</v>
      </c>
      <c r="AG15" s="121">
        <f t="shared" si="2"/>
        <v>243860.55</v>
      </c>
      <c r="AH15" s="24">
        <v>0</v>
      </c>
      <c r="AI15" s="238">
        <f t="shared" si="18"/>
        <v>4402994.45</v>
      </c>
      <c r="AJ15" s="112"/>
      <c r="AL15" s="24">
        <v>4877211</v>
      </c>
      <c r="AM15" s="24">
        <v>4877211</v>
      </c>
      <c r="AN15" s="38">
        <f t="shared" si="19"/>
        <v>4899982.2509000003</v>
      </c>
      <c r="AO15" s="108">
        <f t="shared" si="3"/>
        <v>244999.11254500004</v>
      </c>
      <c r="AP15" s="38">
        <f t="shared" si="20"/>
        <v>4508666.8083549999</v>
      </c>
      <c r="AQ15" s="38">
        <f t="shared" si="4"/>
        <v>54104001.700259998</v>
      </c>
      <c r="AR15" s="38">
        <f t="shared" si="5"/>
        <v>67500000</v>
      </c>
      <c r="AS15" s="113">
        <f t="shared" si="21"/>
        <v>0</v>
      </c>
      <c r="AT15" s="113">
        <f t="shared" si="7"/>
        <v>0</v>
      </c>
      <c r="AU15" s="38">
        <f t="shared" si="22"/>
        <v>0</v>
      </c>
    </row>
    <row r="16" spans="1:47" s="111" customFormat="1" ht="15" customHeight="1">
      <c r="A16" s="237">
        <v>8</v>
      </c>
      <c r="B16" s="29" t="s">
        <v>53</v>
      </c>
      <c r="C16" s="28" t="s">
        <v>100</v>
      </c>
      <c r="D16" s="123" t="s">
        <v>9</v>
      </c>
      <c r="E16" s="248" t="s">
        <v>288</v>
      </c>
      <c r="F16" s="68">
        <v>30</v>
      </c>
      <c r="G16" s="68">
        <v>145452</v>
      </c>
      <c r="H16" s="24">
        <v>4594855</v>
      </c>
      <c r="I16" s="68">
        <v>0</v>
      </c>
      <c r="J16" s="68">
        <v>100000</v>
      </c>
      <c r="K16" s="68"/>
      <c r="L16" s="135"/>
      <c r="M16" s="122"/>
      <c r="N16" s="68"/>
      <c r="O16" s="142">
        <v>12.5</v>
      </c>
      <c r="P16" s="122">
        <v>26559.855491329479</v>
      </c>
      <c r="Q16" s="120">
        <f t="shared" si="8"/>
        <v>331998.19364161848</v>
      </c>
      <c r="R16" s="136">
        <f t="shared" si="0"/>
        <v>331998.19364161848</v>
      </c>
      <c r="S16" s="24">
        <v>100000</v>
      </c>
      <c r="T16" s="24"/>
      <c r="U16" s="24">
        <v>0</v>
      </c>
      <c r="V16" s="25">
        <f t="shared" si="1"/>
        <v>5126853.1936416188</v>
      </c>
      <c r="W16" s="24">
        <f t="shared" si="9"/>
        <v>58038.810900000004</v>
      </c>
      <c r="X16" s="24">
        <f t="shared" si="10"/>
        <v>97544.22</v>
      </c>
      <c r="Y16" s="24">
        <f t="shared" si="11"/>
        <v>97544.22</v>
      </c>
      <c r="Z16" s="24">
        <f t="shared" si="12"/>
        <v>195088.44</v>
      </c>
      <c r="AA16" s="25">
        <f t="shared" si="13"/>
        <v>448215.69090000005</v>
      </c>
      <c r="AB16" s="25">
        <f t="shared" si="14"/>
        <v>5575068.8845416186</v>
      </c>
      <c r="AC16" s="66">
        <f t="shared" si="15"/>
        <v>97544.22</v>
      </c>
      <c r="AD16" s="66">
        <f t="shared" si="16"/>
        <v>48772.11</v>
      </c>
      <c r="AE16" s="66">
        <f t="shared" si="17"/>
        <v>48772.11</v>
      </c>
      <c r="AF16" s="24">
        <v>0</v>
      </c>
      <c r="AG16" s="121">
        <f t="shared" si="2"/>
        <v>195088.44</v>
      </c>
      <c r="AH16" s="24">
        <v>0</v>
      </c>
      <c r="AI16" s="238">
        <f t="shared" si="18"/>
        <v>4931764.7536416184</v>
      </c>
      <c r="AJ16" s="112"/>
      <c r="AL16" s="24">
        <v>4877211</v>
      </c>
      <c r="AM16" s="24">
        <v>4877211</v>
      </c>
      <c r="AN16" s="38">
        <f t="shared" si="19"/>
        <v>5379980.4445416192</v>
      </c>
      <c r="AO16" s="108">
        <f t="shared" si="3"/>
        <v>268999.02222708095</v>
      </c>
      <c r="AP16" s="38">
        <f t="shared" si="20"/>
        <v>4964665.0923145385</v>
      </c>
      <c r="AQ16" s="38">
        <f t="shared" si="4"/>
        <v>59575981.107774466</v>
      </c>
      <c r="AR16" s="38">
        <f t="shared" si="5"/>
        <v>63000000</v>
      </c>
      <c r="AS16" s="113">
        <f t="shared" si="21"/>
        <v>0</v>
      </c>
      <c r="AT16" s="113">
        <f t="shared" si="7"/>
        <v>0</v>
      </c>
      <c r="AU16" s="38">
        <f t="shared" si="22"/>
        <v>0</v>
      </c>
    </row>
    <row r="17" spans="1:47" s="111" customFormat="1" ht="15" customHeight="1">
      <c r="A17" s="237">
        <v>9</v>
      </c>
      <c r="B17" s="29" t="s">
        <v>90</v>
      </c>
      <c r="C17" s="28" t="s">
        <v>15</v>
      </c>
      <c r="D17" s="123" t="s">
        <v>9</v>
      </c>
      <c r="E17" s="248" t="s">
        <v>289</v>
      </c>
      <c r="F17" s="68">
        <v>24</v>
      </c>
      <c r="G17" s="68">
        <v>145452</v>
      </c>
      <c r="H17" s="24">
        <v>4594855</v>
      </c>
      <c r="I17" s="68">
        <v>0</v>
      </c>
      <c r="J17" s="68">
        <v>0</v>
      </c>
      <c r="K17" s="68"/>
      <c r="L17" s="135"/>
      <c r="M17" s="122"/>
      <c r="N17" s="68"/>
      <c r="O17" s="142">
        <v>39</v>
      </c>
      <c r="P17" s="122">
        <v>26559.855491329479</v>
      </c>
      <c r="Q17" s="120">
        <f t="shared" si="8"/>
        <v>1035834.3641618497</v>
      </c>
      <c r="R17" s="136">
        <f t="shared" si="0"/>
        <v>1035834.3641618497</v>
      </c>
      <c r="S17" s="24">
        <v>72000</v>
      </c>
      <c r="T17" s="24"/>
      <c r="U17" s="24">
        <v>0</v>
      </c>
      <c r="V17" s="25">
        <f t="shared" si="1"/>
        <v>5702689.36416185</v>
      </c>
      <c r="W17" s="24">
        <f t="shared" si="9"/>
        <v>58038.810900000004</v>
      </c>
      <c r="X17" s="24">
        <f t="shared" si="10"/>
        <v>97544.22</v>
      </c>
      <c r="Y17" s="24">
        <f t="shared" si="11"/>
        <v>97544.22</v>
      </c>
      <c r="Z17" s="24">
        <f t="shared" si="12"/>
        <v>195088.44</v>
      </c>
      <c r="AA17" s="25">
        <f t="shared" si="13"/>
        <v>448215.69090000005</v>
      </c>
      <c r="AB17" s="25">
        <f t="shared" si="14"/>
        <v>6150905.0550618498</v>
      </c>
      <c r="AC17" s="66">
        <f t="shared" si="15"/>
        <v>97544.22</v>
      </c>
      <c r="AD17" s="66">
        <f t="shared" si="16"/>
        <v>48772.11</v>
      </c>
      <c r="AE17" s="66">
        <f t="shared" si="17"/>
        <v>48772.11</v>
      </c>
      <c r="AF17" s="24"/>
      <c r="AG17" s="121">
        <f t="shared" si="2"/>
        <v>195088.44</v>
      </c>
      <c r="AH17" s="24">
        <v>0</v>
      </c>
      <c r="AI17" s="238">
        <f t="shared" si="18"/>
        <v>5507600.9241618495</v>
      </c>
      <c r="AJ17" s="112"/>
      <c r="AL17" s="24">
        <v>4877211</v>
      </c>
      <c r="AM17" s="24">
        <v>4877211</v>
      </c>
      <c r="AN17" s="38">
        <f t="shared" si="19"/>
        <v>5955816.6150618503</v>
      </c>
      <c r="AO17" s="108">
        <f t="shared" si="3"/>
        <v>297790.83075309254</v>
      </c>
      <c r="AP17" s="38">
        <f t="shared" si="20"/>
        <v>5511709.4543087576</v>
      </c>
      <c r="AQ17" s="38">
        <f t="shared" si="4"/>
        <v>66140513.451705091</v>
      </c>
      <c r="AR17" s="38">
        <f t="shared" si="5"/>
        <v>63000000</v>
      </c>
      <c r="AS17" s="113">
        <f t="shared" si="21"/>
        <v>3140000</v>
      </c>
      <c r="AT17" s="113">
        <f t="shared" si="7"/>
        <v>157000</v>
      </c>
      <c r="AU17" s="38">
        <f t="shared" si="22"/>
        <v>13083.333333333334</v>
      </c>
    </row>
    <row r="18" spans="1:47" s="111" customFormat="1" ht="15" customHeight="1">
      <c r="A18" s="237">
        <v>10</v>
      </c>
      <c r="B18" s="29" t="s">
        <v>13</v>
      </c>
      <c r="C18" s="28" t="s">
        <v>14</v>
      </c>
      <c r="D18" s="62" t="s">
        <v>7</v>
      </c>
      <c r="E18" s="248" t="s">
        <v>290</v>
      </c>
      <c r="F18" s="68">
        <v>28</v>
      </c>
      <c r="G18" s="68">
        <v>145452</v>
      </c>
      <c r="H18" s="24">
        <v>4594855</v>
      </c>
      <c r="I18" s="68">
        <v>100000</v>
      </c>
      <c r="J18" s="68">
        <v>100000</v>
      </c>
      <c r="K18" s="68"/>
      <c r="L18" s="135"/>
      <c r="M18" s="122"/>
      <c r="N18" s="68"/>
      <c r="O18" s="142">
        <v>0</v>
      </c>
      <c r="P18" s="122">
        <v>26559.855491329479</v>
      </c>
      <c r="Q18" s="120">
        <f t="shared" si="8"/>
        <v>0</v>
      </c>
      <c r="R18" s="136">
        <f t="shared" si="0"/>
        <v>0</v>
      </c>
      <c r="S18" s="24">
        <v>92000</v>
      </c>
      <c r="T18" s="24"/>
      <c r="U18" s="24">
        <v>0</v>
      </c>
      <c r="V18" s="25">
        <f t="shared" si="1"/>
        <v>4886855</v>
      </c>
      <c r="W18" s="24">
        <f t="shared" si="9"/>
        <v>58038.810900000004</v>
      </c>
      <c r="X18" s="24">
        <f t="shared" si="10"/>
        <v>97544.22</v>
      </c>
      <c r="Y18" s="24">
        <f t="shared" si="11"/>
        <v>97544.22</v>
      </c>
      <c r="Z18" s="24">
        <f t="shared" si="12"/>
        <v>195088.44</v>
      </c>
      <c r="AA18" s="25">
        <f t="shared" si="13"/>
        <v>448215.69090000005</v>
      </c>
      <c r="AB18" s="25">
        <f t="shared" si="14"/>
        <v>5335070.6908999998</v>
      </c>
      <c r="AC18" s="66">
        <f t="shared" si="15"/>
        <v>97544.22</v>
      </c>
      <c r="AD18" s="66">
        <f t="shared" si="16"/>
        <v>48772.11</v>
      </c>
      <c r="AE18" s="66">
        <f t="shared" si="17"/>
        <v>48772.11</v>
      </c>
      <c r="AF18" s="24"/>
      <c r="AG18" s="121">
        <f t="shared" si="2"/>
        <v>195088.44</v>
      </c>
      <c r="AH18" s="24">
        <v>0</v>
      </c>
      <c r="AI18" s="238">
        <f t="shared" si="18"/>
        <v>4691766.5599999996</v>
      </c>
      <c r="AJ18" s="112"/>
      <c r="AL18" s="24">
        <v>4877211</v>
      </c>
      <c r="AM18" s="24">
        <v>4877211</v>
      </c>
      <c r="AN18" s="38">
        <f t="shared" si="19"/>
        <v>5139982.2509000003</v>
      </c>
      <c r="AO18" s="108">
        <f t="shared" si="3"/>
        <v>256999.11254500004</v>
      </c>
      <c r="AP18" s="38">
        <f t="shared" si="20"/>
        <v>4736666.8083549999</v>
      </c>
      <c r="AQ18" s="38">
        <f t="shared" si="4"/>
        <v>56840001.700259998</v>
      </c>
      <c r="AR18" s="38">
        <f t="shared" si="5"/>
        <v>67500000</v>
      </c>
      <c r="AS18" s="113">
        <f t="shared" si="21"/>
        <v>0</v>
      </c>
      <c r="AT18" s="113">
        <f t="shared" si="7"/>
        <v>0</v>
      </c>
      <c r="AU18" s="38">
        <f t="shared" si="22"/>
        <v>0</v>
      </c>
    </row>
    <row r="19" spans="1:47" s="111" customFormat="1" ht="15" customHeight="1">
      <c r="A19" s="237">
        <v>11</v>
      </c>
      <c r="B19" s="28" t="s">
        <v>19</v>
      </c>
      <c r="C19" s="28" t="s">
        <v>127</v>
      </c>
      <c r="D19" s="62" t="s">
        <v>7</v>
      </c>
      <c r="E19" s="248" t="s">
        <v>291</v>
      </c>
      <c r="F19" s="68">
        <v>15</v>
      </c>
      <c r="G19" s="68">
        <v>145452</v>
      </c>
      <c r="H19" s="24">
        <v>4594855</v>
      </c>
      <c r="I19" s="68">
        <v>100000</v>
      </c>
      <c r="J19" s="68">
        <v>100000</v>
      </c>
      <c r="K19" s="68"/>
      <c r="L19" s="135"/>
      <c r="M19" s="122"/>
      <c r="N19" s="68"/>
      <c r="O19" s="142">
        <v>0</v>
      </c>
      <c r="P19" s="122">
        <v>26559.855491329479</v>
      </c>
      <c r="Q19" s="120">
        <f t="shared" si="8"/>
        <v>0</v>
      </c>
      <c r="R19" s="136">
        <f t="shared" si="0"/>
        <v>0</v>
      </c>
      <c r="S19" s="24">
        <v>48000</v>
      </c>
      <c r="T19" s="24"/>
      <c r="U19" s="24">
        <v>0</v>
      </c>
      <c r="V19" s="25">
        <f t="shared" si="1"/>
        <v>4842855</v>
      </c>
      <c r="W19" s="24">
        <f t="shared" si="9"/>
        <v>58038.810900000004</v>
      </c>
      <c r="X19" s="24">
        <f t="shared" si="10"/>
        <v>97544.22</v>
      </c>
      <c r="Y19" s="24">
        <f t="shared" si="11"/>
        <v>97544.22</v>
      </c>
      <c r="Z19" s="24">
        <f t="shared" si="12"/>
        <v>195088.44</v>
      </c>
      <c r="AA19" s="25">
        <f t="shared" si="13"/>
        <v>448215.69090000005</v>
      </c>
      <c r="AB19" s="25">
        <f t="shared" si="14"/>
        <v>5291070.6908999998</v>
      </c>
      <c r="AC19" s="66">
        <f t="shared" si="15"/>
        <v>97544.22</v>
      </c>
      <c r="AD19" s="66">
        <f t="shared" si="16"/>
        <v>48772.11</v>
      </c>
      <c r="AE19" s="66">
        <f t="shared" si="17"/>
        <v>48772.11</v>
      </c>
      <c r="AF19" s="24"/>
      <c r="AG19" s="121">
        <f t="shared" si="2"/>
        <v>195088.44</v>
      </c>
      <c r="AH19" s="24">
        <v>0</v>
      </c>
      <c r="AI19" s="238">
        <f t="shared" si="18"/>
        <v>4647766.5599999996</v>
      </c>
      <c r="AJ19" s="112"/>
      <c r="AL19" s="24">
        <v>4877211</v>
      </c>
      <c r="AM19" s="24">
        <v>4877211</v>
      </c>
      <c r="AN19" s="38">
        <f t="shared" si="19"/>
        <v>5095982.2509000003</v>
      </c>
      <c r="AO19" s="108">
        <f t="shared" si="3"/>
        <v>254799.11254500004</v>
      </c>
      <c r="AP19" s="38">
        <f t="shared" si="20"/>
        <v>4694866.8083549999</v>
      </c>
      <c r="AQ19" s="38">
        <f t="shared" si="4"/>
        <v>56338401.700259998</v>
      </c>
      <c r="AR19" s="38">
        <f t="shared" si="5"/>
        <v>67500000</v>
      </c>
      <c r="AS19" s="113">
        <f t="shared" si="21"/>
        <v>0</v>
      </c>
      <c r="AT19" s="113">
        <f t="shared" si="7"/>
        <v>0</v>
      </c>
      <c r="AU19" s="38">
        <f t="shared" si="22"/>
        <v>0</v>
      </c>
    </row>
    <row r="20" spans="1:47" s="111" customFormat="1" ht="15" customHeight="1">
      <c r="A20" s="237">
        <v>12</v>
      </c>
      <c r="B20" s="28" t="s">
        <v>354</v>
      </c>
      <c r="C20" s="28" t="s">
        <v>128</v>
      </c>
      <c r="D20" s="62" t="s">
        <v>9</v>
      </c>
      <c r="E20" s="248" t="s">
        <v>292</v>
      </c>
      <c r="F20" s="68">
        <v>29</v>
      </c>
      <c r="G20" s="68">
        <v>145452</v>
      </c>
      <c r="H20" s="24">
        <v>4594855</v>
      </c>
      <c r="I20" s="68">
        <v>100000</v>
      </c>
      <c r="J20" s="68">
        <v>100000</v>
      </c>
      <c r="K20" s="68"/>
      <c r="L20" s="135"/>
      <c r="M20" s="122"/>
      <c r="N20" s="68"/>
      <c r="O20" s="142">
        <v>0</v>
      </c>
      <c r="P20" s="122">
        <v>26559.855491329479</v>
      </c>
      <c r="Q20" s="120">
        <f t="shared" si="8"/>
        <v>0</v>
      </c>
      <c r="R20" s="136">
        <f t="shared" si="0"/>
        <v>0</v>
      </c>
      <c r="S20" s="24">
        <v>92000</v>
      </c>
      <c r="T20" s="24"/>
      <c r="U20" s="24">
        <v>0</v>
      </c>
      <c r="V20" s="25">
        <f t="shared" si="1"/>
        <v>4886855</v>
      </c>
      <c r="W20" s="24">
        <f t="shared" si="9"/>
        <v>58038.810900000004</v>
      </c>
      <c r="X20" s="24">
        <f t="shared" si="10"/>
        <v>97544.22</v>
      </c>
      <c r="Y20" s="24">
        <f t="shared" si="11"/>
        <v>97544.22</v>
      </c>
      <c r="Z20" s="24">
        <f t="shared" si="12"/>
        <v>195088.44</v>
      </c>
      <c r="AA20" s="25">
        <f t="shared" si="13"/>
        <v>448215.69090000005</v>
      </c>
      <c r="AB20" s="25">
        <f t="shared" si="14"/>
        <v>5335070.6908999998</v>
      </c>
      <c r="AC20" s="66">
        <f t="shared" si="15"/>
        <v>97544.22</v>
      </c>
      <c r="AD20" s="66">
        <f t="shared" si="16"/>
        <v>48772.11</v>
      </c>
      <c r="AE20" s="66">
        <f t="shared" si="17"/>
        <v>48772.11</v>
      </c>
      <c r="AF20" s="24"/>
      <c r="AG20" s="121">
        <f t="shared" si="2"/>
        <v>195088.44</v>
      </c>
      <c r="AH20" s="24">
        <v>0</v>
      </c>
      <c r="AI20" s="238">
        <f t="shared" si="18"/>
        <v>4691766.5599999996</v>
      </c>
      <c r="AJ20" s="112"/>
      <c r="AL20" s="24">
        <v>4877211</v>
      </c>
      <c r="AM20" s="24">
        <v>4877211</v>
      </c>
      <c r="AN20" s="38">
        <f t="shared" si="19"/>
        <v>5139982.2509000003</v>
      </c>
      <c r="AO20" s="108">
        <f t="shared" si="3"/>
        <v>256999.11254500004</v>
      </c>
      <c r="AP20" s="38">
        <f t="shared" si="20"/>
        <v>4736666.8083549999</v>
      </c>
      <c r="AQ20" s="38">
        <f t="shared" si="4"/>
        <v>56840001.700259998</v>
      </c>
      <c r="AR20" s="38">
        <f t="shared" si="5"/>
        <v>63000000</v>
      </c>
      <c r="AS20" s="113">
        <f t="shared" si="21"/>
        <v>0</v>
      </c>
      <c r="AT20" s="113">
        <f t="shared" si="7"/>
        <v>0</v>
      </c>
      <c r="AU20" s="38">
        <f t="shared" si="22"/>
        <v>0</v>
      </c>
    </row>
    <row r="21" spans="1:47" s="111" customFormat="1" ht="15" customHeight="1">
      <c r="A21" s="237">
        <v>13</v>
      </c>
      <c r="B21" s="29" t="s">
        <v>54</v>
      </c>
      <c r="C21" s="28" t="s">
        <v>125</v>
      </c>
      <c r="D21" s="62" t="s">
        <v>8</v>
      </c>
      <c r="E21" s="248" t="s">
        <v>293</v>
      </c>
      <c r="F21" s="68">
        <v>27</v>
      </c>
      <c r="G21" s="68">
        <v>145452</v>
      </c>
      <c r="H21" s="24">
        <v>4594855</v>
      </c>
      <c r="I21" s="68">
        <v>80000</v>
      </c>
      <c r="J21" s="68">
        <v>40000</v>
      </c>
      <c r="K21" s="68"/>
      <c r="L21" s="135"/>
      <c r="M21" s="122"/>
      <c r="N21" s="68"/>
      <c r="O21" s="142">
        <v>0</v>
      </c>
      <c r="P21" s="122">
        <v>26559.855491329479</v>
      </c>
      <c r="Q21" s="120">
        <f t="shared" si="8"/>
        <v>0</v>
      </c>
      <c r="R21" s="136">
        <f t="shared" si="0"/>
        <v>0</v>
      </c>
      <c r="S21" s="24">
        <v>88000</v>
      </c>
      <c r="T21" s="24"/>
      <c r="U21" s="24">
        <v>0</v>
      </c>
      <c r="V21" s="25">
        <f t="shared" si="1"/>
        <v>4802855</v>
      </c>
      <c r="W21" s="24">
        <f t="shared" si="9"/>
        <v>58038.810900000004</v>
      </c>
      <c r="X21" s="24">
        <f t="shared" si="10"/>
        <v>97544.22</v>
      </c>
      <c r="Y21" s="24">
        <f t="shared" si="11"/>
        <v>97544.22</v>
      </c>
      <c r="Z21" s="24">
        <f t="shared" si="12"/>
        <v>195088.44</v>
      </c>
      <c r="AA21" s="25">
        <f t="shared" si="13"/>
        <v>448215.69090000005</v>
      </c>
      <c r="AB21" s="25">
        <f t="shared" si="14"/>
        <v>5251070.6908999998</v>
      </c>
      <c r="AC21" s="66">
        <f t="shared" si="15"/>
        <v>97544.22</v>
      </c>
      <c r="AD21" s="66">
        <f t="shared" si="16"/>
        <v>48772.11</v>
      </c>
      <c r="AE21" s="66">
        <f t="shared" si="17"/>
        <v>48772.11</v>
      </c>
      <c r="AF21" s="24"/>
      <c r="AG21" s="121">
        <f t="shared" si="2"/>
        <v>195088.44</v>
      </c>
      <c r="AH21" s="24">
        <v>0</v>
      </c>
      <c r="AI21" s="238">
        <f t="shared" si="18"/>
        <v>4607766.5599999996</v>
      </c>
      <c r="AJ21" s="112"/>
      <c r="AL21" s="24">
        <v>4877211</v>
      </c>
      <c r="AM21" s="24">
        <v>4877211</v>
      </c>
      <c r="AN21" s="38">
        <f t="shared" si="19"/>
        <v>5055982.2509000003</v>
      </c>
      <c r="AO21" s="108">
        <f t="shared" si="3"/>
        <v>252799.11254500004</v>
      </c>
      <c r="AP21" s="38">
        <f t="shared" si="20"/>
        <v>4656866.8083549999</v>
      </c>
      <c r="AQ21" s="38">
        <f t="shared" si="4"/>
        <v>55882401.700259998</v>
      </c>
      <c r="AR21" s="38">
        <f t="shared" si="5"/>
        <v>72000000</v>
      </c>
      <c r="AS21" s="113">
        <f t="shared" si="21"/>
        <v>0</v>
      </c>
      <c r="AT21" s="113">
        <f t="shared" si="7"/>
        <v>0</v>
      </c>
      <c r="AU21" s="38">
        <f t="shared" si="22"/>
        <v>0</v>
      </c>
    </row>
    <row r="22" spans="1:47" s="111" customFormat="1" ht="15" customHeight="1">
      <c r="A22" s="237">
        <v>14</v>
      </c>
      <c r="B22" s="29" t="s">
        <v>25</v>
      </c>
      <c r="C22" s="28" t="s">
        <v>129</v>
      </c>
      <c r="D22" s="62" t="s">
        <v>17</v>
      </c>
      <c r="E22" s="248" t="s">
        <v>294</v>
      </c>
      <c r="F22" s="68">
        <v>28</v>
      </c>
      <c r="G22" s="68">
        <v>145452</v>
      </c>
      <c r="H22" s="24">
        <v>4594855</v>
      </c>
      <c r="I22" s="68">
        <v>80000</v>
      </c>
      <c r="J22" s="68">
        <v>80000</v>
      </c>
      <c r="K22" s="68"/>
      <c r="L22" s="135"/>
      <c r="M22" s="122"/>
      <c r="N22" s="68"/>
      <c r="O22" s="142">
        <v>0</v>
      </c>
      <c r="P22" s="122">
        <v>26559.855491329479</v>
      </c>
      <c r="Q22" s="120">
        <f t="shared" si="8"/>
        <v>0</v>
      </c>
      <c r="R22" s="136">
        <f t="shared" si="0"/>
        <v>0</v>
      </c>
      <c r="S22" s="24">
        <v>92000</v>
      </c>
      <c r="T22" s="24"/>
      <c r="U22" s="24">
        <v>0</v>
      </c>
      <c r="V22" s="25">
        <f t="shared" si="1"/>
        <v>4846855</v>
      </c>
      <c r="W22" s="24">
        <f t="shared" si="9"/>
        <v>58038.810900000004</v>
      </c>
      <c r="X22" s="24">
        <f t="shared" si="10"/>
        <v>97544.22</v>
      </c>
      <c r="Y22" s="24">
        <f t="shared" si="11"/>
        <v>97544.22</v>
      </c>
      <c r="Z22" s="24">
        <f t="shared" si="12"/>
        <v>195088.44</v>
      </c>
      <c r="AA22" s="25">
        <f t="shared" si="13"/>
        <v>448215.69090000005</v>
      </c>
      <c r="AB22" s="25">
        <f t="shared" si="14"/>
        <v>5295070.6908999998</v>
      </c>
      <c r="AC22" s="66">
        <f t="shared" si="15"/>
        <v>97544.22</v>
      </c>
      <c r="AD22" s="66">
        <f t="shared" si="16"/>
        <v>48772.11</v>
      </c>
      <c r="AE22" s="66">
        <f t="shared" si="17"/>
        <v>48772.11</v>
      </c>
      <c r="AF22" s="24"/>
      <c r="AG22" s="121">
        <f t="shared" si="2"/>
        <v>195088.44</v>
      </c>
      <c r="AH22" s="24">
        <v>0</v>
      </c>
      <c r="AI22" s="238">
        <f t="shared" si="18"/>
        <v>4651766.5599999996</v>
      </c>
      <c r="AJ22" s="112"/>
      <c r="AL22" s="24">
        <v>4877211</v>
      </c>
      <c r="AM22" s="24">
        <v>4877211</v>
      </c>
      <c r="AN22" s="38">
        <f t="shared" si="19"/>
        <v>5099982.2509000003</v>
      </c>
      <c r="AO22" s="108">
        <f t="shared" si="3"/>
        <v>254999.11254500004</v>
      </c>
      <c r="AP22" s="38">
        <f t="shared" si="20"/>
        <v>4698666.8083549999</v>
      </c>
      <c r="AQ22" s="38">
        <f t="shared" si="4"/>
        <v>56384001.700259998</v>
      </c>
      <c r="AR22" s="38">
        <f t="shared" si="5"/>
        <v>58500000</v>
      </c>
      <c r="AS22" s="113">
        <f t="shared" ref="AS22:AS43" si="23">IF((+AQ22-AR22)&lt;=0,0,TRUNC((AQ22-AR22)/1000)*1000)</f>
        <v>0</v>
      </c>
      <c r="AT22" s="113">
        <f t="shared" si="7"/>
        <v>0</v>
      </c>
      <c r="AU22" s="38">
        <f t="shared" si="22"/>
        <v>0</v>
      </c>
    </row>
    <row r="23" spans="1:47" s="111" customFormat="1" ht="15" customHeight="1">
      <c r="A23" s="237">
        <v>15</v>
      </c>
      <c r="B23" s="30" t="s">
        <v>27</v>
      </c>
      <c r="C23" s="28" t="s">
        <v>130</v>
      </c>
      <c r="D23" s="62" t="s">
        <v>9</v>
      </c>
      <c r="E23" s="248" t="s">
        <v>295</v>
      </c>
      <c r="F23" s="68">
        <v>16</v>
      </c>
      <c r="G23" s="68">
        <v>145452</v>
      </c>
      <c r="H23" s="24">
        <v>4594855</v>
      </c>
      <c r="I23" s="68">
        <v>100000</v>
      </c>
      <c r="J23" s="68">
        <v>100000</v>
      </c>
      <c r="K23" s="68"/>
      <c r="L23" s="135"/>
      <c r="M23" s="122"/>
      <c r="N23" s="68"/>
      <c r="O23" s="142">
        <v>0</v>
      </c>
      <c r="P23" s="122">
        <v>26559.855491329479</v>
      </c>
      <c r="Q23" s="120">
        <f t="shared" si="8"/>
        <v>0</v>
      </c>
      <c r="R23" s="136">
        <f t="shared" si="0"/>
        <v>0</v>
      </c>
      <c r="S23" s="24">
        <v>52000</v>
      </c>
      <c r="T23" s="24"/>
      <c r="U23" s="24">
        <v>0</v>
      </c>
      <c r="V23" s="25">
        <f t="shared" si="1"/>
        <v>4846855</v>
      </c>
      <c r="W23" s="24">
        <f t="shared" si="9"/>
        <v>58038.810900000004</v>
      </c>
      <c r="X23" s="24">
        <f t="shared" si="10"/>
        <v>97544.22</v>
      </c>
      <c r="Y23" s="24">
        <f t="shared" si="11"/>
        <v>97544.22</v>
      </c>
      <c r="Z23" s="24">
        <f t="shared" si="12"/>
        <v>195088.44</v>
      </c>
      <c r="AA23" s="25">
        <f t="shared" si="13"/>
        <v>448215.69090000005</v>
      </c>
      <c r="AB23" s="25">
        <f t="shared" si="14"/>
        <v>5295070.6908999998</v>
      </c>
      <c r="AC23" s="66">
        <f t="shared" si="15"/>
        <v>97544.22</v>
      </c>
      <c r="AD23" s="66">
        <f t="shared" si="16"/>
        <v>48772.11</v>
      </c>
      <c r="AE23" s="66">
        <f t="shared" si="17"/>
        <v>48772.11</v>
      </c>
      <c r="AF23" s="24"/>
      <c r="AG23" s="121">
        <f t="shared" si="2"/>
        <v>195088.44</v>
      </c>
      <c r="AH23" s="24">
        <v>0</v>
      </c>
      <c r="AI23" s="238">
        <f t="shared" si="18"/>
        <v>4651766.5599999996</v>
      </c>
      <c r="AJ23" s="112"/>
      <c r="AL23" s="24">
        <v>4877211</v>
      </c>
      <c r="AM23" s="24">
        <v>4877211</v>
      </c>
      <c r="AN23" s="38">
        <f t="shared" si="19"/>
        <v>5099982.2509000003</v>
      </c>
      <c r="AO23" s="108">
        <f t="shared" si="3"/>
        <v>254999.11254500004</v>
      </c>
      <c r="AP23" s="38">
        <f t="shared" si="20"/>
        <v>4698666.8083549999</v>
      </c>
      <c r="AQ23" s="38">
        <f t="shared" si="4"/>
        <v>56384001.700259998</v>
      </c>
      <c r="AR23" s="38">
        <f t="shared" si="5"/>
        <v>63000000</v>
      </c>
      <c r="AS23" s="113">
        <f t="shared" si="23"/>
        <v>0</v>
      </c>
      <c r="AT23" s="113">
        <f t="shared" si="7"/>
        <v>0</v>
      </c>
      <c r="AU23" s="38">
        <f t="shared" si="22"/>
        <v>0</v>
      </c>
    </row>
    <row r="24" spans="1:47" ht="15" customHeight="1">
      <c r="A24" s="237">
        <v>16</v>
      </c>
      <c r="B24" s="71" t="s">
        <v>48</v>
      </c>
      <c r="C24" s="57" t="s">
        <v>149</v>
      </c>
      <c r="D24" s="64" t="s">
        <v>10</v>
      </c>
      <c r="E24" s="248" t="s">
        <v>296</v>
      </c>
      <c r="F24" s="68">
        <v>30</v>
      </c>
      <c r="G24" s="68">
        <v>117481</v>
      </c>
      <c r="H24" s="24">
        <v>4394855</v>
      </c>
      <c r="I24" s="68">
        <v>0</v>
      </c>
      <c r="J24" s="68">
        <v>0</v>
      </c>
      <c r="K24" s="68"/>
      <c r="L24" s="135"/>
      <c r="M24" s="122"/>
      <c r="N24" s="68"/>
      <c r="O24" s="142">
        <v>0</v>
      </c>
      <c r="P24" s="122">
        <v>25403.78612716763</v>
      </c>
      <c r="Q24" s="120">
        <f t="shared" ref="Q24" si="24">+O24*P24</f>
        <v>0</v>
      </c>
      <c r="R24" s="136">
        <f t="shared" si="0"/>
        <v>0</v>
      </c>
      <c r="S24" s="24">
        <v>96000</v>
      </c>
      <c r="T24" s="24"/>
      <c r="U24" s="24">
        <v>0</v>
      </c>
      <c r="V24" s="25">
        <f t="shared" si="1"/>
        <v>4490855</v>
      </c>
      <c r="W24" s="24">
        <f t="shared" si="9"/>
        <v>58038.810900000004</v>
      </c>
      <c r="X24" s="24">
        <f t="shared" si="10"/>
        <v>97544.22</v>
      </c>
      <c r="Y24" s="24">
        <f t="shared" si="11"/>
        <v>97544.22</v>
      </c>
      <c r="Z24" s="24">
        <f t="shared" si="12"/>
        <v>195088.44</v>
      </c>
      <c r="AA24" s="25">
        <f t="shared" ref="AA24:AA26" si="25">SUM(W24:Z24)</f>
        <v>448215.69090000005</v>
      </c>
      <c r="AB24" s="25">
        <f t="shared" ref="AB24:AB26" si="26">+V24+AA24</f>
        <v>4939070.6908999998</v>
      </c>
      <c r="AC24" s="66">
        <f t="shared" si="15"/>
        <v>97544.22</v>
      </c>
      <c r="AD24" s="66">
        <f t="shared" si="16"/>
        <v>48772.11</v>
      </c>
      <c r="AE24" s="66">
        <f t="shared" si="17"/>
        <v>48772.11</v>
      </c>
      <c r="AF24" s="24"/>
      <c r="AG24" s="121">
        <f t="shared" ref="AG24:AG26" si="27">SUM(AC24:AF24)</f>
        <v>195088.44</v>
      </c>
      <c r="AH24" s="24">
        <v>0</v>
      </c>
      <c r="AI24" s="238">
        <f t="shared" si="18"/>
        <v>4295766.5599999996</v>
      </c>
      <c r="AJ24" s="6"/>
      <c r="AK24" s="24"/>
      <c r="AL24" s="24">
        <v>4877211</v>
      </c>
      <c r="AM24" s="24">
        <v>4877211</v>
      </c>
      <c r="AN24" s="38">
        <f t="shared" si="19"/>
        <v>4743982.2509000003</v>
      </c>
      <c r="AO24" s="108">
        <f t="shared" si="3"/>
        <v>237199.11254500004</v>
      </c>
      <c r="AP24" s="38">
        <f t="shared" si="20"/>
        <v>4360466.8083549999</v>
      </c>
      <c r="AQ24" s="38">
        <f t="shared" si="4"/>
        <v>52325601.700259998</v>
      </c>
      <c r="AR24" s="38">
        <f t="shared" si="5"/>
        <v>54000000</v>
      </c>
      <c r="AS24" s="113">
        <f t="shared" si="23"/>
        <v>0</v>
      </c>
      <c r="AT24" s="113">
        <f t="shared" si="7"/>
        <v>0</v>
      </c>
      <c r="AU24" s="38">
        <f t="shared" si="22"/>
        <v>0</v>
      </c>
    </row>
    <row r="25" spans="1:47" s="111" customFormat="1" ht="15" customHeight="1">
      <c r="A25" s="237">
        <v>17</v>
      </c>
      <c r="B25" s="30" t="s">
        <v>193</v>
      </c>
      <c r="C25" s="28" t="s">
        <v>355</v>
      </c>
      <c r="D25" s="62" t="s">
        <v>10</v>
      </c>
      <c r="E25" s="244" t="s">
        <v>349</v>
      </c>
      <c r="F25" s="68">
        <v>27</v>
      </c>
      <c r="G25" s="68">
        <v>117481</v>
      </c>
      <c r="H25" s="24">
        <v>4394855</v>
      </c>
      <c r="I25" s="68">
        <v>0</v>
      </c>
      <c r="J25" s="68">
        <v>0</v>
      </c>
      <c r="K25" s="68"/>
      <c r="L25" s="135"/>
      <c r="M25" s="122"/>
      <c r="N25" s="68"/>
      <c r="O25" s="142">
        <v>0</v>
      </c>
      <c r="P25" s="122">
        <v>25403.78612716763</v>
      </c>
      <c r="Q25" s="120">
        <f t="shared" si="8"/>
        <v>0</v>
      </c>
      <c r="R25" s="136">
        <f t="shared" si="0"/>
        <v>0</v>
      </c>
      <c r="S25" s="24">
        <v>84000</v>
      </c>
      <c r="T25" s="24"/>
      <c r="U25" s="24">
        <v>0</v>
      </c>
      <c r="V25" s="25">
        <f t="shared" si="1"/>
        <v>4478855</v>
      </c>
      <c r="W25" s="24">
        <f t="shared" si="9"/>
        <v>58038.810900000004</v>
      </c>
      <c r="X25" s="24">
        <f t="shared" si="10"/>
        <v>97544.22</v>
      </c>
      <c r="Y25" s="24">
        <f t="shared" si="11"/>
        <v>97544.22</v>
      </c>
      <c r="Z25" s="24">
        <f t="shared" si="12"/>
        <v>195088.44</v>
      </c>
      <c r="AA25" s="25">
        <f t="shared" si="25"/>
        <v>448215.69090000005</v>
      </c>
      <c r="AB25" s="25">
        <f t="shared" si="26"/>
        <v>4927070.6908999998</v>
      </c>
      <c r="AC25" s="66">
        <f t="shared" si="15"/>
        <v>97544.22</v>
      </c>
      <c r="AD25" s="66">
        <f t="shared" si="16"/>
        <v>48772.11</v>
      </c>
      <c r="AE25" s="66">
        <f t="shared" si="17"/>
        <v>48772.11</v>
      </c>
      <c r="AF25" s="24"/>
      <c r="AG25" s="121">
        <f t="shared" si="27"/>
        <v>195088.44</v>
      </c>
      <c r="AH25" s="24">
        <v>0</v>
      </c>
      <c r="AI25" s="238">
        <f t="shared" si="18"/>
        <v>4283766.5599999996</v>
      </c>
      <c r="AJ25" s="112"/>
      <c r="AL25" s="24">
        <v>4877211</v>
      </c>
      <c r="AM25" s="24">
        <v>4877211</v>
      </c>
      <c r="AN25" s="38">
        <f t="shared" ref="AN25" si="28">+V25+W25+Z25</f>
        <v>4731982.2509000003</v>
      </c>
      <c r="AO25" s="108">
        <f t="shared" ref="AO25" si="29">IF(AN25*0.05&gt;500000,500000,AN25*0.05)</f>
        <v>236599.11254500004</v>
      </c>
      <c r="AP25" s="38">
        <f t="shared" ref="AP25" si="30">+AN25-AO25-AC25-AD25</f>
        <v>4349066.8083549999</v>
      </c>
      <c r="AQ25" s="38">
        <f t="shared" si="4"/>
        <v>52188801.700259998</v>
      </c>
      <c r="AR25" s="38">
        <f t="shared" si="5"/>
        <v>54000000</v>
      </c>
      <c r="AS25" s="113">
        <f t="shared" ref="AS25" si="31">IF((+AQ25-AR25)&lt;=0,0,TRUNC((AQ25-AR25)/1000)*1000)</f>
        <v>0</v>
      </c>
      <c r="AT25" s="113">
        <f t="shared" ref="AT25" si="32">IF(AS25&lt;=60000000,AS25*5%,IF(AS25&lt;=250000000,3000000+((AS25-60000000)*15%),IF(AS25&lt;=500000000,31500000+((AS25-250000000)*25%),IF(AND(AS25&gt;=500000000,AS25&lt;=5000000000),94000000+((AS25-500000000)*30%),IF(AS25&gt;5000000000,(1444000000+(AS25-5000000000)*35%))))))</f>
        <v>0</v>
      </c>
      <c r="AU25" s="38">
        <f t="shared" ref="AU25" si="33">+AT25/12</f>
        <v>0</v>
      </c>
    </row>
    <row r="26" spans="1:47" s="111" customFormat="1" ht="15" customHeight="1">
      <c r="A26" s="237">
        <v>18</v>
      </c>
      <c r="B26" s="30" t="s">
        <v>232</v>
      </c>
      <c r="C26" s="28" t="s">
        <v>36</v>
      </c>
      <c r="D26" s="62" t="s">
        <v>10</v>
      </c>
      <c r="E26" s="247" t="s">
        <v>297</v>
      </c>
      <c r="F26" s="68">
        <v>27</v>
      </c>
      <c r="G26" s="68">
        <v>117481</v>
      </c>
      <c r="H26" s="24">
        <v>4394855</v>
      </c>
      <c r="I26" s="68">
        <v>0</v>
      </c>
      <c r="J26" s="68">
        <v>0</v>
      </c>
      <c r="K26" s="68"/>
      <c r="L26" s="135"/>
      <c r="M26" s="122"/>
      <c r="N26" s="68"/>
      <c r="O26" s="142">
        <v>0</v>
      </c>
      <c r="P26" s="122">
        <v>25403.78612716763</v>
      </c>
      <c r="Q26" s="120">
        <f t="shared" si="8"/>
        <v>0</v>
      </c>
      <c r="R26" s="136">
        <f t="shared" si="0"/>
        <v>0</v>
      </c>
      <c r="S26" s="24">
        <v>80000</v>
      </c>
      <c r="T26" s="24"/>
      <c r="U26" s="24">
        <v>0</v>
      </c>
      <c r="V26" s="25">
        <f t="shared" si="1"/>
        <v>4474855</v>
      </c>
      <c r="W26" s="24">
        <f t="shared" si="9"/>
        <v>58038.810900000004</v>
      </c>
      <c r="X26" s="24">
        <f t="shared" si="10"/>
        <v>97544.22</v>
      </c>
      <c r="Y26" s="24">
        <f t="shared" si="11"/>
        <v>97544.22</v>
      </c>
      <c r="Z26" s="24">
        <f t="shared" si="12"/>
        <v>195088.44</v>
      </c>
      <c r="AA26" s="25">
        <f t="shared" si="25"/>
        <v>448215.69090000005</v>
      </c>
      <c r="AB26" s="25">
        <f t="shared" si="26"/>
        <v>4923070.6908999998</v>
      </c>
      <c r="AC26" s="66">
        <f t="shared" si="15"/>
        <v>97544.22</v>
      </c>
      <c r="AD26" s="66">
        <f t="shared" si="16"/>
        <v>48772.11</v>
      </c>
      <c r="AE26" s="66">
        <f t="shared" si="17"/>
        <v>48772.11</v>
      </c>
      <c r="AF26" s="24"/>
      <c r="AG26" s="121">
        <f t="shared" si="27"/>
        <v>195088.44</v>
      </c>
      <c r="AH26" s="24">
        <v>0</v>
      </c>
      <c r="AI26" s="238">
        <f t="shared" si="18"/>
        <v>4279766.5599999996</v>
      </c>
      <c r="AJ26" s="112"/>
      <c r="AL26" s="24">
        <v>4877211</v>
      </c>
      <c r="AM26" s="24">
        <v>4877211</v>
      </c>
      <c r="AN26" s="38">
        <f t="shared" si="19"/>
        <v>4727982.2509000003</v>
      </c>
      <c r="AO26" s="108">
        <f t="shared" si="3"/>
        <v>236399.11254500004</v>
      </c>
      <c r="AP26" s="38">
        <f t="shared" si="20"/>
        <v>4345266.8083549999</v>
      </c>
      <c r="AQ26" s="38">
        <f t="shared" si="4"/>
        <v>52143201.700259998</v>
      </c>
      <c r="AR26" s="38">
        <f t="shared" si="5"/>
        <v>54000000</v>
      </c>
      <c r="AS26" s="113">
        <f t="shared" si="23"/>
        <v>0</v>
      </c>
      <c r="AT26" s="113">
        <f t="shared" si="7"/>
        <v>0</v>
      </c>
      <c r="AU26" s="38">
        <f t="shared" si="22"/>
        <v>0</v>
      </c>
    </row>
    <row r="27" spans="1:47" s="111" customFormat="1" ht="15" customHeight="1">
      <c r="A27" s="237">
        <v>19</v>
      </c>
      <c r="B27" s="30" t="s">
        <v>118</v>
      </c>
      <c r="C27" s="28" t="s">
        <v>36</v>
      </c>
      <c r="D27" s="62" t="s">
        <v>10</v>
      </c>
      <c r="E27" s="247" t="s">
        <v>298</v>
      </c>
      <c r="F27" s="68">
        <v>29</v>
      </c>
      <c r="G27" s="68">
        <v>117481</v>
      </c>
      <c r="H27" s="24">
        <v>4394855</v>
      </c>
      <c r="I27" s="68">
        <v>0</v>
      </c>
      <c r="J27" s="68">
        <v>0</v>
      </c>
      <c r="K27" s="68"/>
      <c r="L27" s="135"/>
      <c r="M27" s="122"/>
      <c r="N27" s="68"/>
      <c r="O27" s="142">
        <v>0</v>
      </c>
      <c r="P27" s="122">
        <v>25403.78612716763</v>
      </c>
      <c r="Q27" s="120">
        <f t="shared" si="8"/>
        <v>0</v>
      </c>
      <c r="R27" s="136">
        <f t="shared" si="0"/>
        <v>0</v>
      </c>
      <c r="S27" s="24">
        <v>88000</v>
      </c>
      <c r="T27" s="24"/>
      <c r="U27" s="24">
        <v>0</v>
      </c>
      <c r="V27" s="25">
        <f t="shared" si="1"/>
        <v>4482855</v>
      </c>
      <c r="W27" s="24">
        <f t="shared" si="9"/>
        <v>58038.810900000004</v>
      </c>
      <c r="X27" s="24">
        <f t="shared" si="10"/>
        <v>97544.22</v>
      </c>
      <c r="Y27" s="24">
        <f t="shared" si="11"/>
        <v>97544.22</v>
      </c>
      <c r="Z27" s="24">
        <f t="shared" si="12"/>
        <v>195088.44</v>
      </c>
      <c r="AA27" s="25">
        <f t="shared" si="13"/>
        <v>448215.69090000005</v>
      </c>
      <c r="AB27" s="25">
        <f t="shared" si="14"/>
        <v>4931070.6908999998</v>
      </c>
      <c r="AC27" s="66">
        <f t="shared" si="15"/>
        <v>97544.22</v>
      </c>
      <c r="AD27" s="66">
        <f t="shared" si="16"/>
        <v>48772.11</v>
      </c>
      <c r="AE27" s="66">
        <f t="shared" si="17"/>
        <v>48772.11</v>
      </c>
      <c r="AF27" s="24"/>
      <c r="AG27" s="121">
        <f t="shared" si="2"/>
        <v>195088.44</v>
      </c>
      <c r="AH27" s="24">
        <v>0</v>
      </c>
      <c r="AI27" s="238">
        <f t="shared" si="18"/>
        <v>4287766.5599999996</v>
      </c>
      <c r="AJ27" s="112"/>
      <c r="AL27" s="24">
        <v>4877211</v>
      </c>
      <c r="AM27" s="24">
        <v>4877211</v>
      </c>
      <c r="AN27" s="38">
        <f t="shared" si="19"/>
        <v>4735982.2509000003</v>
      </c>
      <c r="AO27" s="108">
        <f t="shared" si="3"/>
        <v>236799.11254500004</v>
      </c>
      <c r="AP27" s="38">
        <f t="shared" si="20"/>
        <v>4352866.8083549999</v>
      </c>
      <c r="AQ27" s="38">
        <f t="shared" si="4"/>
        <v>52234401.700259998</v>
      </c>
      <c r="AR27" s="38">
        <f t="shared" si="5"/>
        <v>54000000</v>
      </c>
      <c r="AS27" s="113">
        <f t="shared" si="23"/>
        <v>0</v>
      </c>
      <c r="AT27" s="113">
        <f t="shared" si="7"/>
        <v>0</v>
      </c>
      <c r="AU27" s="38">
        <f t="shared" si="22"/>
        <v>0</v>
      </c>
    </row>
    <row r="28" spans="1:47" s="111" customFormat="1" ht="15" customHeight="1">
      <c r="A28" s="237">
        <v>20</v>
      </c>
      <c r="B28" s="30" t="s">
        <v>18</v>
      </c>
      <c r="C28" s="28" t="s">
        <v>15</v>
      </c>
      <c r="D28" s="62" t="s">
        <v>9</v>
      </c>
      <c r="E28" s="248" t="s">
        <v>299</v>
      </c>
      <c r="F28" s="68">
        <v>24</v>
      </c>
      <c r="G28" s="68">
        <v>145452</v>
      </c>
      <c r="H28" s="24">
        <v>4594855</v>
      </c>
      <c r="I28" s="68">
        <v>0</v>
      </c>
      <c r="J28" s="68">
        <v>0</v>
      </c>
      <c r="K28" s="68"/>
      <c r="L28" s="135"/>
      <c r="M28" s="122"/>
      <c r="N28" s="68"/>
      <c r="O28" s="142">
        <v>48.5</v>
      </c>
      <c r="P28" s="122">
        <v>26559.855491329479</v>
      </c>
      <c r="Q28" s="120">
        <f t="shared" si="8"/>
        <v>1288152.9913294797</v>
      </c>
      <c r="R28" s="136">
        <f t="shared" si="0"/>
        <v>1288152.9913294797</v>
      </c>
      <c r="S28" s="24">
        <v>76000</v>
      </c>
      <c r="T28" s="24"/>
      <c r="U28" s="24">
        <v>0</v>
      </c>
      <c r="V28" s="25">
        <f t="shared" si="1"/>
        <v>5959007.99132948</v>
      </c>
      <c r="W28" s="24">
        <f t="shared" si="9"/>
        <v>58038.810900000004</v>
      </c>
      <c r="X28" s="24">
        <f t="shared" si="10"/>
        <v>97544.22</v>
      </c>
      <c r="Y28" s="24">
        <f t="shared" si="11"/>
        <v>97544.22</v>
      </c>
      <c r="Z28" s="24">
        <f t="shared" si="12"/>
        <v>195088.44</v>
      </c>
      <c r="AA28" s="25">
        <f t="shared" si="13"/>
        <v>448215.69090000005</v>
      </c>
      <c r="AB28" s="25">
        <f t="shared" ref="AB28:AB36" si="34">+V28+AA28</f>
        <v>6407223.6822294798</v>
      </c>
      <c r="AC28" s="66">
        <f t="shared" si="15"/>
        <v>97544.22</v>
      </c>
      <c r="AD28" s="66">
        <f t="shared" si="16"/>
        <v>48772.11</v>
      </c>
      <c r="AE28" s="66">
        <f t="shared" si="17"/>
        <v>48772.11</v>
      </c>
      <c r="AF28" s="24"/>
      <c r="AG28" s="121">
        <f t="shared" si="2"/>
        <v>195088.44</v>
      </c>
      <c r="AH28" s="24">
        <v>15530</v>
      </c>
      <c r="AI28" s="238">
        <f t="shared" si="18"/>
        <v>5748389.5513294796</v>
      </c>
      <c r="AJ28" s="112"/>
      <c r="AL28" s="24">
        <v>4877211</v>
      </c>
      <c r="AM28" s="24">
        <v>4877211</v>
      </c>
      <c r="AN28" s="38">
        <f t="shared" ref="AN28:AN37" si="35">+V28+W28+Z28</f>
        <v>6212135.2422294803</v>
      </c>
      <c r="AO28" s="108">
        <f t="shared" ref="AO28:AO37" si="36">IF(AN28*0.05&gt;500000,500000,AN28*0.05)</f>
        <v>310606.762111474</v>
      </c>
      <c r="AP28" s="38">
        <f t="shared" ref="AP28:AP39" si="37">+AN28-AO28-AC28-AD28</f>
        <v>5755212.1501180064</v>
      </c>
      <c r="AQ28" s="38">
        <f t="shared" si="4"/>
        <v>69062545.801416069</v>
      </c>
      <c r="AR28" s="38">
        <f t="shared" si="5"/>
        <v>63000000</v>
      </c>
      <c r="AS28" s="113">
        <f t="shared" si="23"/>
        <v>6062000</v>
      </c>
      <c r="AT28" s="113">
        <f t="shared" si="7"/>
        <v>303100</v>
      </c>
      <c r="AU28" s="38">
        <f t="shared" si="22"/>
        <v>25258.333333333332</v>
      </c>
    </row>
    <row r="29" spans="1:47" s="111" customFormat="1" ht="15" customHeight="1">
      <c r="A29" s="237">
        <v>21</v>
      </c>
      <c r="B29" s="29" t="s">
        <v>28</v>
      </c>
      <c r="C29" s="29" t="s">
        <v>131</v>
      </c>
      <c r="D29" s="62" t="s">
        <v>10</v>
      </c>
      <c r="E29" s="248" t="s">
        <v>300</v>
      </c>
      <c r="F29" s="68">
        <v>30</v>
      </c>
      <c r="G29" s="68">
        <v>145452</v>
      </c>
      <c r="H29" s="24">
        <v>4594855</v>
      </c>
      <c r="I29" s="68">
        <v>100000</v>
      </c>
      <c r="J29" s="68">
        <v>100000</v>
      </c>
      <c r="K29" s="68"/>
      <c r="L29" s="135"/>
      <c r="M29" s="122"/>
      <c r="N29" s="68"/>
      <c r="O29" s="142">
        <v>0</v>
      </c>
      <c r="P29" s="122">
        <v>26559.855491329479</v>
      </c>
      <c r="Q29" s="120">
        <f t="shared" si="8"/>
        <v>0</v>
      </c>
      <c r="R29" s="136">
        <f t="shared" si="0"/>
        <v>0</v>
      </c>
      <c r="S29" s="24">
        <v>100000</v>
      </c>
      <c r="T29" s="24"/>
      <c r="U29" s="24">
        <v>0</v>
      </c>
      <c r="V29" s="25">
        <f t="shared" si="1"/>
        <v>4894855</v>
      </c>
      <c r="W29" s="24">
        <f t="shared" si="9"/>
        <v>58038.810900000004</v>
      </c>
      <c r="X29" s="24">
        <f t="shared" si="10"/>
        <v>97544.22</v>
      </c>
      <c r="Y29" s="24">
        <f t="shared" si="11"/>
        <v>97544.22</v>
      </c>
      <c r="Z29" s="24">
        <f t="shared" si="12"/>
        <v>195088.44</v>
      </c>
      <c r="AA29" s="25">
        <f t="shared" ref="AA29:AA35" si="38">SUM(W29:Z29)</f>
        <v>448215.69090000005</v>
      </c>
      <c r="AB29" s="25">
        <f t="shared" si="34"/>
        <v>5343070.6908999998</v>
      </c>
      <c r="AC29" s="66">
        <f t="shared" si="15"/>
        <v>97544.22</v>
      </c>
      <c r="AD29" s="66">
        <f t="shared" si="16"/>
        <v>48772.11</v>
      </c>
      <c r="AE29" s="66">
        <f t="shared" si="17"/>
        <v>48772.11</v>
      </c>
      <c r="AF29" s="24"/>
      <c r="AG29" s="121">
        <f t="shared" si="2"/>
        <v>195088.44</v>
      </c>
      <c r="AH29" s="24">
        <v>0</v>
      </c>
      <c r="AI29" s="238">
        <f t="shared" si="18"/>
        <v>4699766.5599999996</v>
      </c>
      <c r="AJ29" s="112"/>
      <c r="AL29" s="24">
        <v>4877211</v>
      </c>
      <c r="AM29" s="24">
        <v>4877211</v>
      </c>
      <c r="AN29" s="38">
        <f t="shared" si="35"/>
        <v>5147982.2509000003</v>
      </c>
      <c r="AO29" s="108">
        <f t="shared" si="36"/>
        <v>257399.11254500004</v>
      </c>
      <c r="AP29" s="38">
        <f t="shared" si="37"/>
        <v>4744266.8083549999</v>
      </c>
      <c r="AQ29" s="38">
        <f t="shared" ref="AQ29:AQ37" si="39">+AP29*$AQ$7</f>
        <v>56931201.700259998</v>
      </c>
      <c r="AR29" s="38">
        <f t="shared" si="5"/>
        <v>54000000</v>
      </c>
      <c r="AS29" s="113">
        <f t="shared" ref="AS29:AS36" si="40">IF((+AQ29-AR29)&lt;=0,0,TRUNC((AQ29-AR29)/1000)*1000)</f>
        <v>2931000</v>
      </c>
      <c r="AT29" s="113">
        <f t="shared" ref="AT29:AT36" si="41">IF(AS29&lt;=60000000,AS29*5%,IF(AS29&lt;=250000000,3000000+((AS29-60000000)*15%),IF(AS29&lt;=500000000,31500000+((AS29-250000000)*25%),IF(AND(AS29&gt;=500000000,AS29&lt;=5000000000),94000000+((AS29-500000000)*30%),IF(AS29&gt;5000000000,(1444000000+(AS29-5000000000)*35%))))))</f>
        <v>146550</v>
      </c>
      <c r="AU29" s="38">
        <f t="shared" ref="AU29:AU36" si="42">+AT29/12</f>
        <v>12212.5</v>
      </c>
    </row>
    <row r="30" spans="1:47" s="111" customFormat="1" ht="15" customHeight="1">
      <c r="A30" s="237">
        <v>22</v>
      </c>
      <c r="B30" s="29" t="s">
        <v>55</v>
      </c>
      <c r="C30" s="28" t="s">
        <v>132</v>
      </c>
      <c r="D30" s="62" t="s">
        <v>9</v>
      </c>
      <c r="E30" s="248" t="s">
        <v>301</v>
      </c>
      <c r="F30" s="68">
        <v>29</v>
      </c>
      <c r="G30" s="68">
        <v>145452</v>
      </c>
      <c r="H30" s="24">
        <v>4594855</v>
      </c>
      <c r="I30" s="68">
        <v>100000</v>
      </c>
      <c r="J30" s="68">
        <v>100000</v>
      </c>
      <c r="K30" s="68"/>
      <c r="L30" s="135"/>
      <c r="M30" s="122"/>
      <c r="N30" s="68"/>
      <c r="O30" s="142">
        <v>0</v>
      </c>
      <c r="P30" s="122">
        <v>26559.855491329479</v>
      </c>
      <c r="Q30" s="120">
        <f t="shared" si="8"/>
        <v>0</v>
      </c>
      <c r="R30" s="136">
        <f t="shared" si="0"/>
        <v>0</v>
      </c>
      <c r="S30" s="24">
        <v>92000</v>
      </c>
      <c r="T30" s="24"/>
      <c r="U30" s="24">
        <v>0</v>
      </c>
      <c r="V30" s="25">
        <f t="shared" si="1"/>
        <v>4886855</v>
      </c>
      <c r="W30" s="24">
        <f t="shared" si="9"/>
        <v>58038.810900000004</v>
      </c>
      <c r="X30" s="24">
        <f t="shared" si="10"/>
        <v>97544.22</v>
      </c>
      <c r="Y30" s="24">
        <f t="shared" si="11"/>
        <v>97544.22</v>
      </c>
      <c r="Z30" s="24">
        <f t="shared" si="12"/>
        <v>195088.44</v>
      </c>
      <c r="AA30" s="25">
        <f t="shared" si="38"/>
        <v>448215.69090000005</v>
      </c>
      <c r="AB30" s="25">
        <f t="shared" si="34"/>
        <v>5335070.6908999998</v>
      </c>
      <c r="AC30" s="66">
        <f t="shared" si="15"/>
        <v>97544.22</v>
      </c>
      <c r="AD30" s="66">
        <f t="shared" si="16"/>
        <v>48772.11</v>
      </c>
      <c r="AE30" s="66">
        <f t="shared" si="17"/>
        <v>48772.11</v>
      </c>
      <c r="AF30" s="24"/>
      <c r="AG30" s="121">
        <f t="shared" si="2"/>
        <v>195088.44</v>
      </c>
      <c r="AH30" s="24">
        <v>0</v>
      </c>
      <c r="AI30" s="238">
        <f>+V30-AG30-AH30</f>
        <v>4691766.5599999996</v>
      </c>
      <c r="AJ30" s="112"/>
      <c r="AL30" s="24">
        <v>4877211</v>
      </c>
      <c r="AM30" s="24">
        <v>4877211</v>
      </c>
      <c r="AN30" s="38">
        <f t="shared" si="35"/>
        <v>5139982.2509000003</v>
      </c>
      <c r="AO30" s="108">
        <f t="shared" si="36"/>
        <v>256999.11254500004</v>
      </c>
      <c r="AP30" s="38">
        <f t="shared" si="37"/>
        <v>4736666.8083549999</v>
      </c>
      <c r="AQ30" s="38">
        <f t="shared" si="39"/>
        <v>56840001.700259998</v>
      </c>
      <c r="AR30" s="38">
        <f t="shared" si="5"/>
        <v>63000000</v>
      </c>
      <c r="AS30" s="113">
        <f t="shared" si="40"/>
        <v>0</v>
      </c>
      <c r="AT30" s="113">
        <f t="shared" si="41"/>
        <v>0</v>
      </c>
      <c r="AU30" s="38">
        <f t="shared" si="42"/>
        <v>0</v>
      </c>
    </row>
    <row r="31" spans="1:47" s="111" customFormat="1" ht="15" customHeight="1">
      <c r="A31" s="237">
        <v>23</v>
      </c>
      <c r="B31" s="30" t="s">
        <v>22</v>
      </c>
      <c r="C31" s="28" t="s">
        <v>133</v>
      </c>
      <c r="D31" s="62" t="s">
        <v>10</v>
      </c>
      <c r="E31" s="248" t="s">
        <v>302</v>
      </c>
      <c r="F31" s="68">
        <v>30</v>
      </c>
      <c r="G31" s="68">
        <v>139858</v>
      </c>
      <c r="H31" s="24">
        <v>4494855</v>
      </c>
      <c r="I31" s="68">
        <v>100000</v>
      </c>
      <c r="J31" s="68">
        <v>100000</v>
      </c>
      <c r="K31" s="68"/>
      <c r="L31" s="135"/>
      <c r="M31" s="122"/>
      <c r="N31" s="68"/>
      <c r="O31" s="142">
        <v>0</v>
      </c>
      <c r="P31" s="122">
        <v>25981.820809248555</v>
      </c>
      <c r="Q31" s="120">
        <f>+O31*P31</f>
        <v>0</v>
      </c>
      <c r="R31" s="136">
        <f t="shared" si="0"/>
        <v>0</v>
      </c>
      <c r="S31" s="24">
        <v>100000</v>
      </c>
      <c r="T31" s="24"/>
      <c r="U31" s="24">
        <v>0</v>
      </c>
      <c r="V31" s="25">
        <f t="shared" si="1"/>
        <v>4794855</v>
      </c>
      <c r="W31" s="24">
        <f t="shared" si="9"/>
        <v>58038.810900000004</v>
      </c>
      <c r="X31" s="24">
        <f t="shared" si="10"/>
        <v>97544.22</v>
      </c>
      <c r="Y31" s="24">
        <f t="shared" si="11"/>
        <v>97544.22</v>
      </c>
      <c r="Z31" s="24">
        <f t="shared" si="12"/>
        <v>195088.44</v>
      </c>
      <c r="AA31" s="25">
        <f t="shared" si="38"/>
        <v>448215.69090000005</v>
      </c>
      <c r="AB31" s="25">
        <f t="shared" si="34"/>
        <v>5243070.6908999998</v>
      </c>
      <c r="AC31" s="66">
        <f t="shared" si="15"/>
        <v>97544.22</v>
      </c>
      <c r="AD31" s="66">
        <f t="shared" si="16"/>
        <v>48772.11</v>
      </c>
      <c r="AE31" s="66">
        <f t="shared" si="17"/>
        <v>48772.11</v>
      </c>
      <c r="AF31" s="24"/>
      <c r="AG31" s="121">
        <f t="shared" si="2"/>
        <v>195088.44</v>
      </c>
      <c r="AH31" s="24">
        <v>0</v>
      </c>
      <c r="AI31" s="238">
        <f t="shared" si="18"/>
        <v>4599766.5599999996</v>
      </c>
      <c r="AJ31" s="112"/>
      <c r="AL31" s="24">
        <v>4877211</v>
      </c>
      <c r="AM31" s="24">
        <v>4877211</v>
      </c>
      <c r="AN31" s="38">
        <f t="shared" si="35"/>
        <v>5047982.2509000003</v>
      </c>
      <c r="AO31" s="108">
        <f t="shared" si="36"/>
        <v>252399.11254500004</v>
      </c>
      <c r="AP31" s="38">
        <f t="shared" si="37"/>
        <v>4649266.8083549999</v>
      </c>
      <c r="AQ31" s="38">
        <f t="shared" si="39"/>
        <v>55791201.700259998</v>
      </c>
      <c r="AR31" s="38">
        <f t="shared" si="5"/>
        <v>54000000</v>
      </c>
      <c r="AS31" s="113">
        <f t="shared" si="40"/>
        <v>1791000</v>
      </c>
      <c r="AT31" s="113">
        <f t="shared" si="41"/>
        <v>89550</v>
      </c>
      <c r="AU31" s="38">
        <f t="shared" si="42"/>
        <v>7462.5</v>
      </c>
    </row>
    <row r="32" spans="1:47" s="111" customFormat="1" ht="15" customHeight="1">
      <c r="A32" s="237">
        <v>24</v>
      </c>
      <c r="B32" s="29" t="s">
        <v>12</v>
      </c>
      <c r="C32" s="29" t="s">
        <v>23</v>
      </c>
      <c r="D32" s="62" t="s">
        <v>9</v>
      </c>
      <c r="E32" s="248" t="s">
        <v>303</v>
      </c>
      <c r="F32" s="68">
        <v>29</v>
      </c>
      <c r="G32" s="68">
        <v>139858</v>
      </c>
      <c r="H32" s="24">
        <v>4494855</v>
      </c>
      <c r="I32" s="68">
        <v>100000</v>
      </c>
      <c r="J32" s="68">
        <v>100000</v>
      </c>
      <c r="K32" s="68"/>
      <c r="L32" s="135"/>
      <c r="M32" s="122"/>
      <c r="N32" s="68"/>
      <c r="O32" s="142">
        <v>0</v>
      </c>
      <c r="P32" s="122">
        <v>25981.820809248555</v>
      </c>
      <c r="Q32" s="120">
        <f>+O32*P32</f>
        <v>0</v>
      </c>
      <c r="R32" s="136">
        <f t="shared" si="0"/>
        <v>0</v>
      </c>
      <c r="S32" s="24">
        <v>96000</v>
      </c>
      <c r="T32" s="24"/>
      <c r="U32" s="24">
        <v>0</v>
      </c>
      <c r="V32" s="25">
        <f t="shared" si="1"/>
        <v>4790855</v>
      </c>
      <c r="W32" s="24">
        <f t="shared" si="9"/>
        <v>58038.810900000004</v>
      </c>
      <c r="X32" s="24">
        <f t="shared" si="10"/>
        <v>97544.22</v>
      </c>
      <c r="Y32" s="24">
        <f t="shared" si="11"/>
        <v>97544.22</v>
      </c>
      <c r="Z32" s="24">
        <f t="shared" si="12"/>
        <v>195088.44</v>
      </c>
      <c r="AA32" s="25">
        <f t="shared" si="38"/>
        <v>448215.69090000005</v>
      </c>
      <c r="AB32" s="25">
        <f t="shared" si="34"/>
        <v>5239070.6908999998</v>
      </c>
      <c r="AC32" s="66">
        <f t="shared" si="15"/>
        <v>97544.22</v>
      </c>
      <c r="AD32" s="66">
        <f t="shared" si="16"/>
        <v>48772.11</v>
      </c>
      <c r="AE32" s="66">
        <f t="shared" si="17"/>
        <v>48772.11</v>
      </c>
      <c r="AF32" s="24"/>
      <c r="AG32" s="121">
        <f t="shared" si="2"/>
        <v>195088.44</v>
      </c>
      <c r="AH32" s="24">
        <v>0</v>
      </c>
      <c r="AI32" s="238">
        <f t="shared" si="18"/>
        <v>4595766.5599999996</v>
      </c>
      <c r="AJ32" s="112"/>
      <c r="AL32" s="24">
        <v>4877211</v>
      </c>
      <c r="AM32" s="24">
        <v>4877211</v>
      </c>
      <c r="AN32" s="38">
        <f t="shared" si="35"/>
        <v>5043982.2509000003</v>
      </c>
      <c r="AO32" s="108">
        <f t="shared" si="36"/>
        <v>252199.11254500004</v>
      </c>
      <c r="AP32" s="38">
        <f t="shared" si="37"/>
        <v>4645466.8083549999</v>
      </c>
      <c r="AQ32" s="38">
        <f t="shared" si="39"/>
        <v>55745601.700259998</v>
      </c>
      <c r="AR32" s="38">
        <f t="shared" si="5"/>
        <v>63000000</v>
      </c>
      <c r="AS32" s="113">
        <f t="shared" si="40"/>
        <v>0</v>
      </c>
      <c r="AT32" s="113">
        <f t="shared" si="41"/>
        <v>0</v>
      </c>
      <c r="AU32" s="38">
        <f t="shared" si="42"/>
        <v>0</v>
      </c>
    </row>
    <row r="33" spans="1:47" s="111" customFormat="1" ht="15" customHeight="1">
      <c r="A33" s="237">
        <v>25</v>
      </c>
      <c r="B33" s="29" t="s">
        <v>98</v>
      </c>
      <c r="C33" s="29" t="s">
        <v>134</v>
      </c>
      <c r="D33" s="62" t="s">
        <v>17</v>
      </c>
      <c r="E33" s="248" t="s">
        <v>304</v>
      </c>
      <c r="F33" s="68">
        <v>30</v>
      </c>
      <c r="G33" s="68">
        <v>139858</v>
      </c>
      <c r="H33" s="24">
        <v>4494855</v>
      </c>
      <c r="I33" s="68">
        <v>80000</v>
      </c>
      <c r="J33" s="68">
        <v>100000</v>
      </c>
      <c r="K33" s="68"/>
      <c r="L33" s="135"/>
      <c r="M33" s="122"/>
      <c r="N33" s="68"/>
      <c r="O33" s="142">
        <v>0</v>
      </c>
      <c r="P33" s="122">
        <v>25981.820809248555</v>
      </c>
      <c r="Q33" s="120">
        <f>+O33*P33</f>
        <v>0</v>
      </c>
      <c r="R33" s="136">
        <f t="shared" si="0"/>
        <v>0</v>
      </c>
      <c r="S33" s="24">
        <v>100000</v>
      </c>
      <c r="T33" s="24"/>
      <c r="U33" s="24">
        <v>0</v>
      </c>
      <c r="V33" s="25">
        <f t="shared" si="1"/>
        <v>4774855</v>
      </c>
      <c r="W33" s="24">
        <f t="shared" si="9"/>
        <v>58038.810900000004</v>
      </c>
      <c r="X33" s="24">
        <f t="shared" si="10"/>
        <v>97544.22</v>
      </c>
      <c r="Y33" s="24">
        <f t="shared" si="11"/>
        <v>97544.22</v>
      </c>
      <c r="Z33" s="24">
        <f t="shared" si="12"/>
        <v>195088.44</v>
      </c>
      <c r="AA33" s="25">
        <f t="shared" si="38"/>
        <v>448215.69090000005</v>
      </c>
      <c r="AB33" s="25">
        <f t="shared" si="34"/>
        <v>5223070.6908999998</v>
      </c>
      <c r="AC33" s="66">
        <f t="shared" si="15"/>
        <v>97544.22</v>
      </c>
      <c r="AD33" s="66">
        <f t="shared" si="16"/>
        <v>48772.11</v>
      </c>
      <c r="AE33" s="66">
        <f t="shared" si="17"/>
        <v>48772.11</v>
      </c>
      <c r="AF33" s="24"/>
      <c r="AG33" s="121">
        <f t="shared" si="2"/>
        <v>195088.44</v>
      </c>
      <c r="AH33" s="24">
        <v>0</v>
      </c>
      <c r="AI33" s="238">
        <f t="shared" si="18"/>
        <v>4579766.5599999996</v>
      </c>
      <c r="AJ33" s="112"/>
      <c r="AL33" s="24">
        <v>4877211</v>
      </c>
      <c r="AM33" s="24">
        <v>4877211</v>
      </c>
      <c r="AN33" s="38">
        <f t="shared" si="35"/>
        <v>5027982.2509000003</v>
      </c>
      <c r="AO33" s="108">
        <f t="shared" si="36"/>
        <v>251399.11254500004</v>
      </c>
      <c r="AP33" s="38">
        <f t="shared" si="37"/>
        <v>4630266.8083549999</v>
      </c>
      <c r="AQ33" s="38">
        <f t="shared" si="39"/>
        <v>55563201.700259998</v>
      </c>
      <c r="AR33" s="38">
        <f t="shared" si="5"/>
        <v>58500000</v>
      </c>
      <c r="AS33" s="113">
        <f t="shared" si="40"/>
        <v>0</v>
      </c>
      <c r="AT33" s="113">
        <f t="shared" si="41"/>
        <v>0</v>
      </c>
      <c r="AU33" s="38">
        <f t="shared" si="42"/>
        <v>0</v>
      </c>
    </row>
    <row r="34" spans="1:47" s="111" customFormat="1" ht="15" customHeight="1">
      <c r="A34" s="237">
        <v>26</v>
      </c>
      <c r="B34" s="29" t="s">
        <v>91</v>
      </c>
      <c r="C34" s="29" t="s">
        <v>135</v>
      </c>
      <c r="D34" s="62" t="s">
        <v>10</v>
      </c>
      <c r="E34" s="248" t="s">
        <v>305</v>
      </c>
      <c r="F34" s="68">
        <v>29</v>
      </c>
      <c r="G34" s="68">
        <v>139858</v>
      </c>
      <c r="H34" s="24">
        <v>4494855</v>
      </c>
      <c r="I34" s="68">
        <v>80000</v>
      </c>
      <c r="J34" s="68">
        <v>50000</v>
      </c>
      <c r="K34" s="68"/>
      <c r="L34" s="135"/>
      <c r="M34" s="122"/>
      <c r="N34" s="68"/>
      <c r="O34" s="142">
        <v>0</v>
      </c>
      <c r="P34" s="122">
        <v>25981.820809248555</v>
      </c>
      <c r="Q34" s="120">
        <f>+O34*P34</f>
        <v>0</v>
      </c>
      <c r="R34" s="136">
        <f t="shared" si="0"/>
        <v>0</v>
      </c>
      <c r="S34" s="24">
        <v>92000</v>
      </c>
      <c r="T34" s="24"/>
      <c r="U34" s="24">
        <v>0</v>
      </c>
      <c r="V34" s="25">
        <f t="shared" si="1"/>
        <v>4716855</v>
      </c>
      <c r="W34" s="24">
        <f t="shared" si="9"/>
        <v>58038.810900000004</v>
      </c>
      <c r="X34" s="24">
        <f t="shared" si="10"/>
        <v>97544.22</v>
      </c>
      <c r="Y34" s="24">
        <f t="shared" si="11"/>
        <v>97544.22</v>
      </c>
      <c r="Z34" s="24">
        <f t="shared" si="12"/>
        <v>195088.44</v>
      </c>
      <c r="AA34" s="25">
        <f t="shared" si="38"/>
        <v>448215.69090000005</v>
      </c>
      <c r="AB34" s="25">
        <f t="shared" si="34"/>
        <v>5165070.6908999998</v>
      </c>
      <c r="AC34" s="66">
        <f t="shared" si="15"/>
        <v>97544.22</v>
      </c>
      <c r="AD34" s="66">
        <f t="shared" si="16"/>
        <v>48772.11</v>
      </c>
      <c r="AE34" s="66">
        <f t="shared" si="17"/>
        <v>48772.11</v>
      </c>
      <c r="AF34" s="24"/>
      <c r="AG34" s="121">
        <f t="shared" si="2"/>
        <v>195088.44</v>
      </c>
      <c r="AH34" s="24">
        <v>0</v>
      </c>
      <c r="AI34" s="238">
        <f t="shared" si="18"/>
        <v>4521766.5599999996</v>
      </c>
      <c r="AJ34" s="112"/>
      <c r="AL34" s="24">
        <v>4877211</v>
      </c>
      <c r="AM34" s="24">
        <v>4877211</v>
      </c>
      <c r="AN34" s="38">
        <f t="shared" si="35"/>
        <v>4969982.2509000003</v>
      </c>
      <c r="AO34" s="108">
        <f t="shared" si="36"/>
        <v>248499.11254500004</v>
      </c>
      <c r="AP34" s="38">
        <f t="shared" si="37"/>
        <v>4575166.8083549999</v>
      </c>
      <c r="AQ34" s="38">
        <f t="shared" si="39"/>
        <v>54902001.700259998</v>
      </c>
      <c r="AR34" s="38">
        <f t="shared" si="5"/>
        <v>54000000</v>
      </c>
      <c r="AS34" s="113">
        <f t="shared" si="40"/>
        <v>902000</v>
      </c>
      <c r="AT34" s="113">
        <f t="shared" si="41"/>
        <v>45100</v>
      </c>
      <c r="AU34" s="38">
        <f t="shared" si="42"/>
        <v>3758.3333333333335</v>
      </c>
    </row>
    <row r="35" spans="1:47" s="111" customFormat="1" ht="15" customHeight="1">
      <c r="A35" s="237">
        <v>27</v>
      </c>
      <c r="B35" s="29" t="s">
        <v>31</v>
      </c>
      <c r="C35" s="28" t="s">
        <v>136</v>
      </c>
      <c r="D35" s="62" t="s">
        <v>9</v>
      </c>
      <c r="E35" s="248" t="s">
        <v>306</v>
      </c>
      <c r="F35" s="68">
        <v>29</v>
      </c>
      <c r="G35" s="68">
        <v>139858</v>
      </c>
      <c r="H35" s="24">
        <v>4494855</v>
      </c>
      <c r="I35" s="68">
        <v>100000</v>
      </c>
      <c r="J35" s="68">
        <v>100000</v>
      </c>
      <c r="K35" s="68"/>
      <c r="L35" s="135"/>
      <c r="M35" s="122"/>
      <c r="N35" s="68"/>
      <c r="O35" s="142">
        <v>0</v>
      </c>
      <c r="P35" s="122">
        <v>25981.820809248555</v>
      </c>
      <c r="Q35" s="120">
        <f t="shared" si="8"/>
        <v>0</v>
      </c>
      <c r="R35" s="136">
        <f t="shared" si="0"/>
        <v>0</v>
      </c>
      <c r="S35" s="24">
        <v>96000</v>
      </c>
      <c r="T35" s="24"/>
      <c r="U35" s="24">
        <v>0</v>
      </c>
      <c r="V35" s="25">
        <f t="shared" si="1"/>
        <v>4790855</v>
      </c>
      <c r="W35" s="24">
        <f t="shared" si="9"/>
        <v>58038.810900000004</v>
      </c>
      <c r="X35" s="24">
        <f t="shared" si="10"/>
        <v>97544.22</v>
      </c>
      <c r="Y35" s="24">
        <f t="shared" si="11"/>
        <v>97544.22</v>
      </c>
      <c r="Z35" s="24">
        <f t="shared" si="12"/>
        <v>195088.44</v>
      </c>
      <c r="AA35" s="25">
        <f t="shared" si="38"/>
        <v>448215.69090000005</v>
      </c>
      <c r="AB35" s="25">
        <f t="shared" si="34"/>
        <v>5239070.6908999998</v>
      </c>
      <c r="AC35" s="66">
        <f t="shared" si="15"/>
        <v>97544.22</v>
      </c>
      <c r="AD35" s="66">
        <f t="shared" si="16"/>
        <v>48772.11</v>
      </c>
      <c r="AE35" s="66">
        <f t="shared" si="17"/>
        <v>48772.11</v>
      </c>
      <c r="AF35" s="24"/>
      <c r="AG35" s="121">
        <f t="shared" si="2"/>
        <v>195088.44</v>
      </c>
      <c r="AH35" s="24">
        <v>0</v>
      </c>
      <c r="AI35" s="238">
        <f t="shared" si="18"/>
        <v>4595766.5599999996</v>
      </c>
      <c r="AJ35" s="112"/>
      <c r="AL35" s="24">
        <v>4877211</v>
      </c>
      <c r="AM35" s="24">
        <v>4877211</v>
      </c>
      <c r="AN35" s="38">
        <f t="shared" si="35"/>
        <v>5043982.2509000003</v>
      </c>
      <c r="AO35" s="108">
        <f t="shared" si="36"/>
        <v>252199.11254500004</v>
      </c>
      <c r="AP35" s="38">
        <f t="shared" si="37"/>
        <v>4645466.8083549999</v>
      </c>
      <c r="AQ35" s="38">
        <f t="shared" si="39"/>
        <v>55745601.700259998</v>
      </c>
      <c r="AR35" s="38">
        <f t="shared" si="5"/>
        <v>63000000</v>
      </c>
      <c r="AS35" s="113">
        <f t="shared" si="40"/>
        <v>0</v>
      </c>
      <c r="AT35" s="113">
        <f t="shared" si="41"/>
        <v>0</v>
      </c>
      <c r="AU35" s="38">
        <f t="shared" si="42"/>
        <v>0</v>
      </c>
    </row>
    <row r="36" spans="1:47" s="111" customFormat="1" ht="15" customHeight="1">
      <c r="A36" s="237">
        <v>28</v>
      </c>
      <c r="B36" s="30" t="s">
        <v>30</v>
      </c>
      <c r="C36" s="28" t="s">
        <v>137</v>
      </c>
      <c r="D36" s="62" t="s">
        <v>10</v>
      </c>
      <c r="E36" s="249" t="s">
        <v>307</v>
      </c>
      <c r="F36" s="68">
        <v>16</v>
      </c>
      <c r="G36" s="68">
        <v>139858</v>
      </c>
      <c r="H36" s="24">
        <v>4494855</v>
      </c>
      <c r="I36" s="68">
        <v>100000</v>
      </c>
      <c r="J36" s="68">
        <v>100000</v>
      </c>
      <c r="K36" s="68"/>
      <c r="L36" s="135"/>
      <c r="M36" s="122"/>
      <c r="N36" s="68"/>
      <c r="O36" s="142">
        <v>0</v>
      </c>
      <c r="P36" s="122">
        <v>25981.820809248555</v>
      </c>
      <c r="Q36" s="120">
        <f t="shared" si="8"/>
        <v>0</v>
      </c>
      <c r="R36" s="136">
        <f t="shared" si="0"/>
        <v>0</v>
      </c>
      <c r="S36" s="24">
        <v>52000</v>
      </c>
      <c r="T36" s="24"/>
      <c r="U36" s="24">
        <v>0</v>
      </c>
      <c r="V36" s="25">
        <f t="shared" si="1"/>
        <v>4746855</v>
      </c>
      <c r="W36" s="24">
        <f t="shared" si="9"/>
        <v>58038.810900000004</v>
      </c>
      <c r="X36" s="24">
        <f t="shared" si="10"/>
        <v>97544.22</v>
      </c>
      <c r="Y36" s="24">
        <f t="shared" si="11"/>
        <v>97544.22</v>
      </c>
      <c r="Z36" s="24">
        <f t="shared" si="12"/>
        <v>195088.44</v>
      </c>
      <c r="AA36" s="25">
        <f t="shared" si="13"/>
        <v>448215.69090000005</v>
      </c>
      <c r="AB36" s="25">
        <f t="shared" si="34"/>
        <v>5195070.6908999998</v>
      </c>
      <c r="AC36" s="66">
        <f t="shared" si="15"/>
        <v>97544.22</v>
      </c>
      <c r="AD36" s="66">
        <f t="shared" si="16"/>
        <v>48772.11</v>
      </c>
      <c r="AE36" s="66">
        <f t="shared" si="17"/>
        <v>48772.11</v>
      </c>
      <c r="AF36" s="24"/>
      <c r="AG36" s="121">
        <f t="shared" si="2"/>
        <v>195088.44</v>
      </c>
      <c r="AH36" s="24">
        <v>0</v>
      </c>
      <c r="AI36" s="238">
        <f t="shared" si="18"/>
        <v>4551766.5599999996</v>
      </c>
      <c r="AJ36" s="112"/>
      <c r="AL36" s="24">
        <v>4877211</v>
      </c>
      <c r="AM36" s="24">
        <v>4877211</v>
      </c>
      <c r="AN36" s="38">
        <f t="shared" si="35"/>
        <v>4999982.2509000003</v>
      </c>
      <c r="AO36" s="108">
        <f t="shared" si="36"/>
        <v>249999.11254500004</v>
      </c>
      <c r="AP36" s="38">
        <f t="shared" si="37"/>
        <v>4603666.8083549999</v>
      </c>
      <c r="AQ36" s="38">
        <f t="shared" si="39"/>
        <v>55244001.700259998</v>
      </c>
      <c r="AR36" s="38">
        <f t="shared" si="5"/>
        <v>54000000</v>
      </c>
      <c r="AS36" s="113">
        <f t="shared" si="40"/>
        <v>1244000</v>
      </c>
      <c r="AT36" s="113">
        <f t="shared" si="41"/>
        <v>62200</v>
      </c>
      <c r="AU36" s="38">
        <f t="shared" si="42"/>
        <v>5183.333333333333</v>
      </c>
    </row>
    <row r="37" spans="1:47" s="111" customFormat="1" ht="15" customHeight="1">
      <c r="A37" s="237">
        <v>29</v>
      </c>
      <c r="B37" s="29" t="s">
        <v>356</v>
      </c>
      <c r="C37" s="29" t="s">
        <v>137</v>
      </c>
      <c r="D37" s="62" t="s">
        <v>9</v>
      </c>
      <c r="E37" s="248" t="s">
        <v>308</v>
      </c>
      <c r="F37" s="68">
        <v>29</v>
      </c>
      <c r="G37" s="68">
        <v>137061</v>
      </c>
      <c r="H37" s="24">
        <v>4494855</v>
      </c>
      <c r="I37" s="68">
        <v>100000</v>
      </c>
      <c r="J37" s="68">
        <v>100000</v>
      </c>
      <c r="K37" s="68"/>
      <c r="L37" s="135"/>
      <c r="M37" s="122"/>
      <c r="N37" s="68"/>
      <c r="O37" s="142">
        <v>0</v>
      </c>
      <c r="P37" s="122">
        <v>25981.820809248555</v>
      </c>
      <c r="Q37" s="120">
        <f t="shared" si="8"/>
        <v>0</v>
      </c>
      <c r="R37" s="136">
        <f t="shared" si="0"/>
        <v>0</v>
      </c>
      <c r="S37" s="24">
        <v>96000</v>
      </c>
      <c r="T37" s="24"/>
      <c r="U37" s="24">
        <v>0</v>
      </c>
      <c r="V37" s="25">
        <f t="shared" si="1"/>
        <v>4790855</v>
      </c>
      <c r="W37" s="24">
        <f t="shared" si="9"/>
        <v>58038.810900000004</v>
      </c>
      <c r="X37" s="24">
        <f t="shared" si="10"/>
        <v>97544.22</v>
      </c>
      <c r="Y37" s="24">
        <f t="shared" si="11"/>
        <v>97544.22</v>
      </c>
      <c r="Z37" s="24">
        <f t="shared" si="12"/>
        <v>195088.44</v>
      </c>
      <c r="AA37" s="25">
        <f t="shared" si="13"/>
        <v>448215.69090000005</v>
      </c>
      <c r="AB37" s="25">
        <f t="shared" si="14"/>
        <v>5239070.6908999998</v>
      </c>
      <c r="AC37" s="66">
        <f t="shared" si="15"/>
        <v>97544.22</v>
      </c>
      <c r="AD37" s="66">
        <f t="shared" si="16"/>
        <v>48772.11</v>
      </c>
      <c r="AE37" s="66">
        <f t="shared" si="17"/>
        <v>48772.11</v>
      </c>
      <c r="AF37" s="24">
        <v>48772.11</v>
      </c>
      <c r="AG37" s="121">
        <f t="shared" si="2"/>
        <v>243860.55</v>
      </c>
      <c r="AH37" s="24">
        <v>0</v>
      </c>
      <c r="AI37" s="238">
        <f t="shared" si="18"/>
        <v>4546994.45</v>
      </c>
      <c r="AJ37" s="112"/>
      <c r="AL37" s="24">
        <v>4877211</v>
      </c>
      <c r="AM37" s="24">
        <v>4877211</v>
      </c>
      <c r="AN37" s="38">
        <f t="shared" si="35"/>
        <v>5043982.2509000003</v>
      </c>
      <c r="AO37" s="108">
        <f t="shared" si="36"/>
        <v>252199.11254500004</v>
      </c>
      <c r="AP37" s="38">
        <f t="shared" si="37"/>
        <v>4645466.8083549999</v>
      </c>
      <c r="AQ37" s="38">
        <f t="shared" si="39"/>
        <v>55745601.700259998</v>
      </c>
      <c r="AR37" s="38">
        <f t="shared" si="5"/>
        <v>63000000</v>
      </c>
      <c r="AS37" s="113">
        <f t="shared" si="23"/>
        <v>0</v>
      </c>
      <c r="AT37" s="113">
        <f t="shared" si="7"/>
        <v>0</v>
      </c>
      <c r="AU37" s="38">
        <f t="shared" si="22"/>
        <v>0</v>
      </c>
    </row>
    <row r="38" spans="1:47" s="111" customFormat="1" ht="15" customHeight="1">
      <c r="A38" s="237">
        <v>30</v>
      </c>
      <c r="B38" s="29" t="s">
        <v>24</v>
      </c>
      <c r="C38" s="29" t="s">
        <v>136</v>
      </c>
      <c r="D38" s="62" t="s">
        <v>10</v>
      </c>
      <c r="E38" s="248" t="s">
        <v>309</v>
      </c>
      <c r="F38" s="68">
        <v>29</v>
      </c>
      <c r="G38" s="68">
        <v>137061</v>
      </c>
      <c r="H38" s="24">
        <v>4494855</v>
      </c>
      <c r="I38" s="68">
        <v>100000</v>
      </c>
      <c r="J38" s="68">
        <v>100000</v>
      </c>
      <c r="K38" s="68"/>
      <c r="L38" s="135"/>
      <c r="M38" s="122"/>
      <c r="N38" s="68"/>
      <c r="O38" s="142">
        <v>0</v>
      </c>
      <c r="P38" s="122">
        <v>25981.820809248555</v>
      </c>
      <c r="Q38" s="120">
        <f t="shared" si="8"/>
        <v>0</v>
      </c>
      <c r="R38" s="136">
        <f t="shared" si="0"/>
        <v>0</v>
      </c>
      <c r="S38" s="24">
        <v>96000</v>
      </c>
      <c r="T38" s="24"/>
      <c r="U38" s="24">
        <v>0</v>
      </c>
      <c r="V38" s="25">
        <f t="shared" si="1"/>
        <v>4790855</v>
      </c>
      <c r="W38" s="24">
        <f t="shared" si="9"/>
        <v>58038.810900000004</v>
      </c>
      <c r="X38" s="24">
        <f t="shared" si="10"/>
        <v>97544.22</v>
      </c>
      <c r="Y38" s="24">
        <f t="shared" si="11"/>
        <v>97544.22</v>
      </c>
      <c r="Z38" s="24">
        <f t="shared" si="12"/>
        <v>195088.44</v>
      </c>
      <c r="AA38" s="25">
        <f t="shared" si="13"/>
        <v>448215.69090000005</v>
      </c>
      <c r="AB38" s="25">
        <f t="shared" si="14"/>
        <v>5239070.6908999998</v>
      </c>
      <c r="AC38" s="66">
        <f t="shared" si="15"/>
        <v>97544.22</v>
      </c>
      <c r="AD38" s="66">
        <f t="shared" si="16"/>
        <v>48772.11</v>
      </c>
      <c r="AE38" s="66">
        <f t="shared" si="17"/>
        <v>48772.11</v>
      </c>
      <c r="AF38" s="24">
        <f>48772+48772-48772</f>
        <v>48772</v>
      </c>
      <c r="AG38" s="121">
        <f t="shared" si="2"/>
        <v>243860.44</v>
      </c>
      <c r="AH38" s="24">
        <v>0</v>
      </c>
      <c r="AI38" s="238">
        <f t="shared" si="18"/>
        <v>4546994.5599999996</v>
      </c>
      <c r="AJ38" s="112"/>
      <c r="AL38" s="24">
        <v>4877211</v>
      </c>
      <c r="AM38" s="24">
        <v>4877211</v>
      </c>
      <c r="AN38" s="38">
        <f t="shared" si="19"/>
        <v>5043982.2509000003</v>
      </c>
      <c r="AO38" s="108">
        <f t="shared" si="3"/>
        <v>252199.11254500004</v>
      </c>
      <c r="AP38" s="38">
        <f t="shared" si="37"/>
        <v>4645466.8083549999</v>
      </c>
      <c r="AQ38" s="38">
        <f t="shared" ref="AQ38:AQ43" si="43">+AP38*$AQ$7</f>
        <v>55745601.700259998</v>
      </c>
      <c r="AR38" s="38">
        <f t="shared" si="5"/>
        <v>54000000</v>
      </c>
      <c r="AS38" s="113">
        <f t="shared" si="23"/>
        <v>1745000</v>
      </c>
      <c r="AT38" s="113">
        <f t="shared" si="7"/>
        <v>87250</v>
      </c>
      <c r="AU38" s="38">
        <f t="shared" si="22"/>
        <v>7270.833333333333</v>
      </c>
    </row>
    <row r="39" spans="1:47" s="111" customFormat="1" ht="15" customHeight="1">
      <c r="A39" s="237">
        <v>31</v>
      </c>
      <c r="B39" s="29" t="s">
        <v>32</v>
      </c>
      <c r="C39" s="29" t="s">
        <v>128</v>
      </c>
      <c r="D39" s="62" t="s">
        <v>10</v>
      </c>
      <c r="E39" s="248" t="s">
        <v>310</v>
      </c>
      <c r="F39" s="68">
        <v>30</v>
      </c>
      <c r="G39" s="68">
        <v>137061</v>
      </c>
      <c r="H39" s="24">
        <v>4494855</v>
      </c>
      <c r="I39" s="68">
        <v>100000</v>
      </c>
      <c r="J39" s="68">
        <v>100000</v>
      </c>
      <c r="K39" s="68"/>
      <c r="L39" s="135"/>
      <c r="M39" s="122"/>
      <c r="N39" s="68"/>
      <c r="O39" s="142">
        <v>0</v>
      </c>
      <c r="P39" s="122">
        <v>25981.820809248555</v>
      </c>
      <c r="Q39" s="120">
        <f t="shared" si="8"/>
        <v>0</v>
      </c>
      <c r="R39" s="136">
        <f t="shared" si="0"/>
        <v>0</v>
      </c>
      <c r="S39" s="24">
        <v>100000</v>
      </c>
      <c r="T39" s="24"/>
      <c r="U39" s="24">
        <v>0</v>
      </c>
      <c r="V39" s="25">
        <f t="shared" si="1"/>
        <v>4794855</v>
      </c>
      <c r="W39" s="24">
        <f t="shared" si="9"/>
        <v>58038.810900000004</v>
      </c>
      <c r="X39" s="24">
        <f t="shared" si="10"/>
        <v>97544.22</v>
      </c>
      <c r="Y39" s="24">
        <f t="shared" si="11"/>
        <v>97544.22</v>
      </c>
      <c r="Z39" s="24">
        <f t="shared" si="12"/>
        <v>195088.44</v>
      </c>
      <c r="AA39" s="25">
        <f t="shared" si="13"/>
        <v>448215.69090000005</v>
      </c>
      <c r="AB39" s="25">
        <f t="shared" si="14"/>
        <v>5243070.6908999998</v>
      </c>
      <c r="AC39" s="66">
        <f t="shared" si="15"/>
        <v>97544.22</v>
      </c>
      <c r="AD39" s="66">
        <f t="shared" si="16"/>
        <v>48772.11</v>
      </c>
      <c r="AE39" s="66">
        <f t="shared" si="17"/>
        <v>48772.11</v>
      </c>
      <c r="AF39" s="24"/>
      <c r="AG39" s="121">
        <f t="shared" si="2"/>
        <v>195088.44</v>
      </c>
      <c r="AH39" s="24">
        <v>0</v>
      </c>
      <c r="AI39" s="238">
        <f t="shared" si="18"/>
        <v>4599766.5599999996</v>
      </c>
      <c r="AJ39" s="112"/>
      <c r="AL39" s="24">
        <v>4877211</v>
      </c>
      <c r="AM39" s="24">
        <v>4877211</v>
      </c>
      <c r="AN39" s="38">
        <f t="shared" si="19"/>
        <v>5047982.2509000003</v>
      </c>
      <c r="AO39" s="108">
        <f t="shared" si="3"/>
        <v>252399.11254500004</v>
      </c>
      <c r="AP39" s="38">
        <f t="shared" si="37"/>
        <v>4649266.8083549999</v>
      </c>
      <c r="AQ39" s="38">
        <f t="shared" si="43"/>
        <v>55791201.700259998</v>
      </c>
      <c r="AR39" s="38">
        <f t="shared" si="5"/>
        <v>54000000</v>
      </c>
      <c r="AS39" s="113">
        <f t="shared" si="23"/>
        <v>1791000</v>
      </c>
      <c r="AT39" s="113">
        <f t="shared" si="7"/>
        <v>89550</v>
      </c>
      <c r="AU39" s="38">
        <f t="shared" si="22"/>
        <v>7462.5</v>
      </c>
    </row>
    <row r="40" spans="1:47" s="111" customFormat="1" ht="15" customHeight="1">
      <c r="A40" s="237">
        <v>32</v>
      </c>
      <c r="B40" s="29" t="s">
        <v>20</v>
      </c>
      <c r="C40" s="29" t="s">
        <v>133</v>
      </c>
      <c r="D40" s="62" t="s">
        <v>9</v>
      </c>
      <c r="E40" s="248" t="s">
        <v>311</v>
      </c>
      <c r="F40" s="68">
        <v>30</v>
      </c>
      <c r="G40" s="68">
        <v>137061</v>
      </c>
      <c r="H40" s="24">
        <v>4494855</v>
      </c>
      <c r="I40" s="68">
        <v>0</v>
      </c>
      <c r="J40" s="68">
        <v>0</v>
      </c>
      <c r="K40" s="68"/>
      <c r="L40" s="135"/>
      <c r="M40" s="122"/>
      <c r="N40" s="68"/>
      <c r="O40" s="142">
        <v>0</v>
      </c>
      <c r="P40" s="122">
        <v>25981.820809248555</v>
      </c>
      <c r="Q40" s="120">
        <f t="shared" si="8"/>
        <v>0</v>
      </c>
      <c r="R40" s="136">
        <f t="shared" si="0"/>
        <v>0</v>
      </c>
      <c r="S40" s="24">
        <v>100000</v>
      </c>
      <c r="T40" s="24"/>
      <c r="U40" s="24">
        <v>0</v>
      </c>
      <c r="V40" s="25">
        <f t="shared" si="1"/>
        <v>4594855</v>
      </c>
      <c r="W40" s="24">
        <f t="shared" si="9"/>
        <v>58038.810900000004</v>
      </c>
      <c r="X40" s="24">
        <f t="shared" si="10"/>
        <v>97544.22</v>
      </c>
      <c r="Y40" s="24">
        <f t="shared" si="11"/>
        <v>97544.22</v>
      </c>
      <c r="Z40" s="24">
        <f t="shared" si="12"/>
        <v>195088.44</v>
      </c>
      <c r="AA40" s="25">
        <f t="shared" si="13"/>
        <v>448215.69090000005</v>
      </c>
      <c r="AB40" s="25">
        <f t="shared" si="14"/>
        <v>5043070.6908999998</v>
      </c>
      <c r="AC40" s="66">
        <f t="shared" si="15"/>
        <v>97544.22</v>
      </c>
      <c r="AD40" s="66">
        <f t="shared" si="16"/>
        <v>48772.11</v>
      </c>
      <c r="AE40" s="66">
        <f t="shared" si="17"/>
        <v>48772.11</v>
      </c>
      <c r="AF40" s="24"/>
      <c r="AG40" s="121">
        <f t="shared" si="2"/>
        <v>195088.44</v>
      </c>
      <c r="AH40" s="24">
        <v>0</v>
      </c>
      <c r="AI40" s="238">
        <f t="shared" si="18"/>
        <v>4399766.5599999996</v>
      </c>
      <c r="AJ40" s="112"/>
      <c r="AL40" s="24">
        <v>4877211</v>
      </c>
      <c r="AM40" s="24">
        <v>4877211</v>
      </c>
      <c r="AN40" s="38">
        <f t="shared" si="19"/>
        <v>4847982.2509000003</v>
      </c>
      <c r="AO40" s="108">
        <f t="shared" si="3"/>
        <v>242399.11254500004</v>
      </c>
      <c r="AP40" s="38">
        <f t="shared" si="20"/>
        <v>4459266.8083549999</v>
      </c>
      <c r="AQ40" s="38">
        <f t="shared" si="43"/>
        <v>53511201.700259998</v>
      </c>
      <c r="AR40" s="38">
        <f t="shared" si="5"/>
        <v>63000000</v>
      </c>
      <c r="AS40" s="113">
        <f t="shared" si="23"/>
        <v>0</v>
      </c>
      <c r="AT40" s="113">
        <f t="shared" si="7"/>
        <v>0</v>
      </c>
      <c r="AU40" s="38">
        <f>+AT40/12</f>
        <v>0</v>
      </c>
    </row>
    <row r="41" spans="1:47" s="111" customFormat="1" ht="15" customHeight="1">
      <c r="A41" s="237">
        <v>33</v>
      </c>
      <c r="B41" s="29" t="s">
        <v>56</v>
      </c>
      <c r="C41" s="29" t="s">
        <v>138</v>
      </c>
      <c r="D41" s="62" t="s">
        <v>10</v>
      </c>
      <c r="E41" s="248" t="s">
        <v>312</v>
      </c>
      <c r="F41" s="68">
        <v>28</v>
      </c>
      <c r="G41" s="68">
        <v>137061</v>
      </c>
      <c r="H41" s="24">
        <v>4494855</v>
      </c>
      <c r="I41" s="68">
        <v>0</v>
      </c>
      <c r="J41" s="68">
        <v>0</v>
      </c>
      <c r="K41" s="68"/>
      <c r="L41" s="135"/>
      <c r="M41" s="122"/>
      <c r="N41" s="68"/>
      <c r="O41" s="142">
        <v>0</v>
      </c>
      <c r="P41" s="122">
        <v>25981.820809248555</v>
      </c>
      <c r="Q41" s="120">
        <f t="shared" si="8"/>
        <v>0</v>
      </c>
      <c r="R41" s="136">
        <f t="shared" si="0"/>
        <v>0</v>
      </c>
      <c r="S41" s="24">
        <v>88000</v>
      </c>
      <c r="T41" s="24"/>
      <c r="U41" s="24">
        <v>0</v>
      </c>
      <c r="V41" s="25">
        <f t="shared" si="1"/>
        <v>4582855</v>
      </c>
      <c r="W41" s="24">
        <f t="shared" si="9"/>
        <v>58038.810900000004</v>
      </c>
      <c r="X41" s="24">
        <f t="shared" si="10"/>
        <v>97544.22</v>
      </c>
      <c r="Y41" s="24">
        <f t="shared" si="11"/>
        <v>97544.22</v>
      </c>
      <c r="Z41" s="24">
        <f t="shared" si="12"/>
        <v>195088.44</v>
      </c>
      <c r="AA41" s="25">
        <f t="shared" si="13"/>
        <v>448215.69090000005</v>
      </c>
      <c r="AB41" s="25">
        <f t="shared" si="14"/>
        <v>5031070.6908999998</v>
      </c>
      <c r="AC41" s="66">
        <f t="shared" si="15"/>
        <v>97544.22</v>
      </c>
      <c r="AD41" s="66">
        <f t="shared" si="16"/>
        <v>48772.11</v>
      </c>
      <c r="AE41" s="66">
        <f t="shared" si="17"/>
        <v>48772.11</v>
      </c>
      <c r="AF41" s="24">
        <f>48772+48772-48772</f>
        <v>48772</v>
      </c>
      <c r="AG41" s="121">
        <f t="shared" si="2"/>
        <v>243860.44</v>
      </c>
      <c r="AH41" s="24">
        <v>0</v>
      </c>
      <c r="AI41" s="238">
        <f t="shared" si="18"/>
        <v>4338994.5599999996</v>
      </c>
      <c r="AJ41" s="112"/>
      <c r="AL41" s="24">
        <v>4877211</v>
      </c>
      <c r="AM41" s="24">
        <v>4877211</v>
      </c>
      <c r="AN41" s="38">
        <f t="shared" si="19"/>
        <v>4835982.2509000003</v>
      </c>
      <c r="AO41" s="108">
        <f t="shared" si="3"/>
        <v>241799.11254500004</v>
      </c>
      <c r="AP41" s="38">
        <f t="shared" si="20"/>
        <v>4447866.8083549999</v>
      </c>
      <c r="AQ41" s="38">
        <f t="shared" si="43"/>
        <v>53374401.700259998</v>
      </c>
      <c r="AR41" s="38">
        <f t="shared" si="5"/>
        <v>54000000</v>
      </c>
      <c r="AS41" s="113">
        <f t="shared" si="23"/>
        <v>0</v>
      </c>
      <c r="AT41" s="113">
        <f t="shared" si="7"/>
        <v>0</v>
      </c>
      <c r="AU41" s="38">
        <f t="shared" si="22"/>
        <v>0</v>
      </c>
    </row>
    <row r="42" spans="1:47" s="111" customFormat="1" ht="15" customHeight="1">
      <c r="A42" s="237">
        <v>34</v>
      </c>
      <c r="B42" s="29" t="s">
        <v>33</v>
      </c>
      <c r="C42" s="29" t="s">
        <v>121</v>
      </c>
      <c r="D42" s="62" t="s">
        <v>10</v>
      </c>
      <c r="E42" s="248" t="s">
        <v>313</v>
      </c>
      <c r="F42" s="68">
        <v>30</v>
      </c>
      <c r="G42" s="68">
        <v>137061</v>
      </c>
      <c r="H42" s="24">
        <v>4494855</v>
      </c>
      <c r="I42" s="68">
        <v>0</v>
      </c>
      <c r="J42" s="68">
        <v>0</v>
      </c>
      <c r="K42" s="68"/>
      <c r="L42" s="135"/>
      <c r="M42" s="122"/>
      <c r="N42" s="68"/>
      <c r="O42" s="142">
        <v>9.5</v>
      </c>
      <c r="P42" s="122">
        <v>25981.820809248555</v>
      </c>
      <c r="Q42" s="120">
        <f t="shared" si="8"/>
        <v>246827.29768786128</v>
      </c>
      <c r="R42" s="136">
        <f t="shared" si="0"/>
        <v>246827.29768786128</v>
      </c>
      <c r="S42" s="24">
        <v>100000</v>
      </c>
      <c r="T42" s="24"/>
      <c r="U42" s="24">
        <v>0</v>
      </c>
      <c r="V42" s="25">
        <f t="shared" si="1"/>
        <v>4841682.2976878611</v>
      </c>
      <c r="W42" s="24">
        <f t="shared" si="9"/>
        <v>58038.810900000004</v>
      </c>
      <c r="X42" s="24">
        <f t="shared" si="10"/>
        <v>97544.22</v>
      </c>
      <c r="Y42" s="24">
        <f t="shared" si="11"/>
        <v>97544.22</v>
      </c>
      <c r="Z42" s="24">
        <f t="shared" si="12"/>
        <v>195088.44</v>
      </c>
      <c r="AA42" s="25">
        <f t="shared" si="13"/>
        <v>448215.69090000005</v>
      </c>
      <c r="AB42" s="25">
        <f t="shared" si="14"/>
        <v>5289897.9885878609</v>
      </c>
      <c r="AC42" s="66">
        <f t="shared" si="15"/>
        <v>97544.22</v>
      </c>
      <c r="AD42" s="66">
        <f t="shared" si="16"/>
        <v>48772.11</v>
      </c>
      <c r="AE42" s="66">
        <f t="shared" si="17"/>
        <v>48772.11</v>
      </c>
      <c r="AF42" s="24">
        <v>48772</v>
      </c>
      <c r="AG42" s="121">
        <f t="shared" si="2"/>
        <v>243860.44</v>
      </c>
      <c r="AH42" s="24">
        <v>0</v>
      </c>
      <c r="AI42" s="238">
        <f t="shared" si="18"/>
        <v>4597821.8576878607</v>
      </c>
      <c r="AJ42" s="112"/>
      <c r="AL42" s="24">
        <v>4877211</v>
      </c>
      <c r="AM42" s="24">
        <v>4877211</v>
      </c>
      <c r="AN42" s="38">
        <f t="shared" si="19"/>
        <v>5094809.5485878615</v>
      </c>
      <c r="AO42" s="108">
        <f t="shared" si="3"/>
        <v>254740.4774293931</v>
      </c>
      <c r="AP42" s="38">
        <f t="shared" si="20"/>
        <v>4693752.7411584686</v>
      </c>
      <c r="AQ42" s="38">
        <f t="shared" si="43"/>
        <v>56325032.893901624</v>
      </c>
      <c r="AR42" s="38">
        <f t="shared" si="5"/>
        <v>54000000</v>
      </c>
      <c r="AS42" s="113">
        <f t="shared" si="23"/>
        <v>2325000</v>
      </c>
      <c r="AT42" s="113">
        <f t="shared" si="7"/>
        <v>116250</v>
      </c>
      <c r="AU42" s="38">
        <f t="shared" si="22"/>
        <v>9687.5</v>
      </c>
    </row>
    <row r="43" spans="1:47" ht="15" customHeight="1">
      <c r="A43" s="237">
        <v>35</v>
      </c>
      <c r="B43" s="29" t="s">
        <v>57</v>
      </c>
      <c r="C43" s="29" t="s">
        <v>139</v>
      </c>
      <c r="D43" s="62" t="s">
        <v>10</v>
      </c>
      <c r="E43" s="248" t="s">
        <v>314</v>
      </c>
      <c r="F43" s="68">
        <v>24</v>
      </c>
      <c r="G43" s="68">
        <v>137061</v>
      </c>
      <c r="H43" s="24">
        <v>4494855</v>
      </c>
      <c r="I43" s="68">
        <v>0</v>
      </c>
      <c r="J43" s="68">
        <v>0</v>
      </c>
      <c r="K43" s="68"/>
      <c r="L43" s="135"/>
      <c r="M43" s="122"/>
      <c r="N43" s="68"/>
      <c r="O43" s="142">
        <v>33</v>
      </c>
      <c r="P43" s="122">
        <v>25981.820809248555</v>
      </c>
      <c r="Q43" s="120">
        <f t="shared" si="8"/>
        <v>857400.08670520235</v>
      </c>
      <c r="R43" s="136">
        <f t="shared" si="0"/>
        <v>857400.08670520235</v>
      </c>
      <c r="S43" s="24">
        <v>76000</v>
      </c>
      <c r="T43" s="24"/>
      <c r="U43" s="24">
        <v>0</v>
      </c>
      <c r="V43" s="25">
        <f t="shared" si="1"/>
        <v>5428255.0867052022</v>
      </c>
      <c r="W43" s="24">
        <f t="shared" si="9"/>
        <v>58038.810900000004</v>
      </c>
      <c r="X43" s="24">
        <f t="shared" si="10"/>
        <v>97544.22</v>
      </c>
      <c r="Y43" s="24">
        <f t="shared" si="11"/>
        <v>97544.22</v>
      </c>
      <c r="Z43" s="24">
        <f t="shared" si="12"/>
        <v>195088.44</v>
      </c>
      <c r="AA43" s="25">
        <f t="shared" si="13"/>
        <v>448215.69090000005</v>
      </c>
      <c r="AB43" s="25">
        <f t="shared" si="14"/>
        <v>5876470.777605202</v>
      </c>
      <c r="AC43" s="66">
        <f t="shared" si="15"/>
        <v>97544.22</v>
      </c>
      <c r="AD43" s="66">
        <f t="shared" si="16"/>
        <v>48772.11</v>
      </c>
      <c r="AE43" s="66">
        <f t="shared" si="17"/>
        <v>48772.11</v>
      </c>
      <c r="AF43" s="24"/>
      <c r="AG43" s="121">
        <f t="shared" si="2"/>
        <v>195088.44</v>
      </c>
      <c r="AH43" s="24">
        <v>28407</v>
      </c>
      <c r="AI43" s="238">
        <f t="shared" si="18"/>
        <v>5204759.6467052018</v>
      </c>
      <c r="AL43" s="24">
        <v>4877211</v>
      </c>
      <c r="AM43" s="24">
        <v>4877211</v>
      </c>
      <c r="AN43" s="101">
        <f t="shared" si="19"/>
        <v>5681382.3376052026</v>
      </c>
      <c r="AO43" s="108">
        <f t="shared" si="3"/>
        <v>284069.11688026012</v>
      </c>
      <c r="AP43" s="101">
        <f t="shared" si="20"/>
        <v>5250996.8907249421</v>
      </c>
      <c r="AQ43" s="101">
        <f t="shared" si="43"/>
        <v>63011962.688699305</v>
      </c>
      <c r="AR43" s="101">
        <f t="shared" si="5"/>
        <v>54000000</v>
      </c>
      <c r="AS43" s="113">
        <f t="shared" si="23"/>
        <v>9011000</v>
      </c>
      <c r="AT43" s="113">
        <f t="shared" si="7"/>
        <v>450550</v>
      </c>
      <c r="AU43" s="38">
        <f t="shared" si="22"/>
        <v>37545.833333333336</v>
      </c>
    </row>
    <row r="44" spans="1:47" ht="15" customHeight="1">
      <c r="A44" s="58"/>
      <c r="B44" s="78"/>
      <c r="C44" s="79"/>
      <c r="D44" s="19"/>
      <c r="E44" s="19"/>
      <c r="F44" s="78"/>
      <c r="G44" s="19"/>
      <c r="H44" s="19"/>
      <c r="I44" s="19"/>
      <c r="J44" s="19"/>
      <c r="K44" s="19"/>
      <c r="L44" s="19"/>
      <c r="M44" s="19"/>
      <c r="N44" s="19"/>
      <c r="O44" s="129"/>
      <c r="P44" s="78"/>
      <c r="Q44" s="78"/>
      <c r="R44" s="78"/>
      <c r="S44" s="78"/>
      <c r="T44" s="78"/>
      <c r="U44" s="78"/>
      <c r="V44" s="80"/>
      <c r="W44" s="78"/>
      <c r="X44" s="78"/>
      <c r="Y44" s="78"/>
      <c r="Z44" s="78"/>
      <c r="AA44" s="80"/>
      <c r="AB44" s="80"/>
      <c r="AC44" s="78"/>
      <c r="AD44" s="78"/>
      <c r="AE44" s="78"/>
      <c r="AF44" s="81"/>
      <c r="AG44" s="80"/>
      <c r="AH44" s="80"/>
      <c r="AI44" s="82"/>
    </row>
    <row r="45" spans="1:47" ht="15" customHeight="1">
      <c r="A45" s="277" t="s">
        <v>11</v>
      </c>
      <c r="B45" s="277"/>
      <c r="C45" s="277"/>
      <c r="D45" s="277"/>
      <c r="E45" s="277"/>
      <c r="F45" s="254">
        <f>SUM(F8:F44)</f>
        <v>918</v>
      </c>
      <c r="G45" s="67"/>
      <c r="H45" s="67">
        <f>SUM(H8:H44)</f>
        <v>158719925</v>
      </c>
      <c r="I45" s="104">
        <f>SUM(I8:I44)</f>
        <v>1800000</v>
      </c>
      <c r="J45" s="104">
        <f>SUM(J8:J44)</f>
        <v>1850000</v>
      </c>
      <c r="K45" s="104">
        <f>SUM(K8:K44)</f>
        <v>0</v>
      </c>
      <c r="L45" s="130">
        <f>SUM(L8:L44)</f>
        <v>0</v>
      </c>
      <c r="M45" s="131"/>
      <c r="N45" s="131"/>
      <c r="O45" s="263">
        <f>SUM(O9:O44)</f>
        <v>190.5</v>
      </c>
      <c r="P45" s="131"/>
      <c r="Q45" s="132"/>
      <c r="R45" s="67">
        <f>SUM(R8:R44)</f>
        <v>5035085.9971098267</v>
      </c>
      <c r="S45" s="67">
        <f>SUM(S8:S44)</f>
        <v>2968000</v>
      </c>
      <c r="T45" s="125">
        <f>SUM(T8:T44)</f>
        <v>0</v>
      </c>
      <c r="U45" s="67">
        <f>SUM(U8:U44)</f>
        <v>0</v>
      </c>
      <c r="V45" s="67">
        <f>SUM(V8:V44)</f>
        <v>170373010.9971098</v>
      </c>
      <c r="W45" s="256">
        <f>SUM(W8:W44)</f>
        <v>2031358.381499999</v>
      </c>
      <c r="X45" s="256">
        <f>SUM(X8:X44)</f>
        <v>3414047.7000000025</v>
      </c>
      <c r="Y45" s="256">
        <f>SUM(Y8:Y44)</f>
        <v>3414047.7000000025</v>
      </c>
      <c r="Z45" s="256">
        <f>SUM(Z8:Z44)</f>
        <v>6828095.400000005</v>
      </c>
      <c r="AA45" s="256">
        <f>SUM(AA8:AA44)</f>
        <v>15687549.181499995</v>
      </c>
      <c r="AB45" s="256">
        <f>SUM(AB8:AB44)</f>
        <v>186060560.17860979</v>
      </c>
      <c r="AC45" s="256">
        <f>SUM(AC8:AC44)</f>
        <v>3414047.7000000025</v>
      </c>
      <c r="AD45" s="256">
        <f>SUM(AD8:AD44)</f>
        <v>1707023.8500000013</v>
      </c>
      <c r="AE45" s="256">
        <f>SUM(AE8:AE44)</f>
        <v>1707023.8500000013</v>
      </c>
      <c r="AF45" s="256">
        <f>SUM(AF8:AF44)</f>
        <v>243860.22</v>
      </c>
      <c r="AG45" s="256">
        <f>SUM(AG8:AG44)</f>
        <v>7071955.6200000038</v>
      </c>
      <c r="AH45" s="256">
        <f>SUM(AH8:AH44)</f>
        <v>43937</v>
      </c>
      <c r="AI45" s="256">
        <f>SUM(AI8:AI44)</f>
        <v>163257118.37710989</v>
      </c>
      <c r="AN45" s="15">
        <f>SUM(AN9:AN44)</f>
        <v>179232464.77860984</v>
      </c>
      <c r="AP45" s="15">
        <f>SUM(AP9:AP44)</f>
        <v>165149769.9896794</v>
      </c>
    </row>
    <row r="46" spans="1:47" ht="15" customHeight="1">
      <c r="A46" s="277"/>
      <c r="B46" s="277"/>
      <c r="C46" s="277"/>
      <c r="D46" s="277"/>
      <c r="E46" s="277"/>
      <c r="F46" s="256"/>
      <c r="G46" s="256"/>
      <c r="H46" s="256"/>
      <c r="I46" s="256"/>
      <c r="J46" s="256"/>
      <c r="K46" s="256"/>
      <c r="L46" s="130"/>
      <c r="M46" s="131"/>
      <c r="N46" s="131"/>
      <c r="O46" s="133"/>
      <c r="P46" s="131"/>
      <c r="Q46" s="132"/>
      <c r="R46" s="256"/>
      <c r="S46" s="256"/>
      <c r="T46" s="256"/>
      <c r="U46" s="256"/>
      <c r="V46" s="256"/>
      <c r="W46" s="256">
        <f>+W45+X45+Y45+AC45+AD45</f>
        <v>13980525.331500009</v>
      </c>
      <c r="X46" s="256"/>
      <c r="Y46" s="256"/>
      <c r="Z46" s="256">
        <f>+Z45+AE45+AF45</f>
        <v>8778979.4700000063</v>
      </c>
      <c r="AA46" s="256"/>
      <c r="AB46" s="256"/>
      <c r="AC46" s="256"/>
      <c r="AD46" s="256"/>
      <c r="AE46" s="256"/>
      <c r="AF46" s="256"/>
      <c r="AG46" s="256"/>
      <c r="AH46" s="256"/>
      <c r="AI46" s="256"/>
      <c r="AJ46" s="257"/>
      <c r="AL46" s="257"/>
      <c r="AN46" s="257"/>
      <c r="AP46" s="257"/>
      <c r="AR46" s="257"/>
      <c r="AS46" s="257"/>
      <c r="AT46" s="257"/>
    </row>
    <row r="47" spans="1:47" ht="15" customHeight="1">
      <c r="I47" s="15"/>
      <c r="J47" s="15"/>
      <c r="R47" s="15"/>
    </row>
    <row r="48" spans="1:47" ht="15" customHeight="1">
      <c r="P48" s="15"/>
      <c r="R48" s="15"/>
    </row>
    <row r="49" spans="1:43" ht="15" customHeight="1">
      <c r="S49" s="15">
        <f>25*4000</f>
        <v>100000</v>
      </c>
    </row>
    <row r="50" spans="1:43" ht="15" customHeight="1">
      <c r="P50" s="15"/>
      <c r="R50" s="15"/>
    </row>
    <row r="51" spans="1:43" ht="15" customHeight="1">
      <c r="P51" s="15"/>
      <c r="R51" s="15"/>
    </row>
    <row r="56" spans="1:43" ht="15" hidden="1" customHeight="1"/>
    <row r="57" spans="1:43" ht="15" hidden="1" customHeight="1"/>
    <row r="58" spans="1:43" ht="15" hidden="1" customHeight="1"/>
    <row r="59" spans="1:43" s="15" customFormat="1" ht="15" hidden="1" customHeight="1">
      <c r="A59" s="6"/>
      <c r="C59" s="50"/>
      <c r="D59" s="6"/>
      <c r="E59" s="6"/>
      <c r="F59" s="253"/>
      <c r="G59" s="6"/>
      <c r="H59" s="6"/>
      <c r="I59" s="6"/>
      <c r="J59" s="6"/>
      <c r="K59" s="6"/>
      <c r="L59" s="6"/>
      <c r="M59" s="6"/>
      <c r="N59" s="6"/>
      <c r="O59" s="88"/>
      <c r="P59" s="6"/>
      <c r="R59" s="6"/>
      <c r="V59" s="27"/>
      <c r="Y59" s="27"/>
      <c r="AA59" s="27"/>
      <c r="AB59" s="27"/>
      <c r="AG59" s="27"/>
      <c r="AH59" s="27"/>
      <c r="AI59" s="27"/>
      <c r="AK59" s="6"/>
      <c r="AM59" s="6"/>
      <c r="AN59" s="6"/>
      <c r="AO59" s="6"/>
      <c r="AP59" s="6"/>
      <c r="AQ59" s="6"/>
    </row>
    <row r="60" spans="1:43" s="15" customFormat="1" ht="15" hidden="1" customHeight="1">
      <c r="A60" s="6"/>
      <c r="C60" s="50"/>
      <c r="D60" s="6"/>
      <c r="E60" s="6"/>
      <c r="F60" s="253"/>
      <c r="G60" s="6"/>
      <c r="H60" s="6"/>
      <c r="I60" s="6"/>
      <c r="J60" s="6"/>
      <c r="K60" s="6"/>
      <c r="L60" s="6"/>
      <c r="M60" s="6"/>
      <c r="N60" s="6"/>
      <c r="O60" s="88"/>
      <c r="P60" s="6"/>
      <c r="R60" s="6"/>
      <c r="V60" s="27"/>
      <c r="Y60" s="27"/>
      <c r="AA60" s="27"/>
      <c r="AB60" s="27"/>
      <c r="AG60" s="27"/>
      <c r="AH60" s="27"/>
      <c r="AI60" s="27"/>
      <c r="AK60" s="6"/>
      <c r="AM60" s="6"/>
      <c r="AN60" s="6"/>
      <c r="AO60" s="6"/>
      <c r="AP60" s="6"/>
      <c r="AQ60" s="6"/>
    </row>
    <row r="61" spans="1:43" s="15" customFormat="1" ht="15" hidden="1" customHeight="1">
      <c r="A61" s="6"/>
      <c r="C61" s="50"/>
      <c r="D61" s="6"/>
      <c r="E61" s="6"/>
      <c r="F61" s="253"/>
      <c r="G61" s="6"/>
      <c r="H61" s="6"/>
      <c r="I61" s="6"/>
      <c r="J61" s="6"/>
      <c r="K61" s="6"/>
      <c r="L61" s="6"/>
      <c r="M61" s="6"/>
      <c r="N61" s="6"/>
      <c r="O61" s="88"/>
      <c r="P61" s="6"/>
      <c r="R61" s="6"/>
      <c r="V61" s="27"/>
      <c r="Y61" s="27"/>
      <c r="AA61" s="27"/>
      <c r="AB61" s="27"/>
      <c r="AG61" s="27"/>
      <c r="AH61" s="27"/>
      <c r="AI61" s="27"/>
      <c r="AK61" s="6"/>
      <c r="AM61" s="6"/>
      <c r="AN61" s="6"/>
      <c r="AO61" s="6"/>
      <c r="AP61" s="6"/>
      <c r="AQ61" s="6"/>
    </row>
    <row r="62" spans="1:43" s="15" customFormat="1" ht="15" hidden="1" customHeight="1">
      <c r="A62" s="6"/>
      <c r="C62" s="50"/>
      <c r="D62" s="6"/>
      <c r="E62" s="6"/>
      <c r="F62" s="253"/>
      <c r="G62" s="6"/>
      <c r="H62" s="6"/>
      <c r="I62" s="6"/>
      <c r="J62" s="6"/>
      <c r="K62" s="6"/>
      <c r="L62" s="6"/>
      <c r="M62" s="6"/>
      <c r="N62" s="6"/>
      <c r="O62" s="88"/>
      <c r="P62" s="6"/>
      <c r="R62" s="6"/>
      <c r="V62" s="27"/>
      <c r="Y62" s="27"/>
      <c r="AA62" s="27"/>
      <c r="AB62" s="27"/>
      <c r="AG62" s="27"/>
      <c r="AH62" s="27"/>
      <c r="AI62" s="27"/>
      <c r="AK62" s="6"/>
      <c r="AM62" s="6"/>
      <c r="AN62" s="6"/>
      <c r="AO62" s="6"/>
      <c r="AP62" s="6"/>
      <c r="AQ62" s="6"/>
    </row>
    <row r="63" spans="1:43" s="15" customFormat="1" ht="15" hidden="1" customHeight="1">
      <c r="A63" s="6"/>
      <c r="C63" s="50"/>
      <c r="D63" s="6"/>
      <c r="E63" s="6"/>
      <c r="F63" s="253"/>
      <c r="G63" s="6"/>
      <c r="H63" s="6"/>
      <c r="I63" s="6"/>
      <c r="J63" s="6"/>
      <c r="K63" s="6"/>
      <c r="L63" s="6"/>
      <c r="M63" s="6"/>
      <c r="N63" s="6"/>
      <c r="O63" s="88"/>
      <c r="P63" s="6"/>
      <c r="R63" s="6"/>
      <c r="V63" s="27"/>
      <c r="Y63" s="27"/>
      <c r="AA63" s="27"/>
      <c r="AB63" s="27"/>
      <c r="AG63" s="27"/>
      <c r="AH63" s="27"/>
      <c r="AI63" s="27"/>
      <c r="AK63" s="6"/>
      <c r="AM63" s="6"/>
      <c r="AN63" s="6"/>
      <c r="AO63" s="6"/>
      <c r="AP63" s="6"/>
      <c r="AQ63" s="6"/>
    </row>
    <row r="64" spans="1:43" s="15" customFormat="1" ht="15" hidden="1" customHeight="1">
      <c r="A64" s="6"/>
      <c r="C64" s="50"/>
      <c r="D64" s="6"/>
      <c r="E64" s="6"/>
      <c r="F64" s="253"/>
      <c r="G64" s="6"/>
      <c r="H64" s="6"/>
      <c r="I64" s="6"/>
      <c r="J64" s="6"/>
      <c r="K64" s="6"/>
      <c r="L64" s="6"/>
      <c r="M64" s="6"/>
      <c r="N64" s="6"/>
      <c r="O64" s="88"/>
      <c r="P64" s="6"/>
      <c r="R64" s="6"/>
      <c r="V64" s="27"/>
      <c r="Y64" s="27"/>
      <c r="AA64" s="27"/>
      <c r="AB64" s="27"/>
      <c r="AG64" s="27"/>
      <c r="AH64" s="27"/>
      <c r="AI64" s="27"/>
      <c r="AK64" s="6"/>
      <c r="AM64" s="6"/>
      <c r="AN64" s="6"/>
      <c r="AO64" s="6"/>
      <c r="AP64" s="6"/>
      <c r="AQ64" s="6"/>
    </row>
    <row r="65" spans="1:43" s="15" customFormat="1" ht="15" hidden="1" customHeight="1">
      <c r="A65" s="6"/>
      <c r="C65" s="50"/>
      <c r="D65" s="6"/>
      <c r="E65" s="6"/>
      <c r="F65" s="253"/>
      <c r="G65" s="6"/>
      <c r="H65" s="6"/>
      <c r="I65" s="6"/>
      <c r="J65" s="6"/>
      <c r="K65" s="6"/>
      <c r="L65" s="6"/>
      <c r="M65" s="6"/>
      <c r="N65" s="6"/>
      <c r="O65" s="88"/>
      <c r="P65" s="6"/>
      <c r="R65" s="6"/>
      <c r="V65" s="27"/>
      <c r="Y65" s="27"/>
      <c r="AA65" s="27"/>
      <c r="AB65" s="27"/>
      <c r="AG65" s="27"/>
      <c r="AH65" s="27"/>
      <c r="AI65" s="27"/>
      <c r="AK65" s="6"/>
      <c r="AM65" s="6"/>
      <c r="AN65" s="6"/>
      <c r="AO65" s="6"/>
      <c r="AP65" s="6"/>
      <c r="AQ65" s="6"/>
    </row>
    <row r="66" spans="1:43" s="15" customFormat="1" ht="15" hidden="1" customHeight="1">
      <c r="A66" s="6"/>
      <c r="C66" s="50"/>
      <c r="D66" s="6"/>
      <c r="E66" s="6"/>
      <c r="F66" s="253"/>
      <c r="G66" s="6"/>
      <c r="H66" s="6"/>
      <c r="I66" s="6"/>
      <c r="J66" s="6"/>
      <c r="K66" s="6"/>
      <c r="L66" s="6"/>
      <c r="M66" s="6"/>
      <c r="N66" s="6"/>
      <c r="O66" s="88"/>
      <c r="P66" s="6"/>
      <c r="R66" s="6"/>
      <c r="V66" s="27"/>
      <c r="Y66" s="27"/>
      <c r="AA66" s="27"/>
      <c r="AB66" s="27"/>
      <c r="AG66" s="27"/>
      <c r="AH66" s="27"/>
      <c r="AI66" s="27"/>
      <c r="AK66" s="6"/>
      <c r="AM66" s="6"/>
      <c r="AN66" s="6"/>
      <c r="AO66" s="6"/>
      <c r="AP66" s="6"/>
      <c r="AQ66" s="6"/>
    </row>
    <row r="67" spans="1:43" s="15" customFormat="1" ht="15" customHeight="1">
      <c r="A67" s="6"/>
      <c r="C67" s="50"/>
      <c r="D67" s="6"/>
      <c r="E67" s="6"/>
      <c r="F67" s="253"/>
      <c r="G67" s="6"/>
      <c r="H67" s="6"/>
      <c r="I67" s="6"/>
      <c r="J67" s="6"/>
      <c r="K67" s="6"/>
      <c r="L67" s="6"/>
      <c r="M67" s="6"/>
      <c r="N67" s="6"/>
      <c r="O67" s="88"/>
      <c r="P67" s="6"/>
      <c r="R67" s="6"/>
      <c r="V67" s="27"/>
      <c r="Y67" s="27"/>
      <c r="AA67" s="27"/>
      <c r="AB67" s="27"/>
      <c r="AG67" s="27"/>
      <c r="AH67" s="27"/>
      <c r="AI67" s="27"/>
      <c r="AK67" s="6"/>
      <c r="AM67" s="6"/>
      <c r="AN67" s="6"/>
      <c r="AO67" s="6"/>
      <c r="AP67" s="6"/>
      <c r="AQ67" s="6"/>
    </row>
    <row r="68" spans="1:43" s="15" customFormat="1" ht="15" customHeight="1">
      <c r="A68" s="6"/>
      <c r="C68" s="50"/>
      <c r="D68" s="6"/>
      <c r="E68" s="6"/>
      <c r="F68" s="253"/>
      <c r="G68" s="6"/>
      <c r="H68" s="6"/>
      <c r="I68" s="6"/>
      <c r="J68" s="6"/>
      <c r="K68" s="6"/>
      <c r="L68" s="6"/>
      <c r="M68" s="6"/>
      <c r="N68" s="6"/>
      <c r="O68" s="88"/>
      <c r="P68" s="6"/>
      <c r="R68" s="6"/>
      <c r="V68" s="27"/>
      <c r="Y68" s="27"/>
      <c r="AA68" s="27"/>
      <c r="AB68" s="27"/>
      <c r="AG68" s="27"/>
      <c r="AH68" s="27"/>
      <c r="AI68" s="27"/>
      <c r="AK68" s="6"/>
      <c r="AM68" s="6"/>
      <c r="AN68" s="6"/>
      <c r="AO68" s="6"/>
      <c r="AP68" s="6"/>
      <c r="AQ68" s="6"/>
    </row>
    <row r="69" spans="1:43" s="15" customFormat="1" ht="15" customHeight="1">
      <c r="A69" s="6"/>
      <c r="C69" s="50"/>
      <c r="D69" s="6"/>
      <c r="E69" s="6"/>
      <c r="F69" s="253"/>
      <c r="G69" s="6"/>
      <c r="H69" s="6"/>
      <c r="I69" s="6"/>
      <c r="J69" s="6"/>
      <c r="K69" s="6"/>
      <c r="L69" s="6"/>
      <c r="M69" s="6"/>
      <c r="N69" s="6"/>
      <c r="O69" s="88"/>
      <c r="P69" s="6"/>
      <c r="R69" s="6"/>
      <c r="V69" s="27"/>
      <c r="Y69" s="27"/>
      <c r="AA69" s="27"/>
      <c r="AB69" s="27"/>
      <c r="AG69" s="27"/>
      <c r="AH69" s="27"/>
      <c r="AI69" s="27"/>
      <c r="AK69" s="6"/>
      <c r="AM69" s="6"/>
      <c r="AN69" s="6"/>
      <c r="AO69" s="6"/>
      <c r="AP69" s="6"/>
      <c r="AQ69" s="6"/>
    </row>
    <row r="72" spans="1:43" s="15" customFormat="1" ht="15" customHeight="1">
      <c r="A72" s="6"/>
      <c r="C72" s="50"/>
      <c r="D72" s="6"/>
      <c r="E72" s="6"/>
      <c r="F72" s="253"/>
      <c r="G72" s="6"/>
      <c r="H72" s="6"/>
      <c r="I72" s="6"/>
      <c r="J72" s="6"/>
      <c r="K72" s="6"/>
      <c r="L72" s="6"/>
      <c r="M72" s="6"/>
      <c r="N72" s="6"/>
      <c r="O72" s="88"/>
      <c r="P72" s="6"/>
      <c r="R72" s="6"/>
      <c r="V72" s="27"/>
      <c r="Y72" s="27"/>
      <c r="AA72" s="27"/>
      <c r="AB72" s="27"/>
      <c r="AG72" s="27"/>
      <c r="AH72" s="27"/>
      <c r="AI72" s="27"/>
      <c r="AK72" s="6"/>
      <c r="AM72" s="6"/>
      <c r="AN72" s="6"/>
      <c r="AO72" s="6"/>
      <c r="AP72" s="6"/>
      <c r="AQ72" s="6"/>
    </row>
    <row r="74" spans="1:43" s="15" customFormat="1" ht="15" customHeight="1">
      <c r="A74" s="6"/>
      <c r="C74" s="50"/>
      <c r="D74" s="6"/>
      <c r="E74" s="6"/>
      <c r="F74" s="253"/>
      <c r="G74" s="6"/>
      <c r="H74" s="6"/>
      <c r="I74" s="6"/>
      <c r="J74" s="6"/>
      <c r="K74" s="6"/>
      <c r="L74" s="6"/>
      <c r="M74" s="6"/>
      <c r="N74" s="6"/>
      <c r="O74" s="88"/>
      <c r="P74" s="6"/>
      <c r="R74" s="6"/>
      <c r="V74" s="27"/>
      <c r="Y74" s="27"/>
      <c r="AA74" s="27"/>
      <c r="AB74" s="27"/>
      <c r="AG74" s="27"/>
      <c r="AH74" s="27"/>
      <c r="AI74" s="27"/>
      <c r="AK74" s="6"/>
      <c r="AM74" s="6"/>
      <c r="AN74" s="6"/>
      <c r="AO74" s="6"/>
      <c r="AP74" s="6"/>
      <c r="AQ74" s="6"/>
    </row>
    <row r="75" spans="1:43" s="15" customFormat="1" ht="15" customHeight="1">
      <c r="A75" s="6"/>
      <c r="C75" s="50"/>
      <c r="D75" s="6"/>
      <c r="E75" s="6"/>
      <c r="F75" s="253"/>
      <c r="G75" s="6"/>
      <c r="H75" s="6"/>
      <c r="I75" s="6"/>
      <c r="J75" s="6"/>
      <c r="K75" s="6"/>
      <c r="L75" s="6"/>
      <c r="M75" s="6"/>
      <c r="N75" s="6"/>
      <c r="O75" s="88"/>
      <c r="P75" s="6"/>
      <c r="R75" s="6"/>
      <c r="V75" s="27"/>
      <c r="Y75" s="27"/>
      <c r="AA75" s="27"/>
      <c r="AB75" s="27"/>
      <c r="AG75" s="27"/>
      <c r="AH75" s="27"/>
      <c r="AI75" s="27"/>
      <c r="AK75" s="6"/>
      <c r="AM75" s="6"/>
      <c r="AN75" s="6"/>
      <c r="AO75" s="6"/>
      <c r="AP75" s="6"/>
      <c r="AQ75" s="6"/>
    </row>
    <row r="77" spans="1:43" s="15" customFormat="1" ht="15" customHeight="1">
      <c r="A77" s="6"/>
      <c r="C77" s="50"/>
      <c r="D77" s="6"/>
      <c r="E77" s="6"/>
      <c r="F77" s="253"/>
      <c r="G77" s="6"/>
      <c r="H77" s="6"/>
      <c r="I77" s="6"/>
      <c r="J77" s="6"/>
      <c r="K77" s="6"/>
      <c r="L77" s="6"/>
      <c r="M77" s="6"/>
      <c r="N77" s="6"/>
      <c r="O77" s="88"/>
      <c r="P77" s="6"/>
      <c r="R77" s="6"/>
      <c r="V77" s="27"/>
      <c r="Y77" s="27"/>
      <c r="AA77" s="27"/>
      <c r="AB77" s="27"/>
      <c r="AG77" s="27"/>
      <c r="AH77" s="27"/>
      <c r="AI77" s="27"/>
      <c r="AK77" s="6"/>
      <c r="AM77" s="6"/>
      <c r="AN77" s="6"/>
      <c r="AO77" s="6"/>
      <c r="AP77" s="6"/>
      <c r="AQ77" s="6"/>
    </row>
  </sheetData>
  <mergeCells count="35">
    <mergeCell ref="AT5:AT7"/>
    <mergeCell ref="AU5:AU7"/>
    <mergeCell ref="AP5:AP7"/>
    <mergeCell ref="AR5:AR7"/>
    <mergeCell ref="AS5:AS7"/>
    <mergeCell ref="AQ5:AQ6"/>
    <mergeCell ref="AM5:AM7"/>
    <mergeCell ref="AN5:AN7"/>
    <mergeCell ref="AO5:AO6"/>
    <mergeCell ref="AI5:AI7"/>
    <mergeCell ref="V5:V7"/>
    <mergeCell ref="W5:Z5"/>
    <mergeCell ref="AA5:AA7"/>
    <mergeCell ref="AB5:AB7"/>
    <mergeCell ref="K6:K7"/>
    <mergeCell ref="S5:S7"/>
    <mergeCell ref="L5:Q7"/>
    <mergeCell ref="U5:U7"/>
    <mergeCell ref="AL5:AL7"/>
    <mergeCell ref="A46:E46"/>
    <mergeCell ref="I5:J5"/>
    <mergeCell ref="T5:T7"/>
    <mergeCell ref="A45:E45"/>
    <mergeCell ref="AC5:AF5"/>
    <mergeCell ref="A5:A7"/>
    <mergeCell ref="B5:B7"/>
    <mergeCell ref="C5:C7"/>
    <mergeCell ref="D5:D7"/>
    <mergeCell ref="R5:R7"/>
    <mergeCell ref="E5:E7"/>
    <mergeCell ref="F5:F7"/>
    <mergeCell ref="G5:G7"/>
    <mergeCell ref="H5:H7"/>
    <mergeCell ref="I6:I7"/>
    <mergeCell ref="J6:J7"/>
  </mergeCells>
  <printOptions horizontalCentered="1"/>
  <pageMargins left="1.1811023622047245" right="0" top="1.1811023622047245" bottom="0.3937007874015748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49"/>
  <sheetViews>
    <sheetView topLeftCell="A94" workbookViewId="0">
      <selection activeCell="K22" sqref="K22"/>
    </sheetView>
  </sheetViews>
  <sheetFormatPr defaultRowHeight="15"/>
  <cols>
    <col min="1" max="1" width="3" style="210" customWidth="1"/>
    <col min="2" max="2" width="17.7109375" style="210" customWidth="1"/>
    <col min="3" max="3" width="2.28515625" style="210" customWidth="1"/>
    <col min="4" max="4" width="7" style="210" customWidth="1"/>
    <col min="5" max="5" width="4.5703125" style="210" customWidth="1"/>
    <col min="6" max="6" width="2.85546875" style="233" customWidth="1"/>
    <col min="7" max="7" width="7.85546875" style="210" customWidth="1"/>
    <col min="8" max="8" width="10.28515625" style="210" customWidth="1"/>
    <col min="9" max="9" width="3.28515625" style="210" customWidth="1"/>
    <col min="10" max="10" width="3.42578125" style="210" customWidth="1"/>
    <col min="11" max="11" width="3" style="210" customWidth="1"/>
    <col min="12" max="12" width="17.7109375" style="210" customWidth="1"/>
    <col min="13" max="13" width="2.85546875" style="210" customWidth="1"/>
    <col min="14" max="14" width="7" style="210" customWidth="1"/>
    <col min="15" max="15" width="4.5703125" style="210" customWidth="1"/>
    <col min="16" max="16" width="2.85546875" style="233" customWidth="1"/>
    <col min="17" max="17" width="7.85546875" style="210" customWidth="1"/>
    <col min="18" max="18" width="10.28515625" style="210" customWidth="1"/>
    <col min="19" max="19" width="3" style="210" customWidth="1"/>
    <col min="20" max="21" width="10.5703125" bestFit="1" customWidth="1"/>
  </cols>
  <sheetData>
    <row r="1" spans="1:19">
      <c r="A1" s="166"/>
      <c r="B1" s="167"/>
      <c r="C1" s="167"/>
      <c r="D1" s="167"/>
      <c r="E1" s="167"/>
      <c r="F1" s="223"/>
      <c r="G1" s="167"/>
      <c r="H1" s="167"/>
      <c r="I1" s="168"/>
      <c r="J1" s="169"/>
      <c r="K1" s="166"/>
      <c r="L1" s="167"/>
      <c r="M1" s="167"/>
      <c r="N1" s="167"/>
      <c r="O1" s="167"/>
      <c r="P1" s="223"/>
      <c r="Q1" s="167"/>
      <c r="R1" s="167"/>
      <c r="S1" s="168"/>
    </row>
    <row r="2" spans="1:19">
      <c r="A2" s="170"/>
      <c r="B2" s="169"/>
      <c r="C2" s="169"/>
      <c r="D2" s="169"/>
      <c r="E2" s="169"/>
      <c r="F2" s="224"/>
      <c r="G2" s="169"/>
      <c r="H2" s="169"/>
      <c r="I2" s="171"/>
      <c r="J2" s="169"/>
      <c r="K2" s="170"/>
      <c r="L2" s="169"/>
      <c r="M2" s="169"/>
      <c r="N2" s="169"/>
      <c r="O2" s="169"/>
      <c r="P2" s="224"/>
      <c r="Q2" s="169"/>
      <c r="R2" s="169"/>
      <c r="S2" s="171"/>
    </row>
    <row r="3" spans="1:19">
      <c r="A3" s="170"/>
      <c r="B3" s="169"/>
      <c r="C3" s="169"/>
      <c r="D3" s="169"/>
      <c r="E3" s="169"/>
      <c r="F3" s="224"/>
      <c r="G3" s="169"/>
      <c r="H3" s="169"/>
      <c r="I3" s="171"/>
      <c r="J3" s="169"/>
      <c r="K3" s="170"/>
      <c r="L3" s="169"/>
      <c r="M3" s="169"/>
      <c r="N3" s="169"/>
      <c r="O3" s="169"/>
      <c r="P3" s="224"/>
      <c r="Q3" s="169"/>
      <c r="R3" s="169"/>
      <c r="S3" s="171"/>
    </row>
    <row r="4" spans="1:19">
      <c r="A4" s="170"/>
      <c r="B4" s="294" t="s">
        <v>196</v>
      </c>
      <c r="C4" s="294"/>
      <c r="D4" s="294"/>
      <c r="E4" s="294"/>
      <c r="F4" s="294"/>
      <c r="G4" s="294"/>
      <c r="H4" s="294"/>
      <c r="I4" s="295"/>
      <c r="J4" s="169"/>
      <c r="K4" s="170"/>
      <c r="L4" s="294" t="s">
        <v>196</v>
      </c>
      <c r="M4" s="294"/>
      <c r="N4" s="294"/>
      <c r="O4" s="294"/>
      <c r="P4" s="294"/>
      <c r="Q4" s="294"/>
      <c r="R4" s="294"/>
      <c r="S4" s="295"/>
    </row>
    <row r="5" spans="1:19">
      <c r="A5" s="172"/>
      <c r="B5" s="173" t="s">
        <v>197</v>
      </c>
      <c r="C5" s="174" t="s">
        <v>198</v>
      </c>
      <c r="D5" s="211">
        <f>'[2]G-STAFF'!A35</f>
        <v>1</v>
      </c>
      <c r="E5" s="173"/>
      <c r="F5" s="225"/>
      <c r="G5" s="173"/>
      <c r="H5" s="173"/>
      <c r="I5" s="176"/>
      <c r="J5" s="173"/>
      <c r="K5" s="172"/>
      <c r="L5" s="173" t="s">
        <v>197</v>
      </c>
      <c r="M5" s="174" t="s">
        <v>198</v>
      </c>
      <c r="N5" s="211">
        <f>'[2]G-STAFF'!A36</f>
        <v>2</v>
      </c>
      <c r="O5" s="175"/>
      <c r="P5" s="225"/>
      <c r="Q5" s="173"/>
      <c r="R5" s="173"/>
      <c r="S5" s="176"/>
    </row>
    <row r="6" spans="1:19">
      <c r="A6" s="172"/>
      <c r="B6" s="173" t="s">
        <v>199</v>
      </c>
      <c r="C6" s="174" t="s">
        <v>198</v>
      </c>
      <c r="D6" s="177" t="str">
        <f>'[2]G-STAFF'!A3</f>
        <v>01 JANUARI  S/D  31 JANUARI  2025</v>
      </c>
      <c r="E6" s="173"/>
      <c r="F6" s="225"/>
      <c r="G6" s="173"/>
      <c r="H6" s="173"/>
      <c r="I6" s="176"/>
      <c r="J6" s="173"/>
      <c r="K6" s="172"/>
      <c r="L6" s="173" t="s">
        <v>199</v>
      </c>
      <c r="M6" s="174" t="s">
        <v>198</v>
      </c>
      <c r="N6" s="177" t="str">
        <f>'[2]G-STAFF'!A3</f>
        <v>01 JANUARI  S/D  31 JANUARI  2025</v>
      </c>
      <c r="O6" s="179"/>
      <c r="P6" s="225"/>
      <c r="Q6" s="173"/>
      <c r="R6" s="173"/>
      <c r="S6" s="176"/>
    </row>
    <row r="7" spans="1:19">
      <c r="A7" s="172"/>
      <c r="B7" s="173" t="s">
        <v>200</v>
      </c>
      <c r="C7" s="174" t="s">
        <v>198</v>
      </c>
      <c r="D7" s="177" t="str">
        <f>+'PRODUKSI 1'!B9</f>
        <v>ENANG BIN LAMIN</v>
      </c>
      <c r="E7" s="173"/>
      <c r="F7" s="225"/>
      <c r="G7" s="173"/>
      <c r="H7" s="173"/>
      <c r="I7" s="176"/>
      <c r="J7" s="173"/>
      <c r="K7" s="172"/>
      <c r="L7" s="173" t="s">
        <v>200</v>
      </c>
      <c r="M7" s="174" t="s">
        <v>198</v>
      </c>
      <c r="N7" s="178" t="str">
        <f>+'PRODUKSI 1'!B10</f>
        <v>HERMAN</v>
      </c>
      <c r="O7" s="173"/>
      <c r="P7" s="225"/>
      <c r="Q7" s="173"/>
      <c r="R7" s="173"/>
      <c r="S7" s="176"/>
    </row>
    <row r="8" spans="1:19" ht="15.75" thickBot="1">
      <c r="A8" s="172"/>
      <c r="B8" s="173" t="s">
        <v>201</v>
      </c>
      <c r="C8" s="174" t="s">
        <v>198</v>
      </c>
      <c r="D8" s="177" t="str">
        <f>+'PRODUKSI 1'!C9</f>
        <v>MOUNTING</v>
      </c>
      <c r="E8" s="173"/>
      <c r="F8" s="225"/>
      <c r="G8" s="173"/>
      <c r="H8" s="173"/>
      <c r="I8" s="176"/>
      <c r="J8" s="173"/>
      <c r="K8" s="172"/>
      <c r="L8" s="173" t="s">
        <v>201</v>
      </c>
      <c r="M8" s="174" t="s">
        <v>198</v>
      </c>
      <c r="N8" s="178" t="str">
        <f>+'PRODUKSI 1'!C10</f>
        <v>DELIVERY</v>
      </c>
      <c r="O8" s="179"/>
      <c r="P8" s="225"/>
      <c r="Q8" s="173"/>
      <c r="R8" s="173"/>
      <c r="S8" s="176"/>
    </row>
    <row r="9" spans="1:19" ht="10.5" customHeight="1" thickTop="1">
      <c r="A9" s="170"/>
      <c r="B9" s="182"/>
      <c r="C9" s="182"/>
      <c r="D9" s="182"/>
      <c r="E9" s="182"/>
      <c r="F9" s="226"/>
      <c r="G9" s="182"/>
      <c r="H9" s="182"/>
      <c r="I9" s="183"/>
      <c r="J9" s="169"/>
      <c r="K9" s="170"/>
      <c r="L9" s="182"/>
      <c r="M9" s="182"/>
      <c r="N9" s="182"/>
      <c r="O9" s="182"/>
      <c r="P9" s="226"/>
      <c r="Q9" s="182"/>
      <c r="R9" s="182"/>
      <c r="S9" s="183"/>
    </row>
    <row r="10" spans="1:19">
      <c r="A10" s="170"/>
      <c r="B10" s="184" t="s">
        <v>202</v>
      </c>
      <c r="C10" s="185"/>
      <c r="D10" s="185"/>
      <c r="E10" s="185"/>
      <c r="F10" s="227"/>
      <c r="G10" s="185"/>
      <c r="H10" s="185"/>
      <c r="I10" s="183"/>
      <c r="J10" s="169"/>
      <c r="K10" s="170"/>
      <c r="L10" s="184" t="s">
        <v>202</v>
      </c>
      <c r="M10" s="184"/>
      <c r="N10" s="185"/>
      <c r="O10" s="185"/>
      <c r="P10" s="227"/>
      <c r="Q10" s="185"/>
      <c r="R10" s="185"/>
      <c r="S10" s="183"/>
    </row>
    <row r="11" spans="1:19" ht="14.25" customHeight="1">
      <c r="A11" s="170"/>
      <c r="B11" s="186" t="s">
        <v>111</v>
      </c>
      <c r="C11" s="186"/>
      <c r="D11" s="186"/>
      <c r="E11" s="186"/>
      <c r="F11" s="197"/>
      <c r="G11" s="187"/>
      <c r="H11" s="187">
        <f>+'PRODUKSI 1'!H9</f>
        <v>4594855</v>
      </c>
      <c r="I11" s="188"/>
      <c r="J11" s="187"/>
      <c r="K11" s="170"/>
      <c r="L11" s="186" t="s">
        <v>111</v>
      </c>
      <c r="M11" s="186"/>
      <c r="N11" s="186"/>
      <c r="O11" s="186"/>
      <c r="P11" s="197"/>
      <c r="Q11" s="187"/>
      <c r="R11" s="187">
        <f>+'PRODUKSI 1'!H10</f>
        <v>4594855</v>
      </c>
      <c r="S11" s="188"/>
    </row>
    <row r="12" spans="1:19" ht="14.25" customHeight="1">
      <c r="A12" s="170"/>
      <c r="B12" s="186" t="s">
        <v>203</v>
      </c>
      <c r="C12" s="186"/>
      <c r="D12" s="186"/>
      <c r="E12" s="186"/>
      <c r="F12" s="197"/>
      <c r="G12" s="187"/>
      <c r="H12" s="187">
        <f>+'PRODUKSI 1'!I9</f>
        <v>100000</v>
      </c>
      <c r="I12" s="188"/>
      <c r="J12" s="209"/>
      <c r="K12" s="170"/>
      <c r="L12" s="186" t="s">
        <v>203</v>
      </c>
      <c r="M12" s="186"/>
      <c r="N12" s="186"/>
      <c r="O12" s="186"/>
      <c r="P12" s="197"/>
      <c r="Q12" s="187"/>
      <c r="R12" s="187">
        <f>+'PRODUKSI 1'!I10</f>
        <v>0</v>
      </c>
      <c r="S12" s="188"/>
    </row>
    <row r="13" spans="1:19" ht="14.25" customHeight="1">
      <c r="A13" s="170"/>
      <c r="B13" s="186" t="s">
        <v>227</v>
      </c>
      <c r="C13" s="186"/>
      <c r="D13" s="186"/>
      <c r="E13" s="186"/>
      <c r="F13" s="197"/>
      <c r="G13" s="187"/>
      <c r="H13" s="187">
        <f>+'PRODUKSI 1'!J9</f>
        <v>100000</v>
      </c>
      <c r="I13" s="188"/>
      <c r="J13" s="209"/>
      <c r="K13" s="170"/>
      <c r="L13" s="186" t="s">
        <v>227</v>
      </c>
      <c r="M13" s="186"/>
      <c r="N13" s="186"/>
      <c r="O13" s="186"/>
      <c r="P13" s="197"/>
      <c r="Q13" s="187"/>
      <c r="R13" s="187">
        <f>+'PRODUKSI 1'!J10</f>
        <v>0</v>
      </c>
      <c r="S13" s="188"/>
    </row>
    <row r="14" spans="1:19" ht="14.25" customHeight="1">
      <c r="A14" s="170"/>
      <c r="B14" s="186" t="s">
        <v>228</v>
      </c>
      <c r="C14" s="186"/>
      <c r="D14" s="186"/>
      <c r="E14" s="186"/>
      <c r="F14" s="197"/>
      <c r="G14" s="187"/>
      <c r="H14" s="187">
        <f>+'PRODUKSI 1'!K9</f>
        <v>0</v>
      </c>
      <c r="I14" s="188"/>
      <c r="J14" s="209"/>
      <c r="K14" s="170"/>
      <c r="L14" s="186" t="s">
        <v>228</v>
      </c>
      <c r="M14" s="186"/>
      <c r="N14" s="186"/>
      <c r="O14" s="186"/>
      <c r="P14" s="197"/>
      <c r="Q14" s="187"/>
      <c r="R14" s="187">
        <f>+'PRODUKSI 1'!K9</f>
        <v>0</v>
      </c>
      <c r="S14" s="188"/>
    </row>
    <row r="15" spans="1:19" ht="14.25" customHeight="1">
      <c r="A15" s="170"/>
      <c r="B15" s="186" t="s">
        <v>224</v>
      </c>
      <c r="C15" s="186"/>
      <c r="D15" s="186"/>
      <c r="E15" s="186"/>
      <c r="F15" s="197"/>
      <c r="G15" s="187"/>
      <c r="H15" s="187">
        <f>+'PRODUKSI 1'!AA9</f>
        <v>448215.69090000005</v>
      </c>
      <c r="I15" s="188"/>
      <c r="J15" s="209"/>
      <c r="K15" s="170"/>
      <c r="L15" s="186" t="s">
        <v>224</v>
      </c>
      <c r="M15" s="186"/>
      <c r="N15" s="186"/>
      <c r="O15" s="186"/>
      <c r="P15" s="197"/>
      <c r="Q15" s="187"/>
      <c r="R15" s="187">
        <f>+'PRODUKSI 1'!AA10</f>
        <v>448215.69090000005</v>
      </c>
      <c r="S15" s="188"/>
    </row>
    <row r="16" spans="1:19" ht="14.25" customHeight="1">
      <c r="A16" s="170"/>
      <c r="B16" s="186" t="s">
        <v>195</v>
      </c>
      <c r="C16" s="186"/>
      <c r="D16" s="187"/>
      <c r="E16" s="186"/>
      <c r="F16" s="197"/>
      <c r="G16" s="187"/>
      <c r="H16" s="187">
        <f>+'PRODUKSI 1'!S9</f>
        <v>100000</v>
      </c>
      <c r="I16" s="188"/>
      <c r="J16" s="187"/>
      <c r="K16" s="170"/>
      <c r="L16" s="186" t="s">
        <v>195</v>
      </c>
      <c r="M16" s="186"/>
      <c r="N16" s="187"/>
      <c r="O16" s="186"/>
      <c r="P16" s="197"/>
      <c r="Q16" s="187"/>
      <c r="R16" s="187">
        <f>+'PRODUKSI 1'!S10</f>
        <v>60000</v>
      </c>
      <c r="S16" s="188"/>
    </row>
    <row r="17" spans="1:20" ht="14.25" customHeight="1">
      <c r="A17" s="170"/>
      <c r="B17" s="220" t="s">
        <v>233</v>
      </c>
      <c r="C17" s="186"/>
      <c r="D17" s="187"/>
      <c r="E17" s="186"/>
      <c r="F17" s="197"/>
      <c r="G17" s="187"/>
      <c r="H17" s="187"/>
      <c r="I17" s="188"/>
      <c r="J17" s="209"/>
      <c r="K17" s="170"/>
      <c r="L17" s="220" t="s">
        <v>233</v>
      </c>
      <c r="M17" s="186"/>
      <c r="N17" s="187"/>
      <c r="O17" s="186"/>
      <c r="P17" s="197"/>
      <c r="Q17" s="187"/>
      <c r="R17" s="187"/>
      <c r="S17" s="188"/>
      <c r="T17" s="218"/>
    </row>
    <row r="18" spans="1:20" ht="14.25" customHeight="1">
      <c r="A18" s="170"/>
      <c r="B18" s="186" t="s">
        <v>206</v>
      </c>
      <c r="C18" s="186"/>
      <c r="D18" s="212">
        <f>'[2]G-STAFF'!CH35</f>
        <v>0</v>
      </c>
      <c r="E18" s="186" t="s">
        <v>207</v>
      </c>
      <c r="F18" s="197" t="s">
        <v>205</v>
      </c>
      <c r="G18" s="187">
        <v>25223</v>
      </c>
      <c r="H18" s="187">
        <f>G18*D18</f>
        <v>0</v>
      </c>
      <c r="I18" s="188"/>
      <c r="J18" s="187"/>
      <c r="K18" s="170"/>
      <c r="L18" s="186" t="s">
        <v>206</v>
      </c>
      <c r="M18" s="186"/>
      <c r="N18" s="212">
        <v>40</v>
      </c>
      <c r="O18" s="186" t="s">
        <v>207</v>
      </c>
      <c r="P18" s="197" t="s">
        <v>205</v>
      </c>
      <c r="Q18" s="187">
        <v>25223</v>
      </c>
      <c r="R18" s="187">
        <f>Q18*N18</f>
        <v>1008920</v>
      </c>
      <c r="S18" s="188"/>
    </row>
    <row r="19" spans="1:20" ht="14.25" customHeight="1" thickBot="1">
      <c r="A19" s="170"/>
      <c r="B19" s="190" t="s">
        <v>208</v>
      </c>
      <c r="C19" s="190"/>
      <c r="D19" s="213">
        <f>'[2]G-STAFF'!CG35</f>
        <v>0</v>
      </c>
      <c r="E19" s="190" t="s">
        <v>207</v>
      </c>
      <c r="F19" s="228" t="s">
        <v>205</v>
      </c>
      <c r="G19" s="192">
        <f>G18</f>
        <v>25223</v>
      </c>
      <c r="H19" s="192">
        <f>G19*D19</f>
        <v>0</v>
      </c>
      <c r="I19" s="188"/>
      <c r="J19" s="187"/>
      <c r="K19" s="170"/>
      <c r="L19" s="190" t="s">
        <v>208</v>
      </c>
      <c r="M19" s="190"/>
      <c r="N19" s="213">
        <f>'[2]G-STAFF'!CG36</f>
        <v>0</v>
      </c>
      <c r="O19" s="190" t="s">
        <v>207</v>
      </c>
      <c r="P19" s="228" t="s">
        <v>205</v>
      </c>
      <c r="Q19" s="192">
        <f>Q18</f>
        <v>25223</v>
      </c>
      <c r="R19" s="192">
        <f>Q19*N19</f>
        <v>0</v>
      </c>
      <c r="S19" s="188"/>
    </row>
    <row r="20" spans="1:20" ht="15.75" thickBot="1">
      <c r="A20" s="170"/>
      <c r="B20" s="190" t="s">
        <v>219</v>
      </c>
      <c r="C20" s="190"/>
      <c r="D20" s="213">
        <f>'[2]G-STAFF'!CI35</f>
        <v>0</v>
      </c>
      <c r="E20" s="190"/>
      <c r="F20" s="228"/>
      <c r="G20" s="192"/>
      <c r="H20" s="192">
        <f>SUM(H11:H19)</f>
        <v>5343070.6908999998</v>
      </c>
      <c r="I20" s="188"/>
      <c r="J20" s="187"/>
      <c r="K20" s="170"/>
      <c r="L20" s="190" t="s">
        <v>219</v>
      </c>
      <c r="M20" s="190"/>
      <c r="N20" s="213">
        <f>'[2]G-STAFF'!CI36</f>
        <v>0</v>
      </c>
      <c r="O20" s="190"/>
      <c r="P20" s="228"/>
      <c r="Q20" s="192"/>
      <c r="R20" s="192">
        <f>SUM(R11:R19)</f>
        <v>6111990.6908999998</v>
      </c>
      <c r="S20" s="188"/>
    </row>
    <row r="21" spans="1:20">
      <c r="A21" s="170"/>
      <c r="B21" s="196" t="s">
        <v>113</v>
      </c>
      <c r="C21" s="186"/>
      <c r="D21" s="186"/>
      <c r="E21" s="186"/>
      <c r="F21" s="197"/>
      <c r="G21" s="187"/>
      <c r="H21" s="187"/>
      <c r="I21" s="188"/>
      <c r="J21" s="209"/>
      <c r="K21" s="170"/>
      <c r="L21" s="196" t="s">
        <v>113</v>
      </c>
      <c r="M21" s="186"/>
      <c r="N21" s="186"/>
      <c r="O21" s="186"/>
      <c r="P21" s="197"/>
      <c r="Q21" s="187"/>
      <c r="R21" s="187"/>
      <c r="S21" s="188"/>
    </row>
    <row r="22" spans="1:20" ht="14.25" customHeight="1">
      <c r="A22" s="170"/>
      <c r="B22" s="186" t="s">
        <v>209</v>
      </c>
      <c r="C22" s="186"/>
      <c r="D22" s="197"/>
      <c r="E22" s="186"/>
      <c r="F22" s="197"/>
      <c r="G22" s="198" t="str">
        <f>+'PRODUKSI 1'!D9</f>
        <v>K2</v>
      </c>
      <c r="H22" s="187">
        <f>+'PRODUKSI 1'!AH9</f>
        <v>0</v>
      </c>
      <c r="I22" s="188"/>
      <c r="J22" s="209"/>
      <c r="K22" s="170"/>
      <c r="L22" s="186" t="s">
        <v>209</v>
      </c>
      <c r="M22" s="186"/>
      <c r="N22" s="198"/>
      <c r="O22" s="186"/>
      <c r="P22" s="197"/>
      <c r="Q22" s="198" t="str">
        <f>+'PRODUKSI 1'!D10</f>
        <v>K2</v>
      </c>
      <c r="R22" s="187">
        <f>+'PRODUKSI 1'!AH10</f>
        <v>0</v>
      </c>
      <c r="S22" s="188"/>
    </row>
    <row r="23" spans="1:20" ht="14.25" customHeight="1">
      <c r="A23" s="170"/>
      <c r="B23" s="186" t="s">
        <v>225</v>
      </c>
      <c r="C23" s="186"/>
      <c r="D23" s="197"/>
      <c r="E23" s="186"/>
      <c r="F23" s="197"/>
      <c r="G23" s="198"/>
      <c r="H23" s="187">
        <f>+'PRODUKSI 1'!AE9+'PRODUKSI 1'!AF9</f>
        <v>48772.11</v>
      </c>
      <c r="I23" s="188"/>
      <c r="J23" s="209"/>
      <c r="K23" s="170"/>
      <c r="L23" s="186" t="s">
        <v>225</v>
      </c>
      <c r="M23" s="186"/>
      <c r="N23" s="198"/>
      <c r="O23" s="186"/>
      <c r="P23" s="197"/>
      <c r="Q23" s="198"/>
      <c r="R23" s="187">
        <f>+'PRODUKSI 1'!AE10+'PRODUKSI 1'!AF10</f>
        <v>48772.11</v>
      </c>
      <c r="S23" s="188"/>
    </row>
    <row r="24" spans="1:20" ht="14.25" customHeight="1">
      <c r="A24" s="170"/>
      <c r="B24" s="186" t="s">
        <v>226</v>
      </c>
      <c r="C24" s="186"/>
      <c r="D24" s="197"/>
      <c r="E24" s="186"/>
      <c r="F24" s="197"/>
      <c r="G24" s="198"/>
      <c r="H24" s="187">
        <f>+'PRODUKSI 1'!AC9+'PRODUKSI 1'!AD9</f>
        <v>146316.33000000002</v>
      </c>
      <c r="I24" s="188"/>
      <c r="J24" s="209"/>
      <c r="K24" s="170"/>
      <c r="L24" s="186" t="s">
        <v>226</v>
      </c>
      <c r="M24" s="186"/>
      <c r="N24" s="198"/>
      <c r="O24" s="186"/>
      <c r="P24" s="197"/>
      <c r="Q24" s="198"/>
      <c r="R24" s="187">
        <f>+'PRODUKSI 1'!AC10+'PRODUKSI 1'!AD10</f>
        <v>146316.33000000002</v>
      </c>
      <c r="S24" s="188"/>
    </row>
    <row r="25" spans="1:20" ht="14.25" customHeight="1">
      <c r="A25" s="170"/>
      <c r="B25" s="186" t="s">
        <v>103</v>
      </c>
      <c r="C25" s="186"/>
      <c r="D25" s="186"/>
      <c r="E25" s="186"/>
      <c r="F25" s="197"/>
      <c r="G25" s="198"/>
      <c r="H25" s="187">
        <f>+H15</f>
        <v>448215.69090000005</v>
      </c>
      <c r="I25" s="188"/>
      <c r="J25" s="209"/>
      <c r="K25" s="170"/>
      <c r="L25" s="186" t="s">
        <v>103</v>
      </c>
      <c r="M25" s="186"/>
      <c r="N25" s="186"/>
      <c r="O25" s="186"/>
      <c r="P25" s="197"/>
      <c r="Q25" s="187"/>
      <c r="R25" s="187">
        <f>+R15</f>
        <v>448215.69090000005</v>
      </c>
      <c r="S25" s="188"/>
    </row>
    <row r="26" spans="1:20" ht="14.25" customHeight="1" thickBot="1">
      <c r="A26" s="170"/>
      <c r="B26" s="199" t="s">
        <v>211</v>
      </c>
      <c r="C26" s="190"/>
      <c r="D26" s="190"/>
      <c r="E26" s="190"/>
      <c r="F26" s="228"/>
      <c r="G26" s="192"/>
      <c r="H26" s="192">
        <f>SUM(H22:H25)</f>
        <v>643304.13089999999</v>
      </c>
      <c r="I26" s="188"/>
      <c r="J26" s="209"/>
      <c r="K26" s="170"/>
      <c r="L26" s="199" t="s">
        <v>211</v>
      </c>
      <c r="M26" s="190"/>
      <c r="N26" s="190"/>
      <c r="O26" s="190"/>
      <c r="P26" s="228"/>
      <c r="Q26" s="192"/>
      <c r="R26" s="192">
        <f>SUM(R22:R25)</f>
        <v>643304.13089999999</v>
      </c>
      <c r="S26" s="188"/>
    </row>
    <row r="27" spans="1:20" ht="15.75" thickBot="1">
      <c r="A27" s="170"/>
      <c r="B27" s="193" t="s">
        <v>220</v>
      </c>
      <c r="C27" s="193"/>
      <c r="D27" s="193"/>
      <c r="E27" s="193"/>
      <c r="F27" s="229"/>
      <c r="G27" s="195"/>
      <c r="H27" s="195">
        <f>H20-H26</f>
        <v>4699766.5599999996</v>
      </c>
      <c r="I27" s="188"/>
      <c r="J27" s="209"/>
      <c r="K27" s="170"/>
      <c r="L27" s="193" t="s">
        <v>220</v>
      </c>
      <c r="M27" s="193"/>
      <c r="N27" s="193"/>
      <c r="O27" s="193"/>
      <c r="P27" s="229"/>
      <c r="Q27" s="195"/>
      <c r="R27" s="195">
        <f>SUM(R20-R26)</f>
        <v>5468686.5599999996</v>
      </c>
      <c r="S27" s="188"/>
    </row>
    <row r="28" spans="1:20">
      <c r="A28" s="170"/>
      <c r="B28" s="186" t="s">
        <v>230</v>
      </c>
      <c r="C28" s="186"/>
      <c r="D28" s="186"/>
      <c r="E28" s="186"/>
      <c r="F28" s="197"/>
      <c r="G28" s="187"/>
      <c r="H28" s="187">
        <f>'[2]Urutan Nm'!H68</f>
        <v>10000</v>
      </c>
      <c r="I28" s="188"/>
      <c r="J28" s="209"/>
      <c r="K28" s="170"/>
      <c r="L28" s="186" t="s">
        <v>221</v>
      </c>
      <c r="M28" s="186"/>
      <c r="N28" s="186"/>
      <c r="O28" s="186"/>
      <c r="P28" s="197"/>
      <c r="Q28" s="187"/>
      <c r="R28" s="187">
        <f>'[2]Urutan Nm'!H69</f>
        <v>10000</v>
      </c>
      <c r="S28" s="188"/>
    </row>
    <row r="29" spans="1:20" ht="10.5" customHeight="1" thickBot="1">
      <c r="A29" s="170"/>
      <c r="B29" s="199"/>
      <c r="C29" s="190"/>
      <c r="D29" s="190"/>
      <c r="E29" s="190"/>
      <c r="F29" s="228"/>
      <c r="G29" s="192"/>
      <c r="H29" s="192"/>
      <c r="I29" s="188"/>
      <c r="J29" s="187"/>
      <c r="K29" s="170"/>
      <c r="L29" s="199"/>
      <c r="M29" s="190"/>
      <c r="N29" s="190"/>
      <c r="O29" s="190"/>
      <c r="P29" s="228"/>
      <c r="Q29" s="192"/>
      <c r="R29" s="192"/>
      <c r="S29" s="188"/>
    </row>
    <row r="30" spans="1:20" ht="15.75" thickBot="1">
      <c r="A30" s="170"/>
      <c r="B30" s="221" t="s">
        <v>212</v>
      </c>
      <c r="C30" s="200"/>
      <c r="D30" s="200"/>
      <c r="E30" s="200"/>
      <c r="F30" s="230"/>
      <c r="G30" s="201"/>
      <c r="H30" s="222">
        <f>SUM(H27-H28)</f>
        <v>4689766.5599999996</v>
      </c>
      <c r="I30" s="188"/>
      <c r="J30" s="187"/>
      <c r="K30" s="170"/>
      <c r="L30" s="221" t="s">
        <v>212</v>
      </c>
      <c r="M30" s="200"/>
      <c r="N30" s="200"/>
      <c r="O30" s="200"/>
      <c r="P30" s="230"/>
      <c r="Q30" s="201"/>
      <c r="R30" s="222">
        <f>SUM(R27-R28)</f>
        <v>5458686.5599999996</v>
      </c>
      <c r="S30" s="188"/>
    </row>
    <row r="31" spans="1:20" ht="15.75" thickTop="1">
      <c r="A31" s="170"/>
      <c r="B31" s="202" t="s">
        <v>213</v>
      </c>
      <c r="C31" s="186"/>
      <c r="D31" s="186"/>
      <c r="E31" s="186"/>
      <c r="F31" s="197"/>
      <c r="G31" s="296" t="s">
        <v>214</v>
      </c>
      <c r="H31" s="296"/>
      <c r="I31" s="188"/>
      <c r="J31" s="187"/>
      <c r="K31" s="170"/>
      <c r="L31" s="202" t="s">
        <v>213</v>
      </c>
      <c r="M31" s="186"/>
      <c r="N31" s="186"/>
      <c r="O31" s="186"/>
      <c r="P31" s="197"/>
      <c r="Q31" s="296" t="s">
        <v>214</v>
      </c>
      <c r="R31" s="296"/>
      <c r="S31" s="188"/>
    </row>
    <row r="32" spans="1:20" ht="12.75" customHeight="1">
      <c r="A32" s="170"/>
      <c r="B32" s="186"/>
      <c r="C32" s="186"/>
      <c r="D32" s="186"/>
      <c r="E32" s="186"/>
      <c r="F32" s="197"/>
      <c r="G32" s="187"/>
      <c r="H32" s="187"/>
      <c r="I32" s="188"/>
      <c r="J32" s="187"/>
      <c r="K32" s="170"/>
      <c r="L32" s="186"/>
      <c r="M32" s="186"/>
      <c r="N32" s="186"/>
      <c r="O32" s="186"/>
      <c r="P32" s="197"/>
      <c r="Q32" s="187"/>
      <c r="R32" s="187"/>
      <c r="S32" s="188"/>
    </row>
    <row r="33" spans="1:19" ht="12.75" customHeight="1">
      <c r="A33" s="170"/>
      <c r="B33" s="186"/>
      <c r="C33" s="186"/>
      <c r="D33" s="186"/>
      <c r="E33" s="186"/>
      <c r="F33" s="197"/>
      <c r="G33" s="187"/>
      <c r="H33" s="187"/>
      <c r="I33" s="188"/>
      <c r="J33" s="187"/>
      <c r="K33" s="170"/>
      <c r="L33" s="186"/>
      <c r="M33" s="186"/>
      <c r="N33" s="186"/>
      <c r="O33" s="186"/>
      <c r="P33" s="197"/>
      <c r="Q33" s="187"/>
      <c r="R33" s="187"/>
      <c r="S33" s="188"/>
    </row>
    <row r="34" spans="1:19" ht="12.75" customHeight="1">
      <c r="A34" s="170"/>
      <c r="B34" s="203" t="s">
        <v>215</v>
      </c>
      <c r="C34" s="186"/>
      <c r="D34" s="186"/>
      <c r="E34" s="186"/>
      <c r="F34" s="197"/>
      <c r="G34" s="297" t="s">
        <v>216</v>
      </c>
      <c r="H34" s="297"/>
      <c r="I34" s="188"/>
      <c r="J34" s="187"/>
      <c r="K34" s="170"/>
      <c r="L34" s="203" t="s">
        <v>215</v>
      </c>
      <c r="M34" s="186"/>
      <c r="N34" s="186"/>
      <c r="O34" s="186"/>
      <c r="P34" s="197"/>
      <c r="Q34" s="297" t="s">
        <v>216</v>
      </c>
      <c r="R34" s="297"/>
      <c r="S34" s="188"/>
    </row>
    <row r="35" spans="1:19" ht="7.5" customHeight="1">
      <c r="A35" s="204"/>
      <c r="B35" s="205"/>
      <c r="C35" s="206"/>
      <c r="D35" s="206"/>
      <c r="E35" s="206"/>
      <c r="F35" s="231"/>
      <c r="G35" s="207"/>
      <c r="H35" s="205"/>
      <c r="I35" s="208"/>
      <c r="J35" s="187"/>
      <c r="K35" s="204"/>
      <c r="L35" s="205"/>
      <c r="M35" s="206"/>
      <c r="N35" s="206"/>
      <c r="O35" s="206"/>
      <c r="P35" s="231"/>
      <c r="Q35" s="207"/>
      <c r="R35" s="205"/>
      <c r="S35" s="208"/>
    </row>
    <row r="36" spans="1:19">
      <c r="B36" s="186"/>
      <c r="C36" s="186"/>
      <c r="D36" s="186"/>
      <c r="E36" s="186"/>
      <c r="F36" s="197"/>
      <c r="G36" s="187"/>
      <c r="H36" s="187"/>
      <c r="I36" s="187"/>
      <c r="J36" s="187"/>
      <c r="L36" s="186"/>
      <c r="M36" s="186"/>
      <c r="N36" s="186"/>
      <c r="O36" s="186"/>
      <c r="P36" s="197"/>
      <c r="Q36" s="187"/>
      <c r="R36" s="187"/>
      <c r="S36" s="187"/>
    </row>
    <row r="37" spans="1:19">
      <c r="A37" s="166"/>
      <c r="B37" s="167"/>
      <c r="C37" s="167"/>
      <c r="D37" s="167"/>
      <c r="E37" s="167"/>
      <c r="F37" s="223"/>
      <c r="G37" s="167"/>
      <c r="H37" s="167"/>
      <c r="I37" s="168"/>
      <c r="J37" s="169"/>
      <c r="K37" s="166"/>
      <c r="L37" s="167"/>
      <c r="M37" s="167"/>
      <c r="N37" s="167"/>
      <c r="O37" s="167"/>
      <c r="P37" s="223"/>
      <c r="Q37" s="167"/>
      <c r="R37" s="167"/>
      <c r="S37" s="168"/>
    </row>
    <row r="38" spans="1:19">
      <c r="A38" s="170"/>
      <c r="B38" s="169"/>
      <c r="C38" s="169"/>
      <c r="D38" s="169"/>
      <c r="E38" s="169"/>
      <c r="F38" s="224"/>
      <c r="G38" s="169"/>
      <c r="H38" s="169"/>
      <c r="I38" s="171"/>
      <c r="J38" s="169"/>
      <c r="K38" s="170"/>
      <c r="L38" s="169"/>
      <c r="M38" s="169"/>
      <c r="N38" s="169"/>
      <c r="O38" s="169"/>
      <c r="P38" s="224"/>
      <c r="Q38" s="169"/>
      <c r="R38" s="169"/>
      <c r="S38" s="171"/>
    </row>
    <row r="39" spans="1:19">
      <c r="A39" s="170"/>
      <c r="B39" s="169"/>
      <c r="C39" s="169"/>
      <c r="D39" s="169"/>
      <c r="E39" s="169"/>
      <c r="F39" s="224"/>
      <c r="G39" s="169"/>
      <c r="H39" s="169"/>
      <c r="I39" s="171"/>
      <c r="J39" s="169"/>
      <c r="K39" s="170"/>
      <c r="L39" s="169"/>
      <c r="M39" s="169"/>
      <c r="N39" s="169"/>
      <c r="O39" s="169"/>
      <c r="P39" s="224"/>
      <c r="Q39" s="169"/>
      <c r="R39" s="169"/>
      <c r="S39" s="171"/>
    </row>
    <row r="40" spans="1:19">
      <c r="A40" s="170"/>
      <c r="B40" s="294" t="s">
        <v>196</v>
      </c>
      <c r="C40" s="294"/>
      <c r="D40" s="294"/>
      <c r="E40" s="294"/>
      <c r="F40" s="294"/>
      <c r="G40" s="294"/>
      <c r="H40" s="294"/>
      <c r="I40" s="295"/>
      <c r="J40" s="169"/>
      <c r="K40" s="170"/>
      <c r="L40" s="294" t="s">
        <v>196</v>
      </c>
      <c r="M40" s="294"/>
      <c r="N40" s="294"/>
      <c r="O40" s="294"/>
      <c r="P40" s="294"/>
      <c r="Q40" s="294"/>
      <c r="R40" s="294"/>
      <c r="S40" s="295"/>
    </row>
    <row r="41" spans="1:19">
      <c r="A41" s="172"/>
      <c r="B41" s="173" t="s">
        <v>197</v>
      </c>
      <c r="C41" s="174" t="s">
        <v>198</v>
      </c>
      <c r="D41" s="211">
        <f>'[2]G-STAFF'!A37</f>
        <v>3</v>
      </c>
      <c r="E41" s="173"/>
      <c r="F41" s="225"/>
      <c r="G41" s="173"/>
      <c r="H41" s="173"/>
      <c r="I41" s="176"/>
      <c r="J41" s="173"/>
      <c r="K41" s="172"/>
      <c r="L41" s="173" t="s">
        <v>197</v>
      </c>
      <c r="M41" s="174" t="s">
        <v>198</v>
      </c>
      <c r="N41" s="211">
        <f>'[2]G-STAFF'!A38</f>
        <v>4</v>
      </c>
      <c r="O41" s="175"/>
      <c r="P41" s="225"/>
      <c r="Q41" s="173"/>
      <c r="R41" s="173"/>
      <c r="S41" s="176"/>
    </row>
    <row r="42" spans="1:19">
      <c r="A42" s="172"/>
      <c r="B42" s="173" t="s">
        <v>199</v>
      </c>
      <c r="C42" s="174" t="s">
        <v>198</v>
      </c>
      <c r="D42" s="177" t="str">
        <f>'[2]G-STAFF'!A3</f>
        <v>01 JANUARI  S/D  31 JANUARI  2025</v>
      </c>
      <c r="E42" s="173"/>
      <c r="F42" s="225"/>
      <c r="G42" s="173"/>
      <c r="H42" s="173"/>
      <c r="I42" s="176"/>
      <c r="J42" s="173"/>
      <c r="K42" s="172"/>
      <c r="L42" s="173" t="s">
        <v>199</v>
      </c>
      <c r="M42" s="174" t="s">
        <v>198</v>
      </c>
      <c r="N42" s="177" t="str">
        <f>'[2]G-STAFF'!A3</f>
        <v>01 JANUARI  S/D  31 JANUARI  2025</v>
      </c>
      <c r="O42" s="179"/>
      <c r="P42" s="225"/>
      <c r="Q42" s="173"/>
      <c r="R42" s="173"/>
      <c r="S42" s="176"/>
    </row>
    <row r="43" spans="1:19">
      <c r="A43" s="172"/>
      <c r="B43" s="173" t="s">
        <v>200</v>
      </c>
      <c r="C43" s="174" t="s">
        <v>198</v>
      </c>
      <c r="D43" s="177" t="str">
        <f>+'PRODUKSI 1'!B11</f>
        <v>UJANG SUHADA</v>
      </c>
      <c r="E43" s="173"/>
      <c r="F43" s="225"/>
      <c r="G43" s="173"/>
      <c r="H43" s="173"/>
      <c r="I43" s="176"/>
      <c r="J43" s="173"/>
      <c r="K43" s="172"/>
      <c r="L43" s="173" t="s">
        <v>200</v>
      </c>
      <c r="M43" s="174" t="s">
        <v>198</v>
      </c>
      <c r="N43" s="178" t="str">
        <f>+'PRODUKSI 1'!B12</f>
        <v>UCI SUPRIYATNA</v>
      </c>
      <c r="O43" s="173"/>
      <c r="P43" s="225"/>
      <c r="Q43" s="173"/>
      <c r="R43" s="173"/>
      <c r="S43" s="176"/>
    </row>
    <row r="44" spans="1:19" ht="15.75" thickBot="1">
      <c r="A44" s="172"/>
      <c r="B44" s="173" t="s">
        <v>201</v>
      </c>
      <c r="C44" s="174" t="s">
        <v>198</v>
      </c>
      <c r="D44" s="177" t="str">
        <f>+'PRODUKSI 1'!C11</f>
        <v>WONDAN</v>
      </c>
      <c r="E44" s="173"/>
      <c r="F44" s="225"/>
      <c r="G44" s="173"/>
      <c r="H44" s="173"/>
      <c r="I44" s="176"/>
      <c r="J44" s="173"/>
      <c r="K44" s="172"/>
      <c r="L44" s="173" t="s">
        <v>201</v>
      </c>
      <c r="M44" s="174" t="s">
        <v>198</v>
      </c>
      <c r="N44" s="178" t="str">
        <f>+'PRODUKSI 1'!C12</f>
        <v>OP THOMSON</v>
      </c>
      <c r="O44" s="179"/>
      <c r="P44" s="225"/>
      <c r="Q44" s="173"/>
      <c r="R44" s="173"/>
      <c r="S44" s="176"/>
    </row>
    <row r="45" spans="1:19" ht="10.5" customHeight="1" thickTop="1">
      <c r="A45" s="170"/>
      <c r="B45" s="182"/>
      <c r="C45" s="182"/>
      <c r="D45" s="182"/>
      <c r="E45" s="182"/>
      <c r="F45" s="226"/>
      <c r="G45" s="182"/>
      <c r="H45" s="182"/>
      <c r="I45" s="183"/>
      <c r="J45" s="169"/>
      <c r="K45" s="170"/>
      <c r="L45" s="182"/>
      <c r="M45" s="182"/>
      <c r="N45" s="182"/>
      <c r="O45" s="182"/>
      <c r="P45" s="226"/>
      <c r="Q45" s="182"/>
      <c r="R45" s="182"/>
      <c r="S45" s="183"/>
    </row>
    <row r="46" spans="1:19">
      <c r="A46" s="170"/>
      <c r="B46" s="184" t="s">
        <v>202</v>
      </c>
      <c r="C46" s="185"/>
      <c r="D46" s="185"/>
      <c r="E46" s="185"/>
      <c r="F46" s="227"/>
      <c r="G46" s="185"/>
      <c r="H46" s="185"/>
      <c r="I46" s="183"/>
      <c r="J46" s="169"/>
      <c r="K46" s="170"/>
      <c r="L46" s="184" t="s">
        <v>202</v>
      </c>
      <c r="M46" s="184"/>
      <c r="N46" s="185"/>
      <c r="O46" s="185"/>
      <c r="P46" s="227"/>
      <c r="Q46" s="185"/>
      <c r="R46" s="185"/>
      <c r="S46" s="183"/>
    </row>
    <row r="47" spans="1:19" ht="14.25" customHeight="1">
      <c r="A47" s="170"/>
      <c r="B47" s="186" t="s">
        <v>111</v>
      </c>
      <c r="C47" s="186"/>
      <c r="D47" s="186"/>
      <c r="E47" s="186"/>
      <c r="F47" s="197"/>
      <c r="G47" s="187"/>
      <c r="H47" s="187">
        <f>+'PRODUKSI 1'!H11</f>
        <v>4594855</v>
      </c>
      <c r="I47" s="188"/>
      <c r="J47" s="187"/>
      <c r="K47" s="170"/>
      <c r="L47" s="186" t="s">
        <v>111</v>
      </c>
      <c r="M47" s="186"/>
      <c r="N47" s="186"/>
      <c r="O47" s="186"/>
      <c r="P47" s="197"/>
      <c r="Q47" s="187"/>
      <c r="R47" s="187">
        <f>+'PRODUKSI 1'!H12</f>
        <v>4594855</v>
      </c>
      <c r="S47" s="188"/>
    </row>
    <row r="48" spans="1:19" ht="14.25" customHeight="1">
      <c r="A48" s="170"/>
      <c r="B48" s="186" t="s">
        <v>203</v>
      </c>
      <c r="C48" s="186"/>
      <c r="D48" s="186"/>
      <c r="E48" s="186"/>
      <c r="F48" s="197"/>
      <c r="G48" s="187"/>
      <c r="H48" s="187">
        <f>+'PRODUKSI 1'!I11</f>
        <v>0</v>
      </c>
      <c r="I48" s="188"/>
      <c r="J48" s="187"/>
      <c r="K48" s="170"/>
      <c r="L48" s="186" t="s">
        <v>203</v>
      </c>
      <c r="M48" s="186"/>
      <c r="N48" s="186"/>
      <c r="O48" s="186"/>
      <c r="P48" s="197"/>
      <c r="Q48" s="187"/>
      <c r="R48" s="187">
        <f>+'PRODUKSI 1'!I12</f>
        <v>0</v>
      </c>
      <c r="S48" s="188"/>
    </row>
    <row r="49" spans="1:19" ht="14.25" customHeight="1">
      <c r="A49" s="170"/>
      <c r="B49" s="186" t="s">
        <v>227</v>
      </c>
      <c r="C49" s="186"/>
      <c r="D49" s="186"/>
      <c r="E49" s="186"/>
      <c r="F49" s="197"/>
      <c r="G49" s="187"/>
      <c r="H49" s="187">
        <f>+'PRODUKSI 1'!J11</f>
        <v>0</v>
      </c>
      <c r="I49" s="188"/>
      <c r="J49" s="187"/>
      <c r="K49" s="170"/>
      <c r="L49" s="186" t="s">
        <v>227</v>
      </c>
      <c r="M49" s="186"/>
      <c r="N49" s="186"/>
      <c r="O49" s="186"/>
      <c r="P49" s="197"/>
      <c r="Q49" s="187"/>
      <c r="R49" s="187">
        <f>+'PRODUKSI 1'!J12</f>
        <v>0</v>
      </c>
      <c r="S49" s="188"/>
    </row>
    <row r="50" spans="1:19" ht="14.25" customHeight="1">
      <c r="A50" s="170"/>
      <c r="B50" s="186" t="s">
        <v>228</v>
      </c>
      <c r="C50" s="186"/>
      <c r="D50" s="186"/>
      <c r="E50" s="186"/>
      <c r="F50" s="197"/>
      <c r="G50" s="187"/>
      <c r="H50" s="187">
        <f>+'PRODUKSI 1'!K11</f>
        <v>0</v>
      </c>
      <c r="I50" s="188"/>
      <c r="J50" s="187"/>
      <c r="K50" s="170"/>
      <c r="L50" s="186" t="s">
        <v>228</v>
      </c>
      <c r="M50" s="186"/>
      <c r="N50" s="186"/>
      <c r="O50" s="186"/>
      <c r="P50" s="197"/>
      <c r="Q50" s="187"/>
      <c r="R50" s="187">
        <f>+'PRODUKSI 1'!K12</f>
        <v>0</v>
      </c>
      <c r="S50" s="188"/>
    </row>
    <row r="51" spans="1:19" ht="14.25" customHeight="1">
      <c r="A51" s="170"/>
      <c r="B51" s="186" t="s">
        <v>224</v>
      </c>
      <c r="C51" s="186"/>
      <c r="D51" s="186"/>
      <c r="E51" s="186"/>
      <c r="F51" s="197"/>
      <c r="G51" s="187"/>
      <c r="H51" s="187">
        <f>+'PRODUKSI 1'!AA11</f>
        <v>448215.69090000005</v>
      </c>
      <c r="I51" s="188"/>
      <c r="J51" s="209"/>
      <c r="K51" s="170"/>
      <c r="L51" s="186" t="s">
        <v>224</v>
      </c>
      <c r="M51" s="186"/>
      <c r="N51" s="186"/>
      <c r="O51" s="186"/>
      <c r="P51" s="197"/>
      <c r="Q51" s="187"/>
      <c r="R51" s="187">
        <f>+'PRODUKSI 1'!AA12</f>
        <v>448215.69090000005</v>
      </c>
      <c r="S51" s="188"/>
    </row>
    <row r="52" spans="1:19" ht="14.25" customHeight="1">
      <c r="A52" s="170"/>
      <c r="B52" s="186" t="s">
        <v>195</v>
      </c>
      <c r="C52" s="186"/>
      <c r="D52" s="187"/>
      <c r="E52" s="186"/>
      <c r="F52" s="197"/>
      <c r="G52" s="187"/>
      <c r="H52" s="187">
        <f>+'PRODUKSI 1'!S11</f>
        <v>96000</v>
      </c>
      <c r="I52" s="188"/>
      <c r="J52" s="187"/>
      <c r="K52" s="170"/>
      <c r="L52" s="186" t="s">
        <v>195</v>
      </c>
      <c r="M52" s="186"/>
      <c r="N52" s="187"/>
      <c r="O52" s="186"/>
      <c r="P52" s="197"/>
      <c r="Q52" s="187"/>
      <c r="R52" s="187">
        <f>+'PRODUKSI 1'!S12</f>
        <v>92000</v>
      </c>
      <c r="S52" s="188"/>
    </row>
    <row r="53" spans="1:19">
      <c r="A53" s="170"/>
      <c r="B53" s="220" t="s">
        <v>233</v>
      </c>
      <c r="C53" s="186"/>
      <c r="D53" s="187"/>
      <c r="E53" s="186"/>
      <c r="F53" s="197"/>
      <c r="G53" s="187"/>
      <c r="H53" s="187"/>
      <c r="I53" s="188"/>
      <c r="J53" s="209"/>
      <c r="K53" s="170"/>
      <c r="L53" s="220" t="s">
        <v>233</v>
      </c>
      <c r="M53" s="186"/>
      <c r="N53" s="187"/>
      <c r="O53" s="186"/>
      <c r="P53" s="197"/>
      <c r="Q53" s="187"/>
      <c r="R53" s="187"/>
      <c r="S53" s="188"/>
    </row>
    <row r="54" spans="1:19">
      <c r="A54" s="170"/>
      <c r="B54" s="186" t="s">
        <v>206</v>
      </c>
      <c r="C54" s="186"/>
      <c r="D54" s="212">
        <f>'[2]G-STAFF'!CH37</f>
        <v>0</v>
      </c>
      <c r="E54" s="186" t="s">
        <v>207</v>
      </c>
      <c r="F54" s="197" t="s">
        <v>205</v>
      </c>
      <c r="G54" s="187">
        <v>25223</v>
      </c>
      <c r="H54" s="187">
        <f>G54*D54</f>
        <v>0</v>
      </c>
      <c r="I54" s="188"/>
      <c r="J54" s="187"/>
      <c r="K54" s="170"/>
      <c r="L54" s="186" t="s">
        <v>206</v>
      </c>
      <c r="M54" s="186"/>
      <c r="N54" s="212">
        <f>'[2]G-STAFF'!CH38</f>
        <v>0</v>
      </c>
      <c r="O54" s="186" t="s">
        <v>207</v>
      </c>
      <c r="P54" s="197" t="s">
        <v>205</v>
      </c>
      <c r="Q54" s="187">
        <v>25223</v>
      </c>
      <c r="R54" s="187">
        <f>Q54*N54</f>
        <v>0</v>
      </c>
      <c r="S54" s="188"/>
    </row>
    <row r="55" spans="1:19" ht="15.75" thickBot="1">
      <c r="A55" s="170"/>
      <c r="B55" s="190" t="s">
        <v>208</v>
      </c>
      <c r="C55" s="190"/>
      <c r="D55" s="213">
        <f>'[2]G-STAFF'!CG37</f>
        <v>0</v>
      </c>
      <c r="E55" s="190" t="s">
        <v>207</v>
      </c>
      <c r="F55" s="228" t="s">
        <v>205</v>
      </c>
      <c r="G55" s="192">
        <f>G54</f>
        <v>25223</v>
      </c>
      <c r="H55" s="192">
        <f>G55*D55</f>
        <v>0</v>
      </c>
      <c r="I55" s="188"/>
      <c r="J55" s="187"/>
      <c r="K55" s="170"/>
      <c r="L55" s="190" t="s">
        <v>208</v>
      </c>
      <c r="M55" s="190"/>
      <c r="N55" s="213">
        <v>10</v>
      </c>
      <c r="O55" s="190" t="s">
        <v>207</v>
      </c>
      <c r="P55" s="228" t="s">
        <v>205</v>
      </c>
      <c r="Q55" s="192">
        <f>Q54</f>
        <v>25223</v>
      </c>
      <c r="R55" s="192">
        <f>Q55*N55</f>
        <v>252230</v>
      </c>
      <c r="S55" s="188"/>
    </row>
    <row r="56" spans="1:19" ht="15.75" thickBot="1">
      <c r="A56" s="170"/>
      <c r="B56" s="190" t="s">
        <v>219</v>
      </c>
      <c r="C56" s="190"/>
      <c r="D56" s="213">
        <f>'[2]G-STAFF'!CI37</f>
        <v>0</v>
      </c>
      <c r="E56" s="190"/>
      <c r="F56" s="228"/>
      <c r="G56" s="192"/>
      <c r="H56" s="192">
        <f>SUM(H47:H55)</f>
        <v>5139070.6908999998</v>
      </c>
      <c r="I56" s="188"/>
      <c r="J56" s="187"/>
      <c r="K56" s="170"/>
      <c r="L56" s="190" t="s">
        <v>219</v>
      </c>
      <c r="M56" s="190"/>
      <c r="N56" s="213">
        <f>'[2]G-STAFF'!CI38</f>
        <v>0</v>
      </c>
      <c r="O56" s="190"/>
      <c r="P56" s="228"/>
      <c r="Q56" s="192"/>
      <c r="R56" s="192">
        <f>SUM(R47:R55)</f>
        <v>5387300.6908999998</v>
      </c>
      <c r="S56" s="188"/>
    </row>
    <row r="57" spans="1:19">
      <c r="A57" s="170"/>
      <c r="B57" s="196" t="s">
        <v>113</v>
      </c>
      <c r="C57" s="186"/>
      <c r="D57" s="186"/>
      <c r="E57" s="186"/>
      <c r="F57" s="197"/>
      <c r="G57" s="187"/>
      <c r="H57" s="187"/>
      <c r="I57" s="188"/>
      <c r="J57" s="209"/>
      <c r="K57" s="170"/>
      <c r="L57" s="196" t="s">
        <v>113</v>
      </c>
      <c r="M57" s="186"/>
      <c r="N57" s="186"/>
      <c r="O57" s="186"/>
      <c r="P57" s="197"/>
      <c r="Q57" s="187"/>
      <c r="R57" s="187"/>
      <c r="S57" s="188"/>
    </row>
    <row r="58" spans="1:19" ht="14.25" customHeight="1">
      <c r="A58" s="170"/>
      <c r="B58" s="186" t="s">
        <v>209</v>
      </c>
      <c r="C58" s="186"/>
      <c r="D58" s="197"/>
      <c r="E58" s="186"/>
      <c r="F58" s="197"/>
      <c r="G58" s="198" t="str">
        <f>+'PRODUKSI 1'!D11</f>
        <v>K1</v>
      </c>
      <c r="H58" s="187">
        <f>+'PRODUKSI 1'!AH11</f>
        <v>0</v>
      </c>
      <c r="I58" s="188"/>
      <c r="J58" s="209"/>
      <c r="K58" s="170"/>
      <c r="L58" s="186" t="s">
        <v>209</v>
      </c>
      <c r="M58" s="186"/>
      <c r="N58" s="198"/>
      <c r="O58" s="186"/>
      <c r="P58" s="197"/>
      <c r="Q58" s="198" t="str">
        <f>+'PRODUKSI 1'!D12</f>
        <v>K3</v>
      </c>
      <c r="R58" s="187">
        <f>+'PRODUKSI 1'!AH12</f>
        <v>0</v>
      </c>
      <c r="S58" s="188"/>
    </row>
    <row r="59" spans="1:19" ht="14.25" customHeight="1">
      <c r="A59" s="170"/>
      <c r="B59" s="186" t="s">
        <v>225</v>
      </c>
      <c r="C59" s="186"/>
      <c r="D59" s="197"/>
      <c r="E59" s="186"/>
      <c r="F59" s="197"/>
      <c r="G59" s="198"/>
      <c r="H59" s="187">
        <f>+'PRODUKSI 1'!AE11+'PRODUKSI 1'!AF11</f>
        <v>48772.11</v>
      </c>
      <c r="I59" s="188"/>
      <c r="J59" s="209"/>
      <c r="K59" s="170"/>
      <c r="L59" s="186" t="s">
        <v>225</v>
      </c>
      <c r="M59" s="186"/>
      <c r="N59" s="198"/>
      <c r="O59" s="186"/>
      <c r="P59" s="197"/>
      <c r="Q59" s="198"/>
      <c r="R59" s="187">
        <f>+'PRODUKSI 1'!AE12+'PRODUKSI 1'!AF12</f>
        <v>48772.11</v>
      </c>
      <c r="S59" s="188"/>
    </row>
    <row r="60" spans="1:19" ht="14.25" customHeight="1">
      <c r="A60" s="170"/>
      <c r="B60" s="186" t="s">
        <v>226</v>
      </c>
      <c r="C60" s="186"/>
      <c r="D60" s="197"/>
      <c r="E60" s="186"/>
      <c r="F60" s="197"/>
      <c r="G60" s="198"/>
      <c r="H60" s="187">
        <f>+'PRODUKSI 1'!AC11+'PRODUKSI 1'!AD11</f>
        <v>146316.33000000002</v>
      </c>
      <c r="I60" s="188"/>
      <c r="J60" s="209"/>
      <c r="K60" s="170"/>
      <c r="L60" s="186" t="s">
        <v>226</v>
      </c>
      <c r="M60" s="186"/>
      <c r="N60" s="198"/>
      <c r="O60" s="186"/>
      <c r="P60" s="197"/>
      <c r="Q60" s="198"/>
      <c r="R60" s="187">
        <f>+'PRODUKSI 1'!AC12+'PRODUKSI 1'!AD12</f>
        <v>146316.33000000002</v>
      </c>
      <c r="S60" s="188"/>
    </row>
    <row r="61" spans="1:19" ht="14.25" customHeight="1">
      <c r="A61" s="170"/>
      <c r="B61" s="186" t="s">
        <v>103</v>
      </c>
      <c r="C61" s="186"/>
      <c r="D61" s="186"/>
      <c r="E61" s="186"/>
      <c r="F61" s="197"/>
      <c r="G61" s="187"/>
      <c r="H61" s="187">
        <f>+H51</f>
        <v>448215.69090000005</v>
      </c>
      <c r="I61" s="188"/>
      <c r="J61" s="209"/>
      <c r="K61" s="170"/>
      <c r="L61" s="186" t="s">
        <v>103</v>
      </c>
      <c r="M61" s="186"/>
      <c r="N61" s="186"/>
      <c r="O61" s="186"/>
      <c r="P61" s="197"/>
      <c r="Q61" s="187"/>
      <c r="R61" s="187">
        <f>+R51</f>
        <v>448215.69090000005</v>
      </c>
      <c r="S61" s="188"/>
    </row>
    <row r="62" spans="1:19" ht="14.25" customHeight="1" thickBot="1">
      <c r="A62" s="170"/>
      <c r="B62" s="199" t="s">
        <v>211</v>
      </c>
      <c r="C62" s="190"/>
      <c r="D62" s="190"/>
      <c r="E62" s="190"/>
      <c r="F62" s="228"/>
      <c r="G62" s="192"/>
      <c r="H62" s="192">
        <f>SUM(H58:H61)</f>
        <v>643304.13089999999</v>
      </c>
      <c r="I62" s="188"/>
      <c r="J62" s="209"/>
      <c r="K62" s="170"/>
      <c r="L62" s="199" t="s">
        <v>211</v>
      </c>
      <c r="M62" s="190"/>
      <c r="N62" s="190"/>
      <c r="O62" s="190"/>
      <c r="P62" s="228"/>
      <c r="Q62" s="192"/>
      <c r="R62" s="192">
        <f>SUM(R58:R61)</f>
        <v>643304.13089999999</v>
      </c>
      <c r="S62" s="188"/>
    </row>
    <row r="63" spans="1:19" ht="15.75" thickBot="1">
      <c r="A63" s="170"/>
      <c r="B63" s="193" t="s">
        <v>220</v>
      </c>
      <c r="C63" s="193"/>
      <c r="D63" s="193"/>
      <c r="E63" s="193"/>
      <c r="F63" s="229"/>
      <c r="G63" s="195"/>
      <c r="H63" s="195">
        <f>SUM(H56-H62)</f>
        <v>4495766.5599999996</v>
      </c>
      <c r="I63" s="188"/>
      <c r="J63" s="209"/>
      <c r="K63" s="170"/>
      <c r="L63" s="193" t="s">
        <v>220</v>
      </c>
      <c r="M63" s="193"/>
      <c r="N63" s="193"/>
      <c r="O63" s="193"/>
      <c r="P63" s="229"/>
      <c r="Q63" s="195"/>
      <c r="R63" s="195">
        <f>SUM(R56-R62)</f>
        <v>4743996.5599999996</v>
      </c>
      <c r="S63" s="188"/>
    </row>
    <row r="64" spans="1:19">
      <c r="A64" s="170"/>
      <c r="B64" s="186" t="s">
        <v>230</v>
      </c>
      <c r="C64" s="186"/>
      <c r="D64" s="186"/>
      <c r="E64" s="186"/>
      <c r="F64" s="197"/>
      <c r="G64" s="187"/>
      <c r="H64" s="187">
        <f>'[2]Urutan Nm'!H70</f>
        <v>10000</v>
      </c>
      <c r="I64" s="188"/>
      <c r="J64" s="209"/>
      <c r="K64" s="170"/>
      <c r="L64" s="186" t="s">
        <v>231</v>
      </c>
      <c r="M64" s="186"/>
      <c r="N64" s="186"/>
      <c r="O64" s="186"/>
      <c r="P64" s="197"/>
      <c r="Q64" s="187"/>
      <c r="R64" s="187">
        <f>'[2]Urutan Nm'!H71</f>
        <v>10000</v>
      </c>
      <c r="S64" s="188"/>
    </row>
    <row r="65" spans="1:19" ht="10.5" customHeight="1" thickBot="1">
      <c r="A65" s="170"/>
      <c r="B65" s="199"/>
      <c r="C65" s="190"/>
      <c r="D65" s="190"/>
      <c r="E65" s="190"/>
      <c r="F65" s="228"/>
      <c r="G65" s="192"/>
      <c r="H65" s="192"/>
      <c r="I65" s="188"/>
      <c r="J65" s="187"/>
      <c r="K65" s="170"/>
      <c r="L65" s="199"/>
      <c r="M65" s="190"/>
      <c r="N65" s="190"/>
      <c r="O65" s="190"/>
      <c r="P65" s="228"/>
      <c r="Q65" s="192"/>
      <c r="R65" s="192"/>
      <c r="S65" s="188"/>
    </row>
    <row r="66" spans="1:19" ht="15.75" thickBot="1">
      <c r="A66" s="170"/>
      <c r="B66" s="200" t="s">
        <v>212</v>
      </c>
      <c r="C66" s="200"/>
      <c r="D66" s="200"/>
      <c r="E66" s="200"/>
      <c r="F66" s="230"/>
      <c r="G66" s="201"/>
      <c r="H66" s="201">
        <f>SUM(H63-H64)</f>
        <v>4485766.5599999996</v>
      </c>
      <c r="I66" s="188"/>
      <c r="J66" s="187"/>
      <c r="K66" s="170"/>
      <c r="L66" s="200" t="s">
        <v>212</v>
      </c>
      <c r="M66" s="200"/>
      <c r="N66" s="200"/>
      <c r="O66" s="200"/>
      <c r="P66" s="230"/>
      <c r="Q66" s="201"/>
      <c r="R66" s="201">
        <f>SUM(R63-R64)</f>
        <v>4733996.5599999996</v>
      </c>
      <c r="S66" s="188"/>
    </row>
    <row r="67" spans="1:19" ht="15.75" thickTop="1">
      <c r="A67" s="170"/>
      <c r="B67" s="202" t="s">
        <v>213</v>
      </c>
      <c r="C67" s="186"/>
      <c r="D67" s="186"/>
      <c r="E67" s="186"/>
      <c r="F67" s="197"/>
      <c r="G67" s="296" t="s">
        <v>214</v>
      </c>
      <c r="H67" s="296"/>
      <c r="I67" s="188"/>
      <c r="J67" s="187"/>
      <c r="K67" s="170"/>
      <c r="L67" s="202" t="s">
        <v>213</v>
      </c>
      <c r="M67" s="186"/>
      <c r="N67" s="186"/>
      <c r="O67" s="186"/>
      <c r="P67" s="197"/>
      <c r="Q67" s="296" t="s">
        <v>214</v>
      </c>
      <c r="R67" s="296"/>
      <c r="S67" s="188"/>
    </row>
    <row r="68" spans="1:19" ht="12.75" customHeight="1">
      <c r="A68" s="170"/>
      <c r="B68" s="186"/>
      <c r="C68" s="186"/>
      <c r="D68" s="186"/>
      <c r="E68" s="186"/>
      <c r="F68" s="197"/>
      <c r="G68" s="187"/>
      <c r="H68" s="187"/>
      <c r="I68" s="188"/>
      <c r="J68" s="187"/>
      <c r="K68" s="170"/>
      <c r="L68" s="186"/>
      <c r="M68" s="186"/>
      <c r="N68" s="186"/>
      <c r="O68" s="186"/>
      <c r="P68" s="197"/>
      <c r="Q68" s="187"/>
      <c r="R68" s="187"/>
      <c r="S68" s="188"/>
    </row>
    <row r="69" spans="1:19" ht="12.75" customHeight="1">
      <c r="A69" s="170"/>
      <c r="B69" s="186"/>
      <c r="C69" s="186"/>
      <c r="D69" s="186"/>
      <c r="E69" s="186"/>
      <c r="F69" s="197"/>
      <c r="G69" s="187"/>
      <c r="H69" s="187"/>
      <c r="I69" s="188"/>
      <c r="J69" s="187"/>
      <c r="K69" s="170"/>
      <c r="L69" s="186"/>
      <c r="M69" s="186"/>
      <c r="N69" s="186"/>
      <c r="O69" s="186"/>
      <c r="P69" s="197"/>
      <c r="Q69" s="187"/>
      <c r="R69" s="187"/>
      <c r="S69" s="188"/>
    </row>
    <row r="70" spans="1:19" ht="12.75" customHeight="1">
      <c r="A70" s="170"/>
      <c r="B70" s="203" t="s">
        <v>215</v>
      </c>
      <c r="C70" s="186"/>
      <c r="D70" s="186"/>
      <c r="E70" s="186"/>
      <c r="F70" s="197"/>
      <c r="G70" s="297" t="s">
        <v>216</v>
      </c>
      <c r="H70" s="297"/>
      <c r="I70" s="188"/>
      <c r="J70" s="187"/>
      <c r="K70" s="170"/>
      <c r="L70" s="203" t="s">
        <v>215</v>
      </c>
      <c r="M70" s="186"/>
      <c r="N70" s="186"/>
      <c r="O70" s="186"/>
      <c r="P70" s="197"/>
      <c r="Q70" s="297" t="s">
        <v>216</v>
      </c>
      <c r="R70" s="297"/>
      <c r="S70" s="188"/>
    </row>
    <row r="71" spans="1:19" ht="7.5" customHeight="1">
      <c r="A71" s="204"/>
      <c r="B71" s="205"/>
      <c r="C71" s="206"/>
      <c r="D71" s="206"/>
      <c r="E71" s="206"/>
      <c r="F71" s="231"/>
      <c r="G71" s="207"/>
      <c r="H71" s="205"/>
      <c r="I71" s="208"/>
      <c r="J71" s="187"/>
      <c r="K71" s="204"/>
      <c r="L71" s="205"/>
      <c r="M71" s="206"/>
      <c r="N71" s="206"/>
      <c r="O71" s="206"/>
      <c r="P71" s="231"/>
      <c r="Q71" s="207"/>
      <c r="R71" s="205"/>
      <c r="S71" s="208"/>
    </row>
    <row r="72" spans="1:19">
      <c r="A72" s="169"/>
      <c r="B72" s="186"/>
      <c r="C72" s="186"/>
      <c r="D72" s="186"/>
      <c r="E72" s="186"/>
      <c r="F72" s="197"/>
      <c r="G72" s="187"/>
      <c r="H72" s="186"/>
      <c r="I72" s="187"/>
      <c r="J72" s="187"/>
      <c r="K72" s="169"/>
      <c r="L72" s="186"/>
      <c r="M72" s="186"/>
      <c r="N72" s="186"/>
      <c r="O72" s="186"/>
      <c r="P72" s="197"/>
      <c r="Q72" s="187"/>
      <c r="R72" s="187"/>
      <c r="S72" s="187"/>
    </row>
    <row r="73" spans="1:19">
      <c r="A73" s="169"/>
      <c r="B73" s="186"/>
      <c r="C73" s="186"/>
      <c r="D73" s="186"/>
      <c r="E73" s="186"/>
      <c r="F73" s="197"/>
      <c r="G73" s="187"/>
      <c r="H73" s="186"/>
      <c r="I73" s="187"/>
      <c r="J73" s="187"/>
      <c r="K73" s="169"/>
      <c r="L73" s="186"/>
      <c r="M73" s="186"/>
      <c r="N73" s="186"/>
      <c r="O73" s="186"/>
      <c r="P73" s="197"/>
      <c r="Q73" s="187"/>
      <c r="R73" s="187"/>
      <c r="S73" s="187"/>
    </row>
    <row r="74" spans="1:19">
      <c r="A74" s="166"/>
      <c r="B74" s="167"/>
      <c r="C74" s="167"/>
      <c r="D74" s="167"/>
      <c r="E74" s="167"/>
      <c r="F74" s="223"/>
      <c r="G74" s="167"/>
      <c r="H74" s="167"/>
      <c r="I74" s="168"/>
      <c r="J74" s="169"/>
      <c r="K74" s="166"/>
      <c r="L74" s="167"/>
      <c r="M74" s="167"/>
      <c r="N74" s="167"/>
      <c r="O74" s="167"/>
      <c r="P74" s="223"/>
      <c r="Q74" s="167"/>
      <c r="R74" s="167"/>
      <c r="S74" s="168"/>
    </row>
    <row r="75" spans="1:19">
      <c r="A75" s="170"/>
      <c r="B75" s="169"/>
      <c r="C75" s="169"/>
      <c r="D75" s="169"/>
      <c r="E75" s="169"/>
      <c r="F75" s="224"/>
      <c r="G75" s="169"/>
      <c r="H75" s="169"/>
      <c r="I75" s="171"/>
      <c r="J75" s="169"/>
      <c r="K75" s="170"/>
      <c r="L75" s="169"/>
      <c r="M75" s="169"/>
      <c r="N75" s="169"/>
      <c r="O75" s="169"/>
      <c r="P75" s="224"/>
      <c r="Q75" s="169"/>
      <c r="R75" s="169"/>
      <c r="S75" s="171"/>
    </row>
    <row r="76" spans="1:19">
      <c r="A76" s="170"/>
      <c r="B76" s="169"/>
      <c r="C76" s="169"/>
      <c r="D76" s="169"/>
      <c r="E76" s="169"/>
      <c r="F76" s="224"/>
      <c r="G76" s="169"/>
      <c r="H76" s="169"/>
      <c r="I76" s="171"/>
      <c r="J76" s="169"/>
      <c r="K76" s="170"/>
      <c r="L76" s="169"/>
      <c r="M76" s="169"/>
      <c r="N76" s="169"/>
      <c r="O76" s="169"/>
      <c r="P76" s="224"/>
      <c r="Q76" s="169"/>
      <c r="R76" s="169"/>
      <c r="S76" s="171"/>
    </row>
    <row r="77" spans="1:19">
      <c r="A77" s="170"/>
      <c r="B77" s="294" t="s">
        <v>196</v>
      </c>
      <c r="C77" s="294"/>
      <c r="D77" s="294"/>
      <c r="E77" s="294"/>
      <c r="F77" s="294"/>
      <c r="G77" s="294"/>
      <c r="H77" s="294"/>
      <c r="I77" s="295"/>
      <c r="J77" s="169"/>
      <c r="K77" s="170"/>
      <c r="L77" s="294" t="s">
        <v>196</v>
      </c>
      <c r="M77" s="294"/>
      <c r="N77" s="294"/>
      <c r="O77" s="294"/>
      <c r="P77" s="294"/>
      <c r="Q77" s="294"/>
      <c r="R77" s="294"/>
      <c r="S77" s="295"/>
    </row>
    <row r="78" spans="1:19">
      <c r="A78" s="172"/>
      <c r="B78" s="173" t="s">
        <v>197</v>
      </c>
      <c r="C78" s="174" t="s">
        <v>198</v>
      </c>
      <c r="D78" s="211">
        <f>'[2]G-STAFF'!A39</f>
        <v>5</v>
      </c>
      <c r="E78" s="173"/>
      <c r="F78" s="225"/>
      <c r="G78" s="173"/>
      <c r="H78" s="173"/>
      <c r="I78" s="176"/>
      <c r="J78" s="173"/>
      <c r="K78" s="172"/>
      <c r="L78" s="173" t="s">
        <v>197</v>
      </c>
      <c r="M78" s="174" t="s">
        <v>198</v>
      </c>
      <c r="N78" s="211">
        <v>6</v>
      </c>
      <c r="O78" s="175"/>
      <c r="P78" s="225"/>
      <c r="Q78" s="173"/>
      <c r="R78" s="173"/>
      <c r="S78" s="176"/>
    </row>
    <row r="79" spans="1:19">
      <c r="A79" s="172"/>
      <c r="B79" s="173" t="s">
        <v>199</v>
      </c>
      <c r="C79" s="174" t="s">
        <v>198</v>
      </c>
      <c r="D79" s="177" t="str">
        <f>'[2]G-STAFF'!A3</f>
        <v>01 JANUARI  S/D  31 JANUARI  2025</v>
      </c>
      <c r="E79" s="173"/>
      <c r="F79" s="225"/>
      <c r="G79" s="173"/>
      <c r="H79" s="173"/>
      <c r="I79" s="176"/>
      <c r="J79" s="173"/>
      <c r="K79" s="172"/>
      <c r="L79" s="173" t="s">
        <v>199</v>
      </c>
      <c r="M79" s="174" t="s">
        <v>198</v>
      </c>
      <c r="N79" s="177" t="s">
        <v>229</v>
      </c>
      <c r="O79" s="179"/>
      <c r="P79" s="225"/>
      <c r="Q79" s="173"/>
      <c r="R79" s="173"/>
      <c r="S79" s="176"/>
    </row>
    <row r="80" spans="1:19">
      <c r="A80" s="172"/>
      <c r="B80" s="173" t="s">
        <v>200</v>
      </c>
      <c r="C80" s="174" t="s">
        <v>198</v>
      </c>
      <c r="D80" s="177" t="str">
        <f>+'PRODUKSI 1'!B13</f>
        <v>ADE ANSORI</v>
      </c>
      <c r="E80" s="173"/>
      <c r="F80" s="225"/>
      <c r="G80" s="173"/>
      <c r="H80" s="173"/>
      <c r="I80" s="176"/>
      <c r="J80" s="173"/>
      <c r="K80" s="172"/>
      <c r="L80" s="173" t="s">
        <v>200</v>
      </c>
      <c r="M80" s="174" t="s">
        <v>198</v>
      </c>
      <c r="N80" s="178" t="str">
        <f>+'PRODUKSI 1'!B14</f>
        <v>SOLEH</v>
      </c>
      <c r="O80" s="173"/>
      <c r="P80" s="225"/>
      <c r="Q80" s="173"/>
      <c r="R80" s="173"/>
      <c r="S80" s="176"/>
    </row>
    <row r="81" spans="1:19" ht="15.75" thickBot="1">
      <c r="A81" s="172"/>
      <c r="B81" s="173" t="s">
        <v>201</v>
      </c>
      <c r="C81" s="174" t="s">
        <v>198</v>
      </c>
      <c r="D81" s="177" t="str">
        <f>+'PRODUKSI 1'!C13</f>
        <v>DELIVERY</v>
      </c>
      <c r="E81" s="173"/>
      <c r="F81" s="225"/>
      <c r="G81" s="173"/>
      <c r="H81" s="173"/>
      <c r="I81" s="176"/>
      <c r="J81" s="173"/>
      <c r="K81" s="172"/>
      <c r="L81" s="173" t="s">
        <v>201</v>
      </c>
      <c r="M81" s="174" t="s">
        <v>198</v>
      </c>
      <c r="N81" s="178" t="str">
        <f>+'PRODUKSI 1'!C14</f>
        <v>OP. PARTISI</v>
      </c>
      <c r="O81" s="179"/>
      <c r="P81" s="225"/>
      <c r="Q81" s="173"/>
      <c r="R81" s="173"/>
      <c r="S81" s="176"/>
    </row>
    <row r="82" spans="1:19" ht="10.5" customHeight="1" thickTop="1">
      <c r="A82" s="170"/>
      <c r="B82" s="182"/>
      <c r="C82" s="182"/>
      <c r="D82" s="182"/>
      <c r="E82" s="182"/>
      <c r="F82" s="226"/>
      <c r="G82" s="182"/>
      <c r="H82" s="182"/>
      <c r="I82" s="183"/>
      <c r="J82" s="169"/>
      <c r="K82" s="170"/>
      <c r="L82" s="182"/>
      <c r="M82" s="182"/>
      <c r="N82" s="182"/>
      <c r="O82" s="182"/>
      <c r="P82" s="226"/>
      <c r="Q82" s="182"/>
      <c r="R82" s="182"/>
      <c r="S82" s="183"/>
    </row>
    <row r="83" spans="1:19">
      <c r="A83" s="170"/>
      <c r="B83" s="184" t="s">
        <v>202</v>
      </c>
      <c r="C83" s="185"/>
      <c r="D83" s="185"/>
      <c r="E83" s="185"/>
      <c r="F83" s="227"/>
      <c r="G83" s="185"/>
      <c r="H83" s="185"/>
      <c r="I83" s="183"/>
      <c r="J83" s="169"/>
      <c r="K83" s="170"/>
      <c r="L83" s="184" t="s">
        <v>202</v>
      </c>
      <c r="M83" s="184"/>
      <c r="N83" s="185"/>
      <c r="O83" s="185"/>
      <c r="P83" s="227"/>
      <c r="Q83" s="185"/>
      <c r="R83" s="185"/>
      <c r="S83" s="183"/>
    </row>
    <row r="84" spans="1:19" ht="14.25" customHeight="1">
      <c r="A84" s="170"/>
      <c r="B84" s="186" t="s">
        <v>111</v>
      </c>
      <c r="C84" s="186"/>
      <c r="D84" s="186"/>
      <c r="E84" s="186"/>
      <c r="F84" s="197"/>
      <c r="G84" s="187"/>
      <c r="H84" s="187">
        <f>+'PRODUKSI 1'!H13</f>
        <v>4594855</v>
      </c>
      <c r="I84" s="188"/>
      <c r="J84" s="187"/>
      <c r="K84" s="170"/>
      <c r="L84" s="186" t="s">
        <v>111</v>
      </c>
      <c r="M84" s="186"/>
      <c r="N84" s="186"/>
      <c r="O84" s="186"/>
      <c r="P84" s="197"/>
      <c r="Q84" s="187"/>
      <c r="R84" s="187">
        <f>+'PRODUKSI 1'!H14</f>
        <v>4594855</v>
      </c>
      <c r="S84" s="188"/>
    </row>
    <row r="85" spans="1:19" ht="14.25" customHeight="1">
      <c r="A85" s="170"/>
      <c r="B85" s="186" t="s">
        <v>203</v>
      </c>
      <c r="C85" s="186"/>
      <c r="D85" s="186"/>
      <c r="E85" s="186"/>
      <c r="F85" s="197"/>
      <c r="G85" s="187"/>
      <c r="H85" s="187">
        <f>+'PRODUKSI 1'!I13</f>
        <v>0</v>
      </c>
      <c r="I85" s="188"/>
      <c r="J85" s="187"/>
      <c r="K85" s="170"/>
      <c r="L85" s="186" t="s">
        <v>203</v>
      </c>
      <c r="M85" s="186"/>
      <c r="N85" s="186"/>
      <c r="O85" s="186"/>
      <c r="P85" s="197"/>
      <c r="Q85" s="187"/>
      <c r="R85" s="187">
        <f>+'PRODUKSI 1'!I14</f>
        <v>80000</v>
      </c>
      <c r="S85" s="188"/>
    </row>
    <row r="86" spans="1:19" ht="14.25" customHeight="1">
      <c r="A86" s="170"/>
      <c r="B86" s="186" t="s">
        <v>227</v>
      </c>
      <c r="C86" s="186"/>
      <c r="D86" s="186"/>
      <c r="E86" s="186"/>
      <c r="F86" s="197"/>
      <c r="G86" s="187"/>
      <c r="H86" s="187">
        <f>+'PRODUKSI 1'!J13</f>
        <v>0</v>
      </c>
      <c r="I86" s="188"/>
      <c r="J86" s="187"/>
      <c r="K86" s="170"/>
      <c r="L86" s="186" t="s">
        <v>227</v>
      </c>
      <c r="M86" s="186"/>
      <c r="N86" s="186"/>
      <c r="O86" s="186"/>
      <c r="P86" s="197"/>
      <c r="Q86" s="187"/>
      <c r="R86" s="187">
        <f>+'PRODUKSI 1'!J14</f>
        <v>80000</v>
      </c>
      <c r="S86" s="188"/>
    </row>
    <row r="87" spans="1:19" ht="14.25" customHeight="1">
      <c r="A87" s="170"/>
      <c r="B87" s="186" t="s">
        <v>228</v>
      </c>
      <c r="C87" s="186"/>
      <c r="D87" s="186"/>
      <c r="E87" s="186"/>
      <c r="F87" s="197"/>
      <c r="G87" s="187"/>
      <c r="H87" s="187">
        <f>+'PRODUKSI 1'!K13</f>
        <v>0</v>
      </c>
      <c r="I87" s="188"/>
      <c r="J87" s="187"/>
      <c r="K87" s="170"/>
      <c r="L87" s="186" t="s">
        <v>228</v>
      </c>
      <c r="M87" s="186"/>
      <c r="N87" s="186"/>
      <c r="O87" s="186"/>
      <c r="P87" s="197"/>
      <c r="Q87" s="187"/>
      <c r="R87" s="187">
        <f>+'PRODUKSI 1'!K14</f>
        <v>0</v>
      </c>
      <c r="S87" s="188"/>
    </row>
    <row r="88" spans="1:19" ht="14.25" customHeight="1">
      <c r="A88" s="170"/>
      <c r="B88" s="186" t="s">
        <v>224</v>
      </c>
      <c r="C88" s="186"/>
      <c r="D88" s="186"/>
      <c r="E88" s="186"/>
      <c r="F88" s="197"/>
      <c r="G88" s="187"/>
      <c r="H88" s="187">
        <f>+'PRODUKSI 1'!AA13</f>
        <v>448215.69090000005</v>
      </c>
      <c r="I88" s="188"/>
      <c r="J88" s="209"/>
      <c r="K88" s="170"/>
      <c r="L88" s="186" t="s">
        <v>224</v>
      </c>
      <c r="M88" s="186"/>
      <c r="N88" s="186"/>
      <c r="O88" s="186"/>
      <c r="P88" s="197"/>
      <c r="Q88" s="187"/>
      <c r="R88" s="187">
        <f>+'PRODUKSI 1'!AA14</f>
        <v>448215.69090000005</v>
      </c>
      <c r="S88" s="188"/>
    </row>
    <row r="89" spans="1:19" ht="14.25" customHeight="1">
      <c r="A89" s="170"/>
      <c r="B89" s="186" t="s">
        <v>195</v>
      </c>
      <c r="C89" s="186"/>
      <c r="D89" s="187"/>
      <c r="E89" s="186"/>
      <c r="F89" s="197"/>
      <c r="G89" s="187"/>
      <c r="H89" s="187">
        <f>+'PRODUKSI 1'!S13</f>
        <v>72000</v>
      </c>
      <c r="I89" s="188"/>
      <c r="J89" s="187"/>
      <c r="K89" s="170"/>
      <c r="L89" s="186" t="s">
        <v>195</v>
      </c>
      <c r="M89" s="186"/>
      <c r="N89" s="187"/>
      <c r="O89" s="186"/>
      <c r="P89" s="197"/>
      <c r="Q89" s="187"/>
      <c r="R89" s="187">
        <f>+'PRODUKSI 1'!S14</f>
        <v>52000</v>
      </c>
      <c r="S89" s="188"/>
    </row>
    <row r="90" spans="1:19" ht="14.25" customHeight="1">
      <c r="A90" s="170"/>
      <c r="B90" s="220" t="s">
        <v>233</v>
      </c>
      <c r="C90" s="186"/>
      <c r="D90" s="187"/>
      <c r="E90" s="186"/>
      <c r="F90" s="197"/>
      <c r="G90" s="187"/>
      <c r="H90" s="187"/>
      <c r="I90" s="188"/>
      <c r="J90" s="209"/>
      <c r="K90" s="170"/>
      <c r="L90" s="220" t="s">
        <v>233</v>
      </c>
      <c r="M90" s="186"/>
      <c r="N90" s="187"/>
      <c r="O90" s="186"/>
      <c r="P90" s="197"/>
      <c r="Q90" s="187"/>
      <c r="R90" s="187"/>
      <c r="S90" s="188"/>
    </row>
    <row r="91" spans="1:19" ht="14.25" customHeight="1">
      <c r="A91" s="170"/>
      <c r="B91" s="186" t="s">
        <v>206</v>
      </c>
      <c r="C91" s="186"/>
      <c r="D91" s="212">
        <f>'[2]G-STAFF'!CH39</f>
        <v>0</v>
      </c>
      <c r="E91" s="186" t="s">
        <v>207</v>
      </c>
      <c r="F91" s="197" t="s">
        <v>205</v>
      </c>
      <c r="G91" s="187">
        <v>25223</v>
      </c>
      <c r="H91" s="187">
        <f>G91*D91</f>
        <v>0</v>
      </c>
      <c r="I91" s="188"/>
      <c r="J91" s="187"/>
      <c r="K91" s="170"/>
      <c r="L91" s="186" t="s">
        <v>206</v>
      </c>
      <c r="M91" s="186"/>
      <c r="N91" s="212">
        <v>0</v>
      </c>
      <c r="O91" s="186" t="s">
        <v>207</v>
      </c>
      <c r="P91" s="197" t="s">
        <v>205</v>
      </c>
      <c r="Q91" s="187">
        <v>25223</v>
      </c>
      <c r="R91" s="187">
        <f>Q91*N91</f>
        <v>0</v>
      </c>
      <c r="S91" s="188"/>
    </row>
    <row r="92" spans="1:19" ht="14.25" customHeight="1" thickBot="1">
      <c r="A92" s="170"/>
      <c r="B92" s="190" t="s">
        <v>208</v>
      </c>
      <c r="C92" s="190"/>
      <c r="D92" s="213">
        <v>37.5</v>
      </c>
      <c r="E92" s="190" t="s">
        <v>207</v>
      </c>
      <c r="F92" s="228" t="s">
        <v>205</v>
      </c>
      <c r="G92" s="192">
        <f>G91</f>
        <v>25223</v>
      </c>
      <c r="H92" s="192">
        <f>G92*D92</f>
        <v>945862.5</v>
      </c>
      <c r="I92" s="188"/>
      <c r="J92" s="187"/>
      <c r="K92" s="170"/>
      <c r="L92" s="190" t="s">
        <v>208</v>
      </c>
      <c r="M92" s="190"/>
      <c r="N92" s="213">
        <v>0</v>
      </c>
      <c r="O92" s="190" t="s">
        <v>207</v>
      </c>
      <c r="P92" s="228" t="s">
        <v>205</v>
      </c>
      <c r="Q92" s="192">
        <f>Q91</f>
        <v>25223</v>
      </c>
      <c r="R92" s="192">
        <v>0</v>
      </c>
      <c r="S92" s="188"/>
    </row>
    <row r="93" spans="1:19" ht="15.75" thickBot="1">
      <c r="A93" s="170"/>
      <c r="B93" s="190" t="s">
        <v>219</v>
      </c>
      <c r="C93" s="190"/>
      <c r="D93" s="213">
        <f>'[2]G-STAFF'!CI39</f>
        <v>0</v>
      </c>
      <c r="E93" s="190"/>
      <c r="F93" s="228"/>
      <c r="G93" s="192"/>
      <c r="H93" s="192">
        <f>SUM(H84:H92)</f>
        <v>6060933.1908999998</v>
      </c>
      <c r="I93" s="188"/>
      <c r="J93" s="187"/>
      <c r="K93" s="170"/>
      <c r="L93" s="190" t="s">
        <v>219</v>
      </c>
      <c r="M93" s="190"/>
      <c r="N93" s="213">
        <f>SUM(N91:N92)</f>
        <v>0</v>
      </c>
      <c r="O93" s="190"/>
      <c r="P93" s="228"/>
      <c r="Q93" s="192"/>
      <c r="R93" s="192">
        <f>SUM(R84:R92)</f>
        <v>5255070.6908999998</v>
      </c>
      <c r="S93" s="188"/>
    </row>
    <row r="94" spans="1:19">
      <c r="A94" s="170"/>
      <c r="B94" s="196" t="s">
        <v>113</v>
      </c>
      <c r="C94" s="186"/>
      <c r="D94" s="186"/>
      <c r="E94" s="186"/>
      <c r="F94" s="197"/>
      <c r="G94" s="187"/>
      <c r="H94" s="187"/>
      <c r="I94" s="188"/>
      <c r="J94" s="209"/>
      <c r="K94" s="170"/>
      <c r="L94" s="196" t="s">
        <v>113</v>
      </c>
      <c r="M94" s="186"/>
      <c r="N94" s="186"/>
      <c r="O94" s="186"/>
      <c r="P94" s="197"/>
      <c r="Q94" s="187"/>
      <c r="R94" s="187"/>
      <c r="S94" s="188"/>
    </row>
    <row r="95" spans="1:19" ht="14.25" customHeight="1">
      <c r="A95" s="170"/>
      <c r="B95" s="186" t="s">
        <v>209</v>
      </c>
      <c r="C95" s="186"/>
      <c r="D95" s="197"/>
      <c r="E95" s="186"/>
      <c r="F95" s="197"/>
      <c r="G95" s="198" t="str">
        <f>'[2]G-STAFF'!C39</f>
        <v>K1</v>
      </c>
      <c r="H95" s="187">
        <f>+'PRODUKSI 1'!AH13</f>
        <v>0</v>
      </c>
      <c r="I95" s="188"/>
      <c r="J95" s="209"/>
      <c r="K95" s="170"/>
      <c r="L95" s="186" t="s">
        <v>209</v>
      </c>
      <c r="M95" s="186"/>
      <c r="N95" s="198"/>
      <c r="O95" s="186"/>
      <c r="P95" s="197"/>
      <c r="Q95" s="198" t="str">
        <f>+'PRODUKSI 1'!D14</f>
        <v>K2</v>
      </c>
      <c r="R95" s="187">
        <f>+'PRODUKSI 1'!AH14</f>
        <v>0</v>
      </c>
      <c r="S95" s="188"/>
    </row>
    <row r="96" spans="1:19" ht="14.25" customHeight="1">
      <c r="A96" s="170"/>
      <c r="B96" s="186" t="s">
        <v>225</v>
      </c>
      <c r="C96" s="186"/>
      <c r="D96" s="197"/>
      <c r="E96" s="186"/>
      <c r="F96" s="197"/>
      <c r="G96" s="198"/>
      <c r="H96" s="187">
        <f>+'PRODUKSI 1'!AE13+'PRODUKSI 1'!AF13</f>
        <v>48772.11</v>
      </c>
      <c r="I96" s="188"/>
      <c r="J96" s="209"/>
      <c r="K96" s="170"/>
      <c r="L96" s="186" t="s">
        <v>225</v>
      </c>
      <c r="M96" s="186"/>
      <c r="N96" s="198"/>
      <c r="O96" s="186"/>
      <c r="P96" s="197"/>
      <c r="Q96" s="187"/>
      <c r="R96" s="187">
        <f>+'PRODUKSI 1'!AE14+'PRODUKSI 1'!AF14</f>
        <v>48772.11</v>
      </c>
      <c r="S96" s="188"/>
    </row>
    <row r="97" spans="1:19" ht="14.25" customHeight="1">
      <c r="A97" s="170"/>
      <c r="B97" s="186" t="s">
        <v>226</v>
      </c>
      <c r="C97" s="186"/>
      <c r="D97" s="197"/>
      <c r="E97" s="186"/>
      <c r="F97" s="197"/>
      <c r="G97" s="198"/>
      <c r="H97" s="187">
        <f>+'PRODUKSI 1'!AC13+'PRODUKSI 1'!AD13</f>
        <v>146316.33000000002</v>
      </c>
      <c r="I97" s="188"/>
      <c r="J97" s="209"/>
      <c r="K97" s="170"/>
      <c r="L97" s="186" t="s">
        <v>226</v>
      </c>
      <c r="M97" s="186"/>
      <c r="N97" s="198"/>
      <c r="O97" s="186"/>
      <c r="P97" s="197"/>
      <c r="Q97" s="187"/>
      <c r="R97" s="187">
        <f>+'PRODUKSI 1'!AC14+'PRODUKSI 1'!AD14</f>
        <v>146316.33000000002</v>
      </c>
      <c r="S97" s="188"/>
    </row>
    <row r="98" spans="1:19" ht="14.25" customHeight="1">
      <c r="A98" s="170"/>
      <c r="B98" s="186" t="s">
        <v>103</v>
      </c>
      <c r="C98" s="186"/>
      <c r="D98" s="186"/>
      <c r="E98" s="186"/>
      <c r="F98" s="197"/>
      <c r="G98" s="187"/>
      <c r="H98" s="187">
        <f>+H88</f>
        <v>448215.69090000005</v>
      </c>
      <c r="I98" s="188"/>
      <c r="J98" s="209"/>
      <c r="K98" s="170"/>
      <c r="L98" s="186" t="s">
        <v>103</v>
      </c>
      <c r="M98" s="186"/>
      <c r="N98" s="186"/>
      <c r="O98" s="186"/>
      <c r="P98" s="197"/>
      <c r="Q98" s="187"/>
      <c r="R98" s="187">
        <f>+R88</f>
        <v>448215.69090000005</v>
      </c>
      <c r="S98" s="188"/>
    </row>
    <row r="99" spans="1:19" ht="14.25" customHeight="1" thickBot="1">
      <c r="A99" s="170"/>
      <c r="B99" s="190" t="s">
        <v>211</v>
      </c>
      <c r="C99" s="190"/>
      <c r="D99" s="190"/>
      <c r="E99" s="190"/>
      <c r="F99" s="228"/>
      <c r="G99" s="192"/>
      <c r="H99" s="192">
        <f>SUM(H95:H98)</f>
        <v>643304.13089999999</v>
      </c>
      <c r="I99" s="188"/>
      <c r="J99" s="209"/>
      <c r="K99" s="170"/>
      <c r="L99" s="190" t="s">
        <v>211</v>
      </c>
      <c r="M99" s="190"/>
      <c r="N99" s="190"/>
      <c r="O99" s="190"/>
      <c r="P99" s="228"/>
      <c r="Q99" s="192"/>
      <c r="R99" s="192">
        <f>SUM(R95:R98)</f>
        <v>643304.13089999999</v>
      </c>
      <c r="S99" s="188"/>
    </row>
    <row r="100" spans="1:19" ht="15.75" thickBot="1">
      <c r="A100" s="170"/>
      <c r="B100" s="193" t="s">
        <v>220</v>
      </c>
      <c r="C100" s="193"/>
      <c r="D100" s="193"/>
      <c r="E100" s="193"/>
      <c r="F100" s="229"/>
      <c r="G100" s="195"/>
      <c r="H100" s="195">
        <f>SUM(H93-H99)</f>
        <v>5417629.0599999996</v>
      </c>
      <c r="I100" s="188"/>
      <c r="J100" s="209"/>
      <c r="K100" s="170"/>
      <c r="L100" s="193" t="s">
        <v>220</v>
      </c>
      <c r="M100" s="193"/>
      <c r="N100" s="193"/>
      <c r="O100" s="193"/>
      <c r="P100" s="229"/>
      <c r="Q100" s="195"/>
      <c r="R100" s="195">
        <f>SUM(R93-R99)</f>
        <v>4611766.5599999996</v>
      </c>
      <c r="S100" s="188"/>
    </row>
    <row r="101" spans="1:19">
      <c r="A101" s="170"/>
      <c r="B101" s="186" t="s">
        <v>221</v>
      </c>
      <c r="C101" s="186"/>
      <c r="D101" s="186"/>
      <c r="E101" s="186"/>
      <c r="F101" s="197"/>
      <c r="G101" s="187"/>
      <c r="H101" s="187">
        <f>'[2]Urutan Nm'!H72</f>
        <v>10000</v>
      </c>
      <c r="I101" s="188"/>
      <c r="J101" s="209"/>
      <c r="K101" s="170"/>
      <c r="L101" s="186" t="s">
        <v>230</v>
      </c>
      <c r="M101" s="186"/>
      <c r="N101" s="186"/>
      <c r="O101" s="186"/>
      <c r="P101" s="197"/>
      <c r="Q101" s="187"/>
      <c r="R101" s="187">
        <v>10000</v>
      </c>
      <c r="S101" s="188"/>
    </row>
    <row r="102" spans="1:19" ht="10.5" customHeight="1" thickBot="1">
      <c r="A102" s="170"/>
      <c r="B102" s="199"/>
      <c r="C102" s="190"/>
      <c r="D102" s="190"/>
      <c r="E102" s="190"/>
      <c r="F102" s="228"/>
      <c r="G102" s="192"/>
      <c r="H102" s="192"/>
      <c r="I102" s="188"/>
      <c r="J102" s="187"/>
      <c r="K102" s="170"/>
      <c r="L102" s="199"/>
      <c r="M102" s="190"/>
      <c r="N102" s="190"/>
      <c r="O102" s="190"/>
      <c r="P102" s="228"/>
      <c r="Q102" s="192"/>
      <c r="R102" s="192"/>
      <c r="S102" s="188"/>
    </row>
    <row r="103" spans="1:19" ht="15.75" thickBot="1">
      <c r="A103" s="170"/>
      <c r="B103" s="200" t="s">
        <v>212</v>
      </c>
      <c r="C103" s="200"/>
      <c r="D103" s="200"/>
      <c r="E103" s="200"/>
      <c r="F103" s="230"/>
      <c r="G103" s="201"/>
      <c r="H103" s="201">
        <f>SUM(H100-H101)</f>
        <v>5407629.0599999996</v>
      </c>
      <c r="I103" s="188"/>
      <c r="J103" s="187"/>
      <c r="K103" s="170"/>
      <c r="L103" s="200" t="s">
        <v>212</v>
      </c>
      <c r="M103" s="200"/>
      <c r="N103" s="200"/>
      <c r="O103" s="200"/>
      <c r="P103" s="230"/>
      <c r="Q103" s="201"/>
      <c r="R103" s="201">
        <f>SUM(R100-R101)</f>
        <v>4601766.5599999996</v>
      </c>
      <c r="S103" s="188"/>
    </row>
    <row r="104" spans="1:19" ht="15.75" thickTop="1">
      <c r="A104" s="170"/>
      <c r="B104" s="202" t="s">
        <v>213</v>
      </c>
      <c r="C104" s="186"/>
      <c r="D104" s="186"/>
      <c r="E104" s="186"/>
      <c r="F104" s="197"/>
      <c r="G104" s="296" t="s">
        <v>214</v>
      </c>
      <c r="H104" s="296"/>
      <c r="I104" s="188"/>
      <c r="J104" s="187"/>
      <c r="K104" s="170"/>
      <c r="L104" s="202" t="s">
        <v>213</v>
      </c>
      <c r="M104" s="186"/>
      <c r="N104" s="186"/>
      <c r="O104" s="186"/>
      <c r="P104" s="197"/>
      <c r="Q104" s="296" t="s">
        <v>214</v>
      </c>
      <c r="R104" s="296"/>
      <c r="S104" s="188"/>
    </row>
    <row r="105" spans="1:19" ht="12.75" customHeight="1">
      <c r="A105" s="170"/>
      <c r="B105" s="186"/>
      <c r="C105" s="186"/>
      <c r="D105" s="186"/>
      <c r="E105" s="186"/>
      <c r="F105" s="197"/>
      <c r="G105" s="187"/>
      <c r="H105" s="187"/>
      <c r="I105" s="188"/>
      <c r="J105" s="187"/>
      <c r="K105" s="170"/>
      <c r="L105" s="186"/>
      <c r="M105" s="186"/>
      <c r="N105" s="186"/>
      <c r="O105" s="186"/>
      <c r="P105" s="197"/>
      <c r="Q105" s="187"/>
      <c r="R105" s="187"/>
      <c r="S105" s="188"/>
    </row>
    <row r="106" spans="1:19" ht="12.75" customHeight="1">
      <c r="A106" s="170"/>
      <c r="B106" s="186"/>
      <c r="C106" s="186"/>
      <c r="D106" s="186"/>
      <c r="E106" s="186"/>
      <c r="F106" s="197"/>
      <c r="G106" s="187"/>
      <c r="H106" s="187"/>
      <c r="I106" s="188"/>
      <c r="J106" s="187"/>
      <c r="K106" s="170"/>
      <c r="L106" s="186"/>
      <c r="M106" s="186"/>
      <c r="N106" s="186"/>
      <c r="O106" s="186"/>
      <c r="P106" s="197"/>
      <c r="Q106" s="187"/>
      <c r="R106" s="187"/>
      <c r="S106" s="188"/>
    </row>
    <row r="107" spans="1:19" ht="12.75" customHeight="1">
      <c r="A107" s="170"/>
      <c r="B107" s="203" t="s">
        <v>215</v>
      </c>
      <c r="C107" s="186"/>
      <c r="D107" s="186"/>
      <c r="E107" s="186"/>
      <c r="F107" s="197"/>
      <c r="G107" s="297" t="s">
        <v>216</v>
      </c>
      <c r="H107" s="297"/>
      <c r="I107" s="188"/>
      <c r="J107" s="187"/>
      <c r="K107" s="170"/>
      <c r="L107" s="203" t="s">
        <v>215</v>
      </c>
      <c r="M107" s="186"/>
      <c r="N107" s="186"/>
      <c r="O107" s="186"/>
      <c r="P107" s="197"/>
      <c r="Q107" s="297" t="s">
        <v>216</v>
      </c>
      <c r="R107" s="297"/>
      <c r="S107" s="188"/>
    </row>
    <row r="108" spans="1:19" ht="7.5" customHeight="1">
      <c r="A108" s="204"/>
      <c r="B108" s="205"/>
      <c r="C108" s="206"/>
      <c r="D108" s="206"/>
      <c r="E108" s="206"/>
      <c r="F108" s="231"/>
      <c r="G108" s="207"/>
      <c r="H108" s="205"/>
      <c r="I108" s="208"/>
      <c r="J108" s="187"/>
      <c r="K108" s="204"/>
      <c r="L108" s="205"/>
      <c r="M108" s="206"/>
      <c r="N108" s="206"/>
      <c r="O108" s="206"/>
      <c r="P108" s="231"/>
      <c r="Q108" s="207"/>
      <c r="R108" s="205"/>
      <c r="S108" s="208"/>
    </row>
    <row r="109" spans="1:19">
      <c r="A109" s="167"/>
      <c r="B109" s="214"/>
      <c r="C109" s="215"/>
      <c r="D109" s="215"/>
      <c r="E109" s="215"/>
      <c r="F109" s="232"/>
      <c r="G109" s="216"/>
      <c r="H109" s="214"/>
      <c r="I109" s="216"/>
      <c r="J109" s="187"/>
      <c r="K109" s="167"/>
      <c r="L109" s="214"/>
      <c r="M109" s="215"/>
      <c r="N109" s="215"/>
      <c r="O109" s="215"/>
      <c r="P109" s="232"/>
      <c r="Q109" s="216"/>
      <c r="R109" s="214"/>
      <c r="S109" s="216"/>
    </row>
    <row r="110" spans="1:19">
      <c r="A110" s="166"/>
      <c r="B110" s="167"/>
      <c r="C110" s="167"/>
      <c r="D110" s="167"/>
      <c r="E110" s="167"/>
      <c r="F110" s="223"/>
      <c r="G110" s="167"/>
      <c r="H110" s="167"/>
      <c r="I110" s="168"/>
      <c r="J110" s="169"/>
      <c r="K110" s="166"/>
      <c r="L110" s="167"/>
      <c r="M110" s="167"/>
      <c r="N110" s="167"/>
      <c r="O110" s="167"/>
      <c r="P110" s="223"/>
      <c r="Q110" s="167"/>
      <c r="R110" s="167"/>
      <c r="S110" s="168"/>
    </row>
    <row r="111" spans="1:19">
      <c r="A111" s="170"/>
      <c r="B111" s="169"/>
      <c r="C111" s="169"/>
      <c r="D111" s="169"/>
      <c r="E111" s="169"/>
      <c r="F111" s="224"/>
      <c r="G111" s="169"/>
      <c r="H111" s="169"/>
      <c r="I111" s="171"/>
      <c r="J111" s="169"/>
      <c r="K111" s="170"/>
      <c r="L111" s="169"/>
      <c r="M111" s="169"/>
      <c r="N111" s="169"/>
      <c r="O111" s="169"/>
      <c r="P111" s="224"/>
      <c r="Q111" s="169"/>
      <c r="R111" s="169"/>
      <c r="S111" s="171"/>
    </row>
    <row r="112" spans="1:19">
      <c r="A112" s="170"/>
      <c r="B112" s="169"/>
      <c r="C112" s="169"/>
      <c r="D112" s="169"/>
      <c r="E112" s="169"/>
      <c r="F112" s="224"/>
      <c r="G112" s="169"/>
      <c r="H112" s="169"/>
      <c r="I112" s="171"/>
      <c r="J112" s="169"/>
      <c r="K112" s="170"/>
      <c r="L112" s="169"/>
      <c r="M112" s="169"/>
      <c r="N112" s="169"/>
      <c r="O112" s="169"/>
      <c r="P112" s="224"/>
      <c r="Q112" s="169"/>
      <c r="R112" s="169"/>
      <c r="S112" s="171"/>
    </row>
    <row r="113" spans="1:19">
      <c r="A113" s="170"/>
      <c r="B113" s="294" t="s">
        <v>196</v>
      </c>
      <c r="C113" s="294"/>
      <c r="D113" s="294"/>
      <c r="E113" s="294"/>
      <c r="F113" s="294"/>
      <c r="G113" s="294"/>
      <c r="H113" s="294"/>
      <c r="I113" s="295"/>
      <c r="J113" s="169"/>
      <c r="K113" s="170"/>
      <c r="L113" s="294" t="s">
        <v>196</v>
      </c>
      <c r="M113" s="294"/>
      <c r="N113" s="294"/>
      <c r="O113" s="294"/>
      <c r="P113" s="294"/>
      <c r="Q113" s="294"/>
      <c r="R113" s="294"/>
      <c r="S113" s="295"/>
    </row>
    <row r="114" spans="1:19">
      <c r="A114" s="172"/>
      <c r="B114" s="173" t="s">
        <v>197</v>
      </c>
      <c r="C114" s="174" t="s">
        <v>198</v>
      </c>
      <c r="D114" s="211">
        <v>7</v>
      </c>
      <c r="E114" s="173"/>
      <c r="F114" s="225"/>
      <c r="G114" s="173"/>
      <c r="H114" s="173"/>
      <c r="I114" s="176"/>
      <c r="J114" s="173"/>
      <c r="K114" s="172"/>
      <c r="L114" s="173" t="s">
        <v>197</v>
      </c>
      <c r="M114" s="174" t="s">
        <v>198</v>
      </c>
      <c r="N114" s="211">
        <v>8</v>
      </c>
      <c r="O114" s="175"/>
      <c r="P114" s="225"/>
      <c r="Q114" s="173"/>
      <c r="R114" s="173"/>
      <c r="S114" s="176"/>
    </row>
    <row r="115" spans="1:19">
      <c r="A115" s="172"/>
      <c r="B115" s="173" t="s">
        <v>199</v>
      </c>
      <c r="C115" s="174" t="s">
        <v>198</v>
      </c>
      <c r="D115" s="177" t="str">
        <f>'[2]G-STAFF'!A3</f>
        <v>01 JANUARI  S/D  31 JANUARI  2025</v>
      </c>
      <c r="E115" s="173"/>
      <c r="F115" s="225"/>
      <c r="G115" s="173"/>
      <c r="H115" s="173"/>
      <c r="I115" s="176"/>
      <c r="J115" s="173"/>
      <c r="K115" s="172"/>
      <c r="L115" s="173" t="s">
        <v>199</v>
      </c>
      <c r="M115" s="174" t="s">
        <v>198</v>
      </c>
      <c r="N115" s="177" t="str">
        <f>'[2]G-STAFF'!A3</f>
        <v>01 JANUARI  S/D  31 JANUARI  2025</v>
      </c>
      <c r="O115" s="179"/>
      <c r="P115" s="225"/>
      <c r="Q115" s="173"/>
      <c r="R115" s="173"/>
      <c r="S115" s="176"/>
    </row>
    <row r="116" spans="1:19">
      <c r="A116" s="172"/>
      <c r="B116" s="173" t="s">
        <v>200</v>
      </c>
      <c r="C116" s="174" t="s">
        <v>198</v>
      </c>
      <c r="D116" s="177" t="str">
        <f>+'PRODUKSI 1'!B15</f>
        <v>AMIR RUDIN</v>
      </c>
      <c r="E116" s="173"/>
      <c r="F116" s="225"/>
      <c r="G116" s="173"/>
      <c r="H116" s="173"/>
      <c r="I116" s="176"/>
      <c r="J116" s="173"/>
      <c r="K116" s="172"/>
      <c r="L116" s="173" t="s">
        <v>200</v>
      </c>
      <c r="M116" s="174" t="s">
        <v>198</v>
      </c>
      <c r="N116" s="178" t="str">
        <f>+'PRODUKSI 1'!B16</f>
        <v>OCEN SAPUTRA</v>
      </c>
      <c r="O116" s="173"/>
      <c r="P116" s="225"/>
      <c r="Q116" s="173"/>
      <c r="R116" s="173"/>
      <c r="S116" s="176"/>
    </row>
    <row r="117" spans="1:19" ht="15.75" thickBot="1">
      <c r="A117" s="172"/>
      <c r="B117" s="173" t="s">
        <v>201</v>
      </c>
      <c r="C117" s="174" t="s">
        <v>198</v>
      </c>
      <c r="D117" s="177" t="str">
        <f>+'PRODUKSI 1'!C15</f>
        <v>OP. SLITER 4</v>
      </c>
      <c r="E117" s="173"/>
      <c r="F117" s="225"/>
      <c r="G117" s="173"/>
      <c r="H117" s="173"/>
      <c r="I117" s="176"/>
      <c r="J117" s="173"/>
      <c r="K117" s="172"/>
      <c r="L117" s="173" t="s">
        <v>201</v>
      </c>
      <c r="M117" s="174" t="s">
        <v>198</v>
      </c>
      <c r="N117" s="178" t="str">
        <f>+'PRODUKSI 1'!C16</f>
        <v>C. SERVICE</v>
      </c>
      <c r="O117" s="179"/>
      <c r="P117" s="225"/>
      <c r="Q117" s="173"/>
      <c r="R117" s="173"/>
      <c r="S117" s="176"/>
    </row>
    <row r="118" spans="1:19" ht="10.5" customHeight="1" thickTop="1">
      <c r="A118" s="170"/>
      <c r="B118" s="182"/>
      <c r="C118" s="182"/>
      <c r="D118" s="182"/>
      <c r="E118" s="182"/>
      <c r="F118" s="226"/>
      <c r="G118" s="182"/>
      <c r="H118" s="182"/>
      <c r="I118" s="183"/>
      <c r="J118" s="169"/>
      <c r="K118" s="170"/>
      <c r="L118" s="182"/>
      <c r="M118" s="182"/>
      <c r="N118" s="182"/>
      <c r="O118" s="182"/>
      <c r="P118" s="226"/>
      <c r="Q118" s="182"/>
      <c r="R118" s="182"/>
      <c r="S118" s="183"/>
    </row>
    <row r="119" spans="1:19">
      <c r="A119" s="170"/>
      <c r="B119" s="184" t="s">
        <v>202</v>
      </c>
      <c r="C119" s="185"/>
      <c r="D119" s="185"/>
      <c r="E119" s="185"/>
      <c r="F119" s="227"/>
      <c r="G119" s="185"/>
      <c r="H119" s="185"/>
      <c r="I119" s="183"/>
      <c r="J119" s="169"/>
      <c r="K119" s="170"/>
      <c r="L119" s="184" t="s">
        <v>202</v>
      </c>
      <c r="M119" s="184"/>
      <c r="N119" s="185"/>
      <c r="O119" s="185"/>
      <c r="P119" s="227"/>
      <c r="Q119" s="185"/>
      <c r="R119" s="185"/>
      <c r="S119" s="183"/>
    </row>
    <row r="120" spans="1:19" ht="14.25" customHeight="1">
      <c r="A120" s="170"/>
      <c r="B120" s="186" t="s">
        <v>111</v>
      </c>
      <c r="C120" s="186"/>
      <c r="D120" s="187"/>
      <c r="E120" s="186"/>
      <c r="F120" s="197"/>
      <c r="G120" s="187"/>
      <c r="H120" s="187">
        <f>+'PRODUKSI 1'!H15</f>
        <v>4594855</v>
      </c>
      <c r="I120" s="188"/>
      <c r="J120" s="187"/>
      <c r="K120" s="170"/>
      <c r="L120" s="186" t="s">
        <v>111</v>
      </c>
      <c r="M120" s="186"/>
      <c r="N120" s="187"/>
      <c r="O120" s="186"/>
      <c r="P120" s="197"/>
      <c r="Q120" s="187"/>
      <c r="R120" s="187">
        <f>+'PRODUKSI 1'!H16</f>
        <v>4594855</v>
      </c>
      <c r="S120" s="188"/>
    </row>
    <row r="121" spans="1:19" ht="14.25" customHeight="1">
      <c r="A121" s="170"/>
      <c r="B121" s="186" t="s">
        <v>203</v>
      </c>
      <c r="C121" s="186"/>
      <c r="D121" s="186"/>
      <c r="E121" s="186"/>
      <c r="F121" s="197"/>
      <c r="G121" s="187"/>
      <c r="H121" s="187">
        <f>+'PRODUKSI 1'!I15</f>
        <v>0</v>
      </c>
      <c r="I121" s="188"/>
      <c r="J121" s="209"/>
      <c r="K121" s="170"/>
      <c r="L121" s="186" t="s">
        <v>203</v>
      </c>
      <c r="M121" s="186"/>
      <c r="N121" s="186"/>
      <c r="O121" s="186"/>
      <c r="P121" s="197"/>
      <c r="Q121" s="187"/>
      <c r="R121" s="187">
        <f>+'PRODUKSI 1'!I16</f>
        <v>0</v>
      </c>
      <c r="S121" s="188"/>
    </row>
    <row r="122" spans="1:19" ht="14.25" customHeight="1">
      <c r="A122" s="170"/>
      <c r="B122" s="186" t="s">
        <v>227</v>
      </c>
      <c r="C122" s="186"/>
      <c r="D122" s="186"/>
      <c r="E122" s="186"/>
      <c r="F122" s="197"/>
      <c r="G122" s="187"/>
      <c r="H122" s="187">
        <f>+'PRODUKSI 1'!J15</f>
        <v>0</v>
      </c>
      <c r="I122" s="188"/>
      <c r="J122" s="209"/>
      <c r="K122" s="170"/>
      <c r="L122" s="186" t="s">
        <v>227</v>
      </c>
      <c r="M122" s="186"/>
      <c r="N122" s="186"/>
      <c r="O122" s="186"/>
      <c r="P122" s="197"/>
      <c r="Q122" s="187"/>
      <c r="R122" s="187">
        <f>+'PRODUKSI 1'!J16</f>
        <v>100000</v>
      </c>
      <c r="S122" s="188"/>
    </row>
    <row r="123" spans="1:19" ht="14.25" customHeight="1">
      <c r="A123" s="170"/>
      <c r="B123" s="186" t="s">
        <v>228</v>
      </c>
      <c r="C123" s="186"/>
      <c r="D123" s="186"/>
      <c r="E123" s="186"/>
      <c r="F123" s="197"/>
      <c r="G123" s="187"/>
      <c r="H123" s="187">
        <f>+'PRODUKSI 1'!K15</f>
        <v>0</v>
      </c>
      <c r="I123" s="188"/>
      <c r="J123" s="209"/>
      <c r="K123" s="170"/>
      <c r="L123" s="186" t="s">
        <v>228</v>
      </c>
      <c r="M123" s="186"/>
      <c r="N123" s="186"/>
      <c r="O123" s="186"/>
      <c r="P123" s="197"/>
      <c r="Q123" s="187"/>
      <c r="R123" s="187">
        <f>+'PRODUKSI 1'!K16</f>
        <v>0</v>
      </c>
      <c r="S123" s="188"/>
    </row>
    <row r="124" spans="1:19" ht="14.25" customHeight="1">
      <c r="A124" s="170"/>
      <c r="B124" s="186" t="s">
        <v>224</v>
      </c>
      <c r="C124" s="186"/>
      <c r="D124" s="186"/>
      <c r="E124" s="186"/>
      <c r="F124" s="197"/>
      <c r="G124" s="187"/>
      <c r="H124" s="187">
        <f>+'PRODUKSI 1'!AA15</f>
        <v>448215.69090000005</v>
      </c>
      <c r="I124" s="188"/>
      <c r="J124" s="209"/>
      <c r="K124" s="170"/>
      <c r="L124" s="186" t="s">
        <v>224</v>
      </c>
      <c r="M124" s="186"/>
      <c r="N124" s="186"/>
      <c r="O124" s="186"/>
      <c r="P124" s="197"/>
      <c r="Q124" s="187"/>
      <c r="R124" s="187">
        <f>+GENERAL!T16+5</f>
        <v>448220.69090000005</v>
      </c>
      <c r="S124" s="188"/>
    </row>
    <row r="125" spans="1:19" ht="14.25" customHeight="1">
      <c r="A125" s="170"/>
      <c r="B125" s="186" t="s">
        <v>195</v>
      </c>
      <c r="C125" s="186"/>
      <c r="D125" s="187"/>
      <c r="E125" s="186"/>
      <c r="F125" s="197"/>
      <c r="G125" s="187"/>
      <c r="H125" s="187">
        <f>+'PRODUKSI 1'!S15</f>
        <v>52000</v>
      </c>
      <c r="I125" s="188"/>
      <c r="J125" s="187"/>
      <c r="K125" s="170"/>
      <c r="L125" s="186" t="s">
        <v>195</v>
      </c>
      <c r="M125" s="186"/>
      <c r="N125" s="187"/>
      <c r="O125" s="186"/>
      <c r="P125" s="197"/>
      <c r="Q125" s="187"/>
      <c r="R125" s="187">
        <f>+'PRODUKSI 1'!S16</f>
        <v>100000</v>
      </c>
      <c r="S125" s="188"/>
    </row>
    <row r="126" spans="1:19" ht="14.25" customHeight="1">
      <c r="A126" s="170"/>
      <c r="B126" s="220" t="s">
        <v>233</v>
      </c>
      <c r="C126" s="186"/>
      <c r="D126" s="187"/>
      <c r="E126" s="186"/>
      <c r="F126" s="197"/>
      <c r="G126" s="187"/>
      <c r="H126" s="187"/>
      <c r="I126" s="188"/>
      <c r="J126" s="209"/>
      <c r="K126" s="170"/>
      <c r="L126" s="220" t="s">
        <v>233</v>
      </c>
      <c r="M126" s="186"/>
      <c r="N126" s="187"/>
      <c r="O126" s="186"/>
      <c r="P126" s="197"/>
      <c r="Q126" s="187"/>
      <c r="R126" s="187"/>
      <c r="S126" s="188"/>
    </row>
    <row r="127" spans="1:19" ht="14.25" customHeight="1">
      <c r="A127" s="170"/>
      <c r="B127" s="186" t="s">
        <v>206</v>
      </c>
      <c r="C127" s="186"/>
      <c r="D127" s="212">
        <v>0</v>
      </c>
      <c r="E127" s="186" t="s">
        <v>207</v>
      </c>
      <c r="F127" s="197" t="s">
        <v>205</v>
      </c>
      <c r="G127" s="187">
        <f>'[2]G-STAFF'!M40</f>
        <v>25222.890173410404</v>
      </c>
      <c r="H127" s="187">
        <v>0</v>
      </c>
      <c r="I127" s="188"/>
      <c r="J127" s="187"/>
      <c r="K127" s="170"/>
      <c r="L127" s="186" t="s">
        <v>206</v>
      </c>
      <c r="M127" s="186"/>
      <c r="N127" s="212">
        <v>0</v>
      </c>
      <c r="O127" s="186" t="s">
        <v>207</v>
      </c>
      <c r="P127" s="197" t="s">
        <v>205</v>
      </c>
      <c r="Q127" s="187">
        <f>'[2]G-STAFF'!M41</f>
        <v>25222.890173410404</v>
      </c>
      <c r="R127" s="187">
        <f>Q127*N127+6</f>
        <v>6</v>
      </c>
      <c r="S127" s="188"/>
    </row>
    <row r="128" spans="1:19" ht="14.25" customHeight="1" thickBot="1">
      <c r="A128" s="170"/>
      <c r="B128" s="190" t="s">
        <v>208</v>
      </c>
      <c r="C128" s="190"/>
      <c r="D128" s="213">
        <v>10</v>
      </c>
      <c r="E128" s="190" t="s">
        <v>207</v>
      </c>
      <c r="F128" s="228" t="s">
        <v>205</v>
      </c>
      <c r="G128" s="192">
        <f>G127</f>
        <v>25222.890173410404</v>
      </c>
      <c r="H128" s="192">
        <f>G128*D128</f>
        <v>252228.90173410403</v>
      </c>
      <c r="I128" s="188"/>
      <c r="J128" s="187"/>
      <c r="K128" s="170"/>
      <c r="L128" s="190" t="s">
        <v>208</v>
      </c>
      <c r="M128" s="190"/>
      <c r="N128" s="213">
        <v>10</v>
      </c>
      <c r="O128" s="190" t="s">
        <v>207</v>
      </c>
      <c r="P128" s="228" t="s">
        <v>205</v>
      </c>
      <c r="Q128" s="192">
        <f>Q127</f>
        <v>25222.890173410404</v>
      </c>
      <c r="R128" s="192">
        <f>Q128*N128</f>
        <v>252228.90173410403</v>
      </c>
      <c r="S128" s="188"/>
    </row>
    <row r="129" spans="1:21" ht="15.75" thickBot="1">
      <c r="A129" s="170"/>
      <c r="B129" s="190" t="s">
        <v>219</v>
      </c>
      <c r="C129" s="190"/>
      <c r="D129" s="213">
        <f>SUM(D127:D128)</f>
        <v>10</v>
      </c>
      <c r="E129" s="190"/>
      <c r="F129" s="228"/>
      <c r="G129" s="192"/>
      <c r="H129" s="192">
        <f>SUM(H120:H128)</f>
        <v>5347299.5926341042</v>
      </c>
      <c r="I129" s="188"/>
      <c r="J129" s="187"/>
      <c r="K129" s="170"/>
      <c r="L129" s="190" t="s">
        <v>219</v>
      </c>
      <c r="M129" s="190"/>
      <c r="N129" s="213">
        <f>SUM(N127:N128)</f>
        <v>10</v>
      </c>
      <c r="O129" s="190"/>
      <c r="P129" s="228"/>
      <c r="Q129" s="192"/>
      <c r="R129" s="192">
        <f>SUM(R120:R128)</f>
        <v>5495310.5926341042</v>
      </c>
      <c r="S129" s="188"/>
    </row>
    <row r="130" spans="1:21">
      <c r="A130" s="170"/>
      <c r="B130" s="196" t="s">
        <v>113</v>
      </c>
      <c r="C130" s="186"/>
      <c r="D130" s="186"/>
      <c r="E130" s="186"/>
      <c r="F130" s="197"/>
      <c r="G130" s="187"/>
      <c r="H130" s="187"/>
      <c r="I130" s="188"/>
      <c r="J130" s="209"/>
      <c r="K130" s="170"/>
      <c r="L130" s="196" t="s">
        <v>113</v>
      </c>
      <c r="M130" s="186"/>
      <c r="N130" s="186"/>
      <c r="O130" s="186"/>
      <c r="P130" s="197"/>
      <c r="Q130" s="187"/>
      <c r="R130" s="187"/>
      <c r="S130" s="188"/>
    </row>
    <row r="131" spans="1:21" ht="14.25" customHeight="1">
      <c r="A131" s="170"/>
      <c r="B131" s="186" t="s">
        <v>209</v>
      </c>
      <c r="C131" s="186"/>
      <c r="D131" s="197"/>
      <c r="E131" s="186"/>
      <c r="F131" s="197"/>
      <c r="G131" s="198" t="str">
        <f>+'PRODUKSI 1'!D15</f>
        <v>K2</v>
      </c>
      <c r="H131" s="187">
        <f>+'PRODUKSI 1'!AH15</f>
        <v>0</v>
      </c>
      <c r="I131" s="188"/>
      <c r="J131" s="209"/>
      <c r="K131" s="170"/>
      <c r="L131" s="186" t="s">
        <v>209</v>
      </c>
      <c r="M131" s="186"/>
      <c r="N131" s="198"/>
      <c r="O131" s="186"/>
      <c r="P131" s="197"/>
      <c r="Q131" s="198" t="str">
        <f>+'PRODUKSI 1'!D16</f>
        <v>K1</v>
      </c>
      <c r="R131" s="187">
        <f>+'PRODUKSI 1'!AH16</f>
        <v>0</v>
      </c>
      <c r="S131" s="188"/>
    </row>
    <row r="132" spans="1:21" ht="14.25" customHeight="1">
      <c r="A132" s="170"/>
      <c r="B132" s="186" t="s">
        <v>225</v>
      </c>
      <c r="C132" s="186"/>
      <c r="D132" s="197"/>
      <c r="E132" s="186"/>
      <c r="F132" s="197"/>
      <c r="G132" s="198"/>
      <c r="H132" s="187">
        <f>+'PRODUKSI 1'!AE15+'PRODUKSI 1'!AF15</f>
        <v>97544.22</v>
      </c>
      <c r="I132" s="188"/>
      <c r="J132" s="209"/>
      <c r="K132" s="170"/>
      <c r="L132" s="186" t="s">
        <v>225</v>
      </c>
      <c r="M132" s="186"/>
      <c r="N132" s="198"/>
      <c r="O132" s="186"/>
      <c r="P132" s="197"/>
      <c r="Q132" s="198"/>
      <c r="R132" s="187">
        <f>+'PRODUKSI 1'!AE16+'PRODUKSI 1'!AF16</f>
        <v>48772.11</v>
      </c>
      <c r="S132" s="188"/>
    </row>
    <row r="133" spans="1:21" ht="14.25" customHeight="1">
      <c r="A133" s="170"/>
      <c r="B133" s="186" t="s">
        <v>226</v>
      </c>
      <c r="C133" s="186"/>
      <c r="D133" s="197"/>
      <c r="E133" s="186"/>
      <c r="F133" s="197"/>
      <c r="G133" s="198"/>
      <c r="H133" s="187">
        <f>+'PRODUKSI 1'!AC15+'PRODUKSI 1'!AD15</f>
        <v>146316.33000000002</v>
      </c>
      <c r="I133" s="188"/>
      <c r="J133" s="209"/>
      <c r="K133" s="170"/>
      <c r="L133" s="186" t="s">
        <v>226</v>
      </c>
      <c r="M133" s="186"/>
      <c r="N133" s="198"/>
      <c r="O133" s="186"/>
      <c r="P133" s="197"/>
      <c r="Q133" s="198"/>
      <c r="R133" s="187">
        <f>+'PRODUKSI 1'!AC16+'PRODUKSI 1'!AD16+4</f>
        <v>146320.33000000002</v>
      </c>
      <c r="S133" s="188"/>
    </row>
    <row r="134" spans="1:21" ht="14.25" customHeight="1">
      <c r="A134" s="170"/>
      <c r="B134" s="186" t="s">
        <v>103</v>
      </c>
      <c r="C134" s="186"/>
      <c r="D134" s="186"/>
      <c r="E134" s="186"/>
      <c r="F134" s="197"/>
      <c r="G134" s="187"/>
      <c r="H134" s="187">
        <f>+H124-1</f>
        <v>448214.69090000005</v>
      </c>
      <c r="I134" s="188"/>
      <c r="J134" s="209"/>
      <c r="K134" s="170"/>
      <c r="L134" s="186" t="s">
        <v>103</v>
      </c>
      <c r="M134" s="186"/>
      <c r="N134" s="186"/>
      <c r="O134" s="186"/>
      <c r="P134" s="197"/>
      <c r="Q134" s="187"/>
      <c r="R134" s="187">
        <f>+R124</f>
        <v>448220.69090000005</v>
      </c>
      <c r="S134" s="188"/>
    </row>
    <row r="135" spans="1:21" ht="14.25" customHeight="1" thickBot="1">
      <c r="A135" s="170"/>
      <c r="B135" s="190" t="s">
        <v>211</v>
      </c>
      <c r="C135" s="190"/>
      <c r="D135" s="190"/>
      <c r="E135" s="190"/>
      <c r="F135" s="228"/>
      <c r="G135" s="192"/>
      <c r="H135" s="192">
        <f>SUM(H131:H134)</f>
        <v>692075.24090000009</v>
      </c>
      <c r="I135" s="188"/>
      <c r="J135" s="209"/>
      <c r="K135" s="170"/>
      <c r="L135" s="190" t="s">
        <v>211</v>
      </c>
      <c r="M135" s="190"/>
      <c r="N135" s="190"/>
      <c r="O135" s="190"/>
      <c r="P135" s="228"/>
      <c r="Q135" s="192"/>
      <c r="R135" s="192">
        <f>SUM(R131:R134)</f>
        <v>643313.13089999999</v>
      </c>
      <c r="S135" s="188"/>
    </row>
    <row r="136" spans="1:21" ht="15.75" thickBot="1">
      <c r="A136" s="170"/>
      <c r="B136" s="193" t="s">
        <v>220</v>
      </c>
      <c r="C136" s="193"/>
      <c r="D136" s="193"/>
      <c r="E136" s="193"/>
      <c r="F136" s="229"/>
      <c r="G136" s="195"/>
      <c r="H136" s="195">
        <f>SUM(H129-H135)</f>
        <v>4655224.3517341036</v>
      </c>
      <c r="I136" s="188"/>
      <c r="J136" s="209"/>
      <c r="K136" s="170"/>
      <c r="L136" s="193" t="s">
        <v>220</v>
      </c>
      <c r="M136" s="193"/>
      <c r="N136" s="193"/>
      <c r="O136" s="193"/>
      <c r="P136" s="229"/>
      <c r="Q136" s="195"/>
      <c r="R136" s="195">
        <f>SUM(R129-R135)</f>
        <v>4851997.461734104</v>
      </c>
      <c r="S136" s="188"/>
      <c r="T136" s="218"/>
      <c r="U136" s="218"/>
    </row>
    <row r="137" spans="1:21">
      <c r="A137" s="170"/>
      <c r="B137" s="186" t="s">
        <v>231</v>
      </c>
      <c r="C137" s="186"/>
      <c r="D137" s="186"/>
      <c r="E137" s="186"/>
      <c r="F137" s="197"/>
      <c r="G137" s="187"/>
      <c r="H137" s="187">
        <f>'[2]Urutan Nm'!H73</f>
        <v>10000</v>
      </c>
      <c r="I137" s="188"/>
      <c r="J137" s="209"/>
      <c r="K137" s="170"/>
      <c r="L137" s="186" t="s">
        <v>221</v>
      </c>
      <c r="M137" s="186"/>
      <c r="N137" s="186"/>
      <c r="O137" s="186"/>
      <c r="P137" s="197"/>
      <c r="Q137" s="187"/>
      <c r="R137" s="187">
        <f>'[2]Urutan Nm'!H74</f>
        <v>10000</v>
      </c>
      <c r="S137" s="188"/>
      <c r="T137" s="218"/>
    </row>
    <row r="138" spans="1:21" ht="15.75" thickBot="1">
      <c r="A138" s="170"/>
      <c r="B138" s="199"/>
      <c r="C138" s="190"/>
      <c r="D138" s="190"/>
      <c r="E138" s="190"/>
      <c r="F138" s="228"/>
      <c r="G138" s="192"/>
      <c r="H138" s="192"/>
      <c r="I138" s="188"/>
      <c r="J138" s="187"/>
      <c r="K138" s="170"/>
      <c r="L138" s="199"/>
      <c r="M138" s="190"/>
      <c r="N138" s="190"/>
      <c r="O138" s="190"/>
      <c r="P138" s="228"/>
      <c r="Q138" s="192"/>
      <c r="R138" s="192"/>
      <c r="S138" s="188"/>
    </row>
    <row r="139" spans="1:21" ht="15.75" thickBot="1">
      <c r="A139" s="170"/>
      <c r="B139" s="200" t="s">
        <v>212</v>
      </c>
      <c r="C139" s="200"/>
      <c r="D139" s="200"/>
      <c r="E139" s="200"/>
      <c r="F139" s="230"/>
      <c r="G139" s="201"/>
      <c r="H139" s="201">
        <f>SUM(H136-H137)</f>
        <v>4645224.3517341036</v>
      </c>
      <c r="I139" s="188"/>
      <c r="J139" s="187"/>
      <c r="K139" s="170"/>
      <c r="L139" s="200" t="s">
        <v>212</v>
      </c>
      <c r="M139" s="200"/>
      <c r="N139" s="200"/>
      <c r="O139" s="200"/>
      <c r="P139" s="230"/>
      <c r="Q139" s="201"/>
      <c r="R139" s="201">
        <f>SUM(R136-R137)</f>
        <v>4841997.461734104</v>
      </c>
      <c r="S139" s="188"/>
      <c r="T139" s="218"/>
    </row>
    <row r="140" spans="1:21" ht="15.75" thickTop="1">
      <c r="A140" s="170"/>
      <c r="B140" s="202" t="s">
        <v>213</v>
      </c>
      <c r="C140" s="186"/>
      <c r="D140" s="186"/>
      <c r="E140" s="186"/>
      <c r="F140" s="197"/>
      <c r="G140" s="296" t="s">
        <v>214</v>
      </c>
      <c r="H140" s="296"/>
      <c r="I140" s="188"/>
      <c r="J140" s="187"/>
      <c r="K140" s="170"/>
      <c r="L140" s="202" t="s">
        <v>213</v>
      </c>
      <c r="M140" s="186"/>
      <c r="N140" s="186"/>
      <c r="O140" s="186"/>
      <c r="P140" s="197"/>
      <c r="Q140" s="296" t="s">
        <v>214</v>
      </c>
      <c r="R140" s="296"/>
      <c r="S140" s="188"/>
    </row>
    <row r="141" spans="1:21" ht="12.75" customHeight="1">
      <c r="A141" s="170"/>
      <c r="B141" s="186"/>
      <c r="C141" s="186"/>
      <c r="D141" s="186"/>
      <c r="E141" s="186"/>
      <c r="F141" s="197"/>
      <c r="G141" s="187"/>
      <c r="H141" s="187"/>
      <c r="I141" s="188"/>
      <c r="J141" s="187"/>
      <c r="K141" s="170"/>
      <c r="L141" s="186"/>
      <c r="M141" s="186"/>
      <c r="N141" s="186"/>
      <c r="O141" s="186"/>
      <c r="P141" s="197"/>
      <c r="Q141" s="187"/>
      <c r="R141" s="187"/>
      <c r="S141" s="188"/>
    </row>
    <row r="142" spans="1:21" ht="12.75" customHeight="1">
      <c r="A142" s="170"/>
      <c r="B142" s="186"/>
      <c r="C142" s="186"/>
      <c r="D142" s="186"/>
      <c r="E142" s="186"/>
      <c r="F142" s="197"/>
      <c r="G142" s="187"/>
      <c r="H142" s="187"/>
      <c r="I142" s="188"/>
      <c r="J142" s="187"/>
      <c r="K142" s="170"/>
      <c r="L142" s="186"/>
      <c r="M142" s="186"/>
      <c r="N142" s="186"/>
      <c r="O142" s="186"/>
      <c r="P142" s="197"/>
      <c r="Q142" s="187"/>
      <c r="R142" s="187"/>
      <c r="S142" s="188"/>
    </row>
    <row r="143" spans="1:21" ht="12.75" customHeight="1">
      <c r="A143" s="170"/>
      <c r="B143" s="203" t="s">
        <v>215</v>
      </c>
      <c r="C143" s="186"/>
      <c r="D143" s="186"/>
      <c r="E143" s="186"/>
      <c r="F143" s="197"/>
      <c r="G143" s="297" t="s">
        <v>216</v>
      </c>
      <c r="H143" s="297"/>
      <c r="I143" s="188"/>
      <c r="J143" s="187"/>
      <c r="K143" s="170"/>
      <c r="L143" s="203" t="s">
        <v>215</v>
      </c>
      <c r="M143" s="186"/>
      <c r="N143" s="186"/>
      <c r="O143" s="186"/>
      <c r="P143" s="197"/>
      <c r="Q143" s="297" t="s">
        <v>216</v>
      </c>
      <c r="R143" s="297"/>
      <c r="S143" s="188"/>
    </row>
    <row r="144" spans="1:21" ht="7.5" customHeight="1">
      <c r="A144" s="204"/>
      <c r="B144" s="205"/>
      <c r="C144" s="206"/>
      <c r="D144" s="206"/>
      <c r="E144" s="206"/>
      <c r="F144" s="231"/>
      <c r="G144" s="207"/>
      <c r="H144" s="205"/>
      <c r="I144" s="208"/>
      <c r="J144" s="187"/>
      <c r="K144" s="204"/>
      <c r="L144" s="205"/>
      <c r="M144" s="206"/>
      <c r="N144" s="206"/>
      <c r="O144" s="206"/>
      <c r="P144" s="231"/>
      <c r="Q144" s="207"/>
      <c r="R144" s="205"/>
      <c r="S144" s="208"/>
    </row>
    <row r="145" spans="1:19">
      <c r="A145" s="169"/>
      <c r="B145" s="186"/>
      <c r="C145" s="186"/>
      <c r="D145" s="186"/>
      <c r="E145" s="186"/>
      <c r="F145" s="197"/>
      <c r="G145" s="187"/>
      <c r="H145" s="186"/>
      <c r="I145" s="187"/>
      <c r="J145" s="187"/>
      <c r="K145" s="169"/>
      <c r="L145" s="186"/>
      <c r="M145" s="186"/>
      <c r="N145" s="186"/>
      <c r="O145" s="186"/>
      <c r="P145" s="197"/>
      <c r="Q145" s="187"/>
      <c r="R145" s="187"/>
      <c r="S145" s="187"/>
    </row>
    <row r="146" spans="1:19">
      <c r="A146" s="169"/>
      <c r="B146" s="186"/>
      <c r="C146" s="186"/>
      <c r="D146" s="186"/>
      <c r="E146" s="186"/>
      <c r="F146" s="197"/>
      <c r="G146" s="187"/>
      <c r="H146" s="186"/>
      <c r="I146" s="187"/>
      <c r="J146" s="187"/>
      <c r="K146" s="169"/>
      <c r="L146" s="186"/>
      <c r="M146" s="186"/>
      <c r="N146" s="186"/>
      <c r="O146" s="186"/>
      <c r="P146" s="197"/>
      <c r="Q146" s="187"/>
      <c r="R146" s="187"/>
      <c r="S146" s="187"/>
    </row>
    <row r="147" spans="1:19">
      <c r="A147" s="166"/>
      <c r="B147" s="167"/>
      <c r="C147" s="167"/>
      <c r="D147" s="167"/>
      <c r="E147" s="167"/>
      <c r="F147" s="223"/>
      <c r="G147" s="167"/>
      <c r="H147" s="167"/>
      <c r="I147" s="168"/>
      <c r="J147" s="169"/>
      <c r="K147" s="166"/>
      <c r="L147" s="167"/>
      <c r="M147" s="167"/>
      <c r="N147" s="167"/>
      <c r="O147" s="167"/>
      <c r="P147" s="223"/>
      <c r="Q147" s="167"/>
      <c r="R147" s="167"/>
      <c r="S147" s="168"/>
    </row>
    <row r="148" spans="1:19">
      <c r="A148" s="170"/>
      <c r="B148" s="169"/>
      <c r="C148" s="169"/>
      <c r="D148" s="169"/>
      <c r="E148" s="169"/>
      <c r="F148" s="224"/>
      <c r="G148" s="169"/>
      <c r="H148" s="169"/>
      <c r="I148" s="171"/>
      <c r="J148" s="169"/>
      <c r="K148" s="170"/>
      <c r="L148" s="169"/>
      <c r="M148" s="169"/>
      <c r="N148" s="169"/>
      <c r="O148" s="169"/>
      <c r="P148" s="224"/>
      <c r="Q148" s="169"/>
      <c r="R148" s="169"/>
      <c r="S148" s="171"/>
    </row>
    <row r="149" spans="1:19">
      <c r="A149" s="170"/>
      <c r="B149" s="169"/>
      <c r="C149" s="169"/>
      <c r="D149" s="169"/>
      <c r="E149" s="169"/>
      <c r="F149" s="224"/>
      <c r="G149" s="169"/>
      <c r="H149" s="169"/>
      <c r="I149" s="171"/>
      <c r="J149" s="169"/>
      <c r="K149" s="170"/>
      <c r="L149" s="169"/>
      <c r="M149" s="169"/>
      <c r="N149" s="169"/>
      <c r="O149" s="169"/>
      <c r="P149" s="224"/>
      <c r="Q149" s="169"/>
      <c r="R149" s="169"/>
      <c r="S149" s="171"/>
    </row>
    <row r="150" spans="1:19">
      <c r="A150" s="170"/>
      <c r="B150" s="294" t="s">
        <v>196</v>
      </c>
      <c r="C150" s="294"/>
      <c r="D150" s="294"/>
      <c r="E150" s="294"/>
      <c r="F150" s="294"/>
      <c r="G150" s="294"/>
      <c r="H150" s="294"/>
      <c r="I150" s="295"/>
      <c r="J150" s="169"/>
      <c r="K150" s="170"/>
      <c r="L150" s="294" t="s">
        <v>196</v>
      </c>
      <c r="M150" s="294"/>
      <c r="N150" s="294"/>
      <c r="O150" s="294"/>
      <c r="P150" s="294"/>
      <c r="Q150" s="294"/>
      <c r="R150" s="294"/>
      <c r="S150" s="295"/>
    </row>
    <row r="151" spans="1:19">
      <c r="A151" s="172"/>
      <c r="B151" s="173" t="s">
        <v>197</v>
      </c>
      <c r="C151" s="174" t="s">
        <v>198</v>
      </c>
      <c r="D151" s="211">
        <v>9</v>
      </c>
      <c r="E151" s="173"/>
      <c r="F151" s="225"/>
      <c r="G151" s="173"/>
      <c r="H151" s="173"/>
      <c r="I151" s="176"/>
      <c r="J151" s="173"/>
      <c r="K151" s="172"/>
      <c r="L151" s="173" t="s">
        <v>197</v>
      </c>
      <c r="M151" s="174" t="s">
        <v>198</v>
      </c>
      <c r="N151" s="211">
        <v>10</v>
      </c>
      <c r="O151" s="175"/>
      <c r="P151" s="225"/>
      <c r="Q151" s="173"/>
      <c r="R151" s="173"/>
      <c r="S151" s="176"/>
    </row>
    <row r="152" spans="1:19">
      <c r="A152" s="172"/>
      <c r="B152" s="173" t="s">
        <v>199</v>
      </c>
      <c r="C152" s="174" t="s">
        <v>198</v>
      </c>
      <c r="D152" s="177" t="str">
        <f>'[2]G-STAFF'!A3</f>
        <v>01 JANUARI  S/D  31 JANUARI  2025</v>
      </c>
      <c r="E152" s="173"/>
      <c r="F152" s="225"/>
      <c r="G152" s="173"/>
      <c r="H152" s="173"/>
      <c r="I152" s="176"/>
      <c r="J152" s="173"/>
      <c r="K152" s="172"/>
      <c r="L152" s="173" t="s">
        <v>199</v>
      </c>
      <c r="M152" s="174" t="s">
        <v>198</v>
      </c>
      <c r="N152" s="177" t="str">
        <f>'[2]G-STAFF'!A3</f>
        <v>01 JANUARI  S/D  31 JANUARI  2025</v>
      </c>
      <c r="O152" s="179"/>
      <c r="P152" s="225"/>
      <c r="Q152" s="173"/>
      <c r="R152" s="173"/>
      <c r="S152" s="176"/>
    </row>
    <row r="153" spans="1:19">
      <c r="A153" s="172"/>
      <c r="B153" s="173" t="s">
        <v>200</v>
      </c>
      <c r="C153" s="174" t="s">
        <v>198</v>
      </c>
      <c r="D153" s="177" t="str">
        <f>+'PRODUKSI 1'!B17</f>
        <v xml:space="preserve">RAMIN </v>
      </c>
      <c r="E153" s="173"/>
      <c r="F153" s="225"/>
      <c r="G153" s="173"/>
      <c r="H153" s="173"/>
      <c r="I153" s="176"/>
      <c r="J153" s="173"/>
      <c r="K153" s="172"/>
      <c r="L153" s="173" t="s">
        <v>200</v>
      </c>
      <c r="M153" s="174" t="s">
        <v>198</v>
      </c>
      <c r="N153" s="178" t="str">
        <f>+'PRODUKSI 1'!B18</f>
        <v>ACEP SAPUTRA</v>
      </c>
      <c r="O153" s="173"/>
      <c r="P153" s="225"/>
      <c r="Q153" s="173"/>
      <c r="R153" s="173"/>
      <c r="S153" s="176"/>
    </row>
    <row r="154" spans="1:19" ht="15.75" thickBot="1">
      <c r="A154" s="172"/>
      <c r="B154" s="173" t="s">
        <v>201</v>
      </c>
      <c r="C154" s="174" t="s">
        <v>198</v>
      </c>
      <c r="D154" s="177" t="str">
        <f>+'PRODUKSI 1'!C17</f>
        <v>DELIVERY</v>
      </c>
      <c r="E154" s="173"/>
      <c r="F154" s="225"/>
      <c r="G154" s="173"/>
      <c r="H154" s="173"/>
      <c r="I154" s="176"/>
      <c r="J154" s="173"/>
      <c r="K154" s="172"/>
      <c r="L154" s="173" t="s">
        <v>201</v>
      </c>
      <c r="M154" s="174" t="s">
        <v>198</v>
      </c>
      <c r="N154" s="178" t="str">
        <f>+'PRODUKSI 1'!C18</f>
        <v>QC SHEET</v>
      </c>
      <c r="O154" s="179"/>
      <c r="P154" s="225"/>
      <c r="Q154" s="173"/>
      <c r="R154" s="173"/>
      <c r="S154" s="176"/>
    </row>
    <row r="155" spans="1:19" ht="10.5" customHeight="1" thickTop="1">
      <c r="A155" s="170"/>
      <c r="B155" s="182"/>
      <c r="C155" s="182"/>
      <c r="D155" s="182"/>
      <c r="E155" s="182"/>
      <c r="F155" s="226"/>
      <c r="G155" s="182"/>
      <c r="H155" s="182"/>
      <c r="I155" s="183"/>
      <c r="J155" s="169"/>
      <c r="K155" s="170"/>
      <c r="L155" s="182"/>
      <c r="M155" s="182"/>
      <c r="N155" s="182"/>
      <c r="O155" s="182"/>
      <c r="P155" s="226"/>
      <c r="Q155" s="182"/>
      <c r="R155" s="182"/>
      <c r="S155" s="183"/>
    </row>
    <row r="156" spans="1:19">
      <c r="A156" s="170"/>
      <c r="B156" s="184" t="s">
        <v>202</v>
      </c>
      <c r="C156" s="185"/>
      <c r="D156" s="185"/>
      <c r="E156" s="185"/>
      <c r="F156" s="227"/>
      <c r="G156" s="185"/>
      <c r="H156" s="185"/>
      <c r="I156" s="183"/>
      <c r="J156" s="169"/>
      <c r="K156" s="170"/>
      <c r="L156" s="184" t="s">
        <v>202</v>
      </c>
      <c r="M156" s="184"/>
      <c r="N156" s="185"/>
      <c r="O156" s="185"/>
      <c r="P156" s="227"/>
      <c r="Q156" s="185"/>
      <c r="R156" s="185"/>
      <c r="S156" s="183"/>
    </row>
    <row r="157" spans="1:19" ht="14.25" customHeight="1">
      <c r="A157" s="170"/>
      <c r="B157" s="186" t="s">
        <v>111</v>
      </c>
      <c r="C157" s="186"/>
      <c r="D157" s="187"/>
      <c r="E157" s="186"/>
      <c r="F157" s="197"/>
      <c r="G157" s="187"/>
      <c r="H157" s="187">
        <f>+'PRODUKSI 1'!H17</f>
        <v>4594855</v>
      </c>
      <c r="I157" s="188"/>
      <c r="J157" s="187"/>
      <c r="K157" s="170"/>
      <c r="L157" s="186" t="s">
        <v>111</v>
      </c>
      <c r="M157" s="186"/>
      <c r="N157" s="187"/>
      <c r="O157" s="186"/>
      <c r="P157" s="197"/>
      <c r="Q157" s="187"/>
      <c r="R157" s="187">
        <f>+'PRODUKSI 1'!H18</f>
        <v>4594855</v>
      </c>
      <c r="S157" s="188"/>
    </row>
    <row r="158" spans="1:19" ht="14.25" customHeight="1">
      <c r="A158" s="170"/>
      <c r="B158" s="186" t="s">
        <v>203</v>
      </c>
      <c r="C158" s="186"/>
      <c r="D158" s="187"/>
      <c r="E158" s="186"/>
      <c r="F158" s="197"/>
      <c r="G158" s="187"/>
      <c r="H158" s="187">
        <f>+'PRODUKSI 1'!I17</f>
        <v>0</v>
      </c>
      <c r="I158" s="188"/>
      <c r="J158" s="187"/>
      <c r="K158" s="170"/>
      <c r="L158" s="186" t="s">
        <v>203</v>
      </c>
      <c r="M158" s="186"/>
      <c r="N158" s="187"/>
      <c r="O158" s="186"/>
      <c r="P158" s="197"/>
      <c r="Q158" s="187"/>
      <c r="R158" s="187">
        <f>+'PRODUKSI 1'!I18</f>
        <v>100000</v>
      </c>
      <c r="S158" s="188"/>
    </row>
    <row r="159" spans="1:19" ht="14.25" customHeight="1">
      <c r="A159" s="170"/>
      <c r="B159" s="186" t="s">
        <v>227</v>
      </c>
      <c r="C159" s="186"/>
      <c r="D159" s="187"/>
      <c r="E159" s="186"/>
      <c r="F159" s="197"/>
      <c r="G159" s="187"/>
      <c r="H159" s="187">
        <f>+'PRODUKSI 1'!J17</f>
        <v>0</v>
      </c>
      <c r="I159" s="188"/>
      <c r="J159" s="187"/>
      <c r="K159" s="170"/>
      <c r="L159" s="186" t="s">
        <v>227</v>
      </c>
      <c r="M159" s="186"/>
      <c r="N159" s="187"/>
      <c r="O159" s="186"/>
      <c r="P159" s="197"/>
      <c r="Q159" s="187"/>
      <c r="R159" s="187">
        <f>+'PRODUKSI 1'!J18</f>
        <v>100000</v>
      </c>
      <c r="S159" s="188"/>
    </row>
    <row r="160" spans="1:19" ht="14.25" customHeight="1">
      <c r="A160" s="170"/>
      <c r="B160" s="186" t="s">
        <v>228</v>
      </c>
      <c r="C160" s="186"/>
      <c r="D160" s="187"/>
      <c r="E160" s="186"/>
      <c r="F160" s="197"/>
      <c r="G160" s="187"/>
      <c r="H160" s="187">
        <f>+'PRODUKSI 1'!K17</f>
        <v>0</v>
      </c>
      <c r="I160" s="188"/>
      <c r="J160" s="187"/>
      <c r="K160" s="170"/>
      <c r="L160" s="186" t="s">
        <v>228</v>
      </c>
      <c r="M160" s="186"/>
      <c r="N160" s="187"/>
      <c r="O160" s="186"/>
      <c r="P160" s="197"/>
      <c r="Q160" s="187"/>
      <c r="R160" s="187">
        <f>+'PRODUKSI 1'!K18</f>
        <v>0</v>
      </c>
      <c r="S160" s="188"/>
    </row>
    <row r="161" spans="1:20" ht="14.25" customHeight="1">
      <c r="A161" s="170"/>
      <c r="B161" s="186" t="s">
        <v>224</v>
      </c>
      <c r="C161" s="186"/>
      <c r="D161" s="186"/>
      <c r="E161" s="186"/>
      <c r="F161" s="197"/>
      <c r="G161" s="187"/>
      <c r="H161" s="187">
        <f>+'PRODUKSI 1'!AA17</f>
        <v>448215.69090000005</v>
      </c>
      <c r="I161" s="188"/>
      <c r="J161" s="209"/>
      <c r="K161" s="170"/>
      <c r="L161" s="186" t="s">
        <v>224</v>
      </c>
      <c r="M161" s="186"/>
      <c r="N161" s="186"/>
      <c r="O161" s="186"/>
      <c r="P161" s="197"/>
      <c r="Q161" s="187"/>
      <c r="R161" s="187">
        <f>+'PRODUKSI 1'!AA18-15</f>
        <v>448200.69090000005</v>
      </c>
      <c r="S161" s="188"/>
    </row>
    <row r="162" spans="1:20" ht="14.25" customHeight="1">
      <c r="A162" s="170"/>
      <c r="B162" s="186" t="s">
        <v>195</v>
      </c>
      <c r="C162" s="186"/>
      <c r="D162" s="187"/>
      <c r="E162" s="186"/>
      <c r="F162" s="197"/>
      <c r="G162" s="187"/>
      <c r="H162" s="187">
        <f>+'PRODUKSI 1'!S17</f>
        <v>72000</v>
      </c>
      <c r="I162" s="188"/>
      <c r="J162" s="187"/>
      <c r="K162" s="170"/>
      <c r="L162" s="186" t="s">
        <v>195</v>
      </c>
      <c r="M162" s="186"/>
      <c r="N162" s="187"/>
      <c r="O162" s="186"/>
      <c r="P162" s="197"/>
      <c r="Q162" s="187"/>
      <c r="R162" s="187">
        <f>+'PRODUKSI 1'!S18</f>
        <v>92000</v>
      </c>
      <c r="S162" s="188"/>
    </row>
    <row r="163" spans="1:20" ht="14.25" customHeight="1">
      <c r="A163" s="170"/>
      <c r="B163" s="220" t="s">
        <v>233</v>
      </c>
      <c r="C163" s="186"/>
      <c r="D163" s="187"/>
      <c r="E163" s="186"/>
      <c r="F163" s="197"/>
      <c r="G163" s="187"/>
      <c r="H163" s="187"/>
      <c r="I163" s="188"/>
      <c r="J163" s="209"/>
      <c r="K163" s="170"/>
      <c r="L163" s="220" t="s">
        <v>233</v>
      </c>
      <c r="M163" s="186"/>
      <c r="N163" s="187"/>
      <c r="O163" s="186"/>
      <c r="P163" s="197"/>
      <c r="Q163" s="187"/>
      <c r="R163" s="187"/>
      <c r="S163" s="188"/>
    </row>
    <row r="164" spans="1:20" ht="14.25" customHeight="1">
      <c r="A164" s="170"/>
      <c r="B164" s="186" t="s">
        <v>206</v>
      </c>
      <c r="C164" s="186"/>
      <c r="D164" s="212">
        <v>0</v>
      </c>
      <c r="E164" s="186" t="s">
        <v>207</v>
      </c>
      <c r="F164" s="197" t="s">
        <v>205</v>
      </c>
      <c r="G164" s="187">
        <v>25223</v>
      </c>
      <c r="H164" s="187"/>
      <c r="I164" s="188"/>
      <c r="J164" s="187"/>
      <c r="K164" s="170"/>
      <c r="L164" s="186" t="s">
        <v>206</v>
      </c>
      <c r="M164" s="186"/>
      <c r="N164" s="212">
        <v>0</v>
      </c>
      <c r="O164" s="186" t="s">
        <v>207</v>
      </c>
      <c r="P164" s="197" t="s">
        <v>205</v>
      </c>
      <c r="Q164" s="187">
        <v>25223</v>
      </c>
      <c r="R164" s="187">
        <f>Q164*N164</f>
        <v>0</v>
      </c>
      <c r="S164" s="188"/>
    </row>
    <row r="165" spans="1:20" ht="14.25" customHeight="1" thickBot="1">
      <c r="A165" s="170"/>
      <c r="B165" s="190" t="s">
        <v>208</v>
      </c>
      <c r="C165" s="190"/>
      <c r="D165" s="213">
        <v>51.5</v>
      </c>
      <c r="E165" s="190" t="s">
        <v>207</v>
      </c>
      <c r="F165" s="228" t="s">
        <v>205</v>
      </c>
      <c r="G165" s="192">
        <v>25223</v>
      </c>
      <c r="H165" s="192">
        <f>G165*D165-895</f>
        <v>1298089.5</v>
      </c>
      <c r="I165" s="188"/>
      <c r="J165" s="187"/>
      <c r="K165" s="170"/>
      <c r="L165" s="190" t="s">
        <v>208</v>
      </c>
      <c r="M165" s="190"/>
      <c r="N165" s="213">
        <v>10</v>
      </c>
      <c r="O165" s="190" t="s">
        <v>207</v>
      </c>
      <c r="P165" s="228" t="s">
        <v>205</v>
      </c>
      <c r="Q165" s="192">
        <f>Q164</f>
        <v>25223</v>
      </c>
      <c r="R165" s="192">
        <f>Q165*N165+15</f>
        <v>252245</v>
      </c>
      <c r="S165" s="188"/>
    </row>
    <row r="166" spans="1:20" ht="15.75" thickBot="1">
      <c r="A166" s="170"/>
      <c r="B166" s="190" t="s">
        <v>219</v>
      </c>
      <c r="C166" s="190"/>
      <c r="D166" s="213">
        <f>SUM(D164:D165)</f>
        <v>51.5</v>
      </c>
      <c r="E166" s="190"/>
      <c r="F166" s="228"/>
      <c r="G166" s="192"/>
      <c r="H166" s="192">
        <f>SUM(H157:H165)</f>
        <v>6413160.1908999998</v>
      </c>
      <c r="I166" s="188"/>
      <c r="J166" s="187"/>
      <c r="K166" s="170"/>
      <c r="L166" s="190" t="s">
        <v>219</v>
      </c>
      <c r="M166" s="190"/>
      <c r="N166" s="213">
        <f>SUM(N164:N165)</f>
        <v>10</v>
      </c>
      <c r="O166" s="190"/>
      <c r="P166" s="228"/>
      <c r="Q166" s="192"/>
      <c r="R166" s="192">
        <f>SUM(R157:R165)</f>
        <v>5587300.6908999998</v>
      </c>
      <c r="S166" s="188"/>
      <c r="T166" s="218"/>
    </row>
    <row r="167" spans="1:20">
      <c r="A167" s="170"/>
      <c r="B167" s="196" t="s">
        <v>113</v>
      </c>
      <c r="C167" s="186"/>
      <c r="D167" s="186"/>
      <c r="E167" s="186"/>
      <c r="F167" s="197"/>
      <c r="G167" s="187"/>
      <c r="H167" s="187"/>
      <c r="I167" s="188"/>
      <c r="J167" s="209"/>
      <c r="K167" s="170"/>
      <c r="L167" s="196" t="s">
        <v>113</v>
      </c>
      <c r="M167" s="186"/>
      <c r="N167" s="186"/>
      <c r="O167" s="186"/>
      <c r="P167" s="197"/>
      <c r="Q167" s="187"/>
      <c r="R167" s="187"/>
      <c r="S167" s="188"/>
    </row>
    <row r="168" spans="1:20" ht="14.25" customHeight="1">
      <c r="A168" s="170"/>
      <c r="B168" s="186" t="s">
        <v>209</v>
      </c>
      <c r="C168" s="186"/>
      <c r="D168" s="197"/>
      <c r="E168" s="186"/>
      <c r="F168" s="197"/>
      <c r="G168" s="198" t="str">
        <f>+'PRODUKSI 1'!D17</f>
        <v>K1</v>
      </c>
      <c r="H168" s="187">
        <f>+'PRODUKSI 1'!AH17</f>
        <v>0</v>
      </c>
      <c r="I168" s="188"/>
      <c r="J168" s="209"/>
      <c r="K168" s="170"/>
      <c r="L168" s="186" t="s">
        <v>209</v>
      </c>
      <c r="M168" s="186"/>
      <c r="N168" s="198"/>
      <c r="O168" s="186"/>
      <c r="P168" s="197"/>
      <c r="Q168" s="198" t="str">
        <f>+'PRODUKSI 1'!D18</f>
        <v>K2</v>
      </c>
      <c r="R168" s="187">
        <f>+'PRODUKSI 1'!AH18</f>
        <v>0</v>
      </c>
      <c r="S168" s="188"/>
    </row>
    <row r="169" spans="1:20" ht="14.25" customHeight="1">
      <c r="A169" s="170"/>
      <c r="B169" s="186" t="s">
        <v>225</v>
      </c>
      <c r="C169" s="186"/>
      <c r="D169" s="197"/>
      <c r="E169" s="186"/>
      <c r="F169" s="197"/>
      <c r="G169" s="198"/>
      <c r="H169" s="187">
        <f>+'PRODUKSI 1'!AE17+'PRODUKSI 1'!AF17</f>
        <v>48772.11</v>
      </c>
      <c r="I169" s="188"/>
      <c r="J169" s="209"/>
      <c r="K169" s="170"/>
      <c r="L169" s="186" t="s">
        <v>225</v>
      </c>
      <c r="M169" s="186"/>
      <c r="N169" s="198"/>
      <c r="O169" s="186"/>
      <c r="P169" s="197"/>
      <c r="Q169" s="198"/>
      <c r="R169" s="187">
        <f>+'PRODUKSI 1'!AE18+'PRODUKSI 1'!AF18</f>
        <v>48772.11</v>
      </c>
      <c r="S169" s="188"/>
    </row>
    <row r="170" spans="1:20" ht="14.25" customHeight="1">
      <c r="A170" s="170"/>
      <c r="B170" s="186" t="s">
        <v>226</v>
      </c>
      <c r="C170" s="186"/>
      <c r="D170" s="197"/>
      <c r="E170" s="186"/>
      <c r="F170" s="197"/>
      <c r="G170" s="198"/>
      <c r="H170" s="187">
        <f>+'PRODUKSI 1'!AC17+'PRODUKSI 1'!AD17</f>
        <v>146316.33000000002</v>
      </c>
      <c r="I170" s="188"/>
      <c r="J170" s="209"/>
      <c r="K170" s="170"/>
      <c r="L170" s="186" t="s">
        <v>226</v>
      </c>
      <c r="M170" s="186"/>
      <c r="N170" s="198"/>
      <c r="O170" s="186"/>
      <c r="P170" s="197"/>
      <c r="Q170" s="198"/>
      <c r="R170" s="187">
        <f>+'PRODUKSI 1'!AC18+'PRODUKSI 1'!AD18+15</f>
        <v>146331.33000000002</v>
      </c>
      <c r="S170" s="188"/>
    </row>
    <row r="171" spans="1:20" ht="14.25" customHeight="1">
      <c r="A171" s="170"/>
      <c r="B171" s="186" t="s">
        <v>103</v>
      </c>
      <c r="C171" s="186"/>
      <c r="D171" s="186"/>
      <c r="E171" s="186"/>
      <c r="F171" s="197"/>
      <c r="G171" s="187"/>
      <c r="H171" s="187">
        <f>+H161</f>
        <v>448215.69090000005</v>
      </c>
      <c r="I171" s="188"/>
      <c r="J171" s="209"/>
      <c r="K171" s="170"/>
      <c r="L171" s="186" t="s">
        <v>103</v>
      </c>
      <c r="M171" s="186"/>
      <c r="N171" s="186"/>
      <c r="O171" s="186"/>
      <c r="P171" s="197"/>
      <c r="Q171" s="187"/>
      <c r="R171" s="187">
        <f>+R161</f>
        <v>448200.69090000005</v>
      </c>
      <c r="S171" s="188"/>
    </row>
    <row r="172" spans="1:20" ht="14.25" customHeight="1" thickBot="1">
      <c r="A172" s="170"/>
      <c r="B172" s="190" t="s">
        <v>211</v>
      </c>
      <c r="C172" s="190"/>
      <c r="D172" s="190"/>
      <c r="E172" s="190"/>
      <c r="F172" s="228"/>
      <c r="G172" s="192"/>
      <c r="H172" s="192">
        <f>SUM(H168:H171)</f>
        <v>643304.13089999999</v>
      </c>
      <c r="I172" s="188"/>
      <c r="J172" s="209"/>
      <c r="K172" s="170"/>
      <c r="L172" s="190" t="s">
        <v>211</v>
      </c>
      <c r="M172" s="190"/>
      <c r="N172" s="190"/>
      <c r="O172" s="190"/>
      <c r="P172" s="228"/>
      <c r="Q172" s="192"/>
      <c r="R172" s="192">
        <f>SUM(R168:R171)</f>
        <v>643304.13089999999</v>
      </c>
      <c r="S172" s="188"/>
    </row>
    <row r="173" spans="1:20" ht="15.75" thickBot="1">
      <c r="A173" s="170"/>
      <c r="B173" s="193" t="s">
        <v>220</v>
      </c>
      <c r="C173" s="193"/>
      <c r="D173" s="193"/>
      <c r="E173" s="193"/>
      <c r="F173" s="229"/>
      <c r="G173" s="195"/>
      <c r="H173" s="195">
        <f>SUM(H166-H172)</f>
        <v>5769856.0599999996</v>
      </c>
      <c r="I173" s="188"/>
      <c r="J173" s="209"/>
      <c r="K173" s="170"/>
      <c r="L173" s="193" t="s">
        <v>220</v>
      </c>
      <c r="M173" s="193"/>
      <c r="N173" s="193"/>
      <c r="O173" s="193"/>
      <c r="P173" s="229"/>
      <c r="Q173" s="195"/>
      <c r="R173" s="195">
        <f>SUM(R166-R172)</f>
        <v>4943996.5599999996</v>
      </c>
      <c r="S173" s="188"/>
      <c r="T173" s="218"/>
    </row>
    <row r="174" spans="1:20">
      <c r="A174" s="170"/>
      <c r="B174" s="186" t="s">
        <v>221</v>
      </c>
      <c r="C174" s="186"/>
      <c r="D174" s="186"/>
      <c r="E174" s="186"/>
      <c r="F174" s="197"/>
      <c r="G174" s="187"/>
      <c r="H174" s="187">
        <f>'[2]Urutan Nm'!H75</f>
        <v>10000</v>
      </c>
      <c r="I174" s="188"/>
      <c r="J174" s="209"/>
      <c r="K174" s="170"/>
      <c r="L174" s="186" t="s">
        <v>231</v>
      </c>
      <c r="M174" s="186"/>
      <c r="N174" s="186"/>
      <c r="O174" s="186"/>
      <c r="P174" s="197"/>
      <c r="Q174" s="187"/>
      <c r="R174" s="187">
        <f>'[2]Urutan Nm'!H76</f>
        <v>10000</v>
      </c>
      <c r="S174" s="188"/>
      <c r="T174" s="218"/>
    </row>
    <row r="175" spans="1:20" ht="15.75" thickBot="1">
      <c r="A175" s="170"/>
      <c r="B175" s="199"/>
      <c r="C175" s="190"/>
      <c r="D175" s="190"/>
      <c r="E175" s="190"/>
      <c r="F175" s="228"/>
      <c r="G175" s="192"/>
      <c r="H175" s="192"/>
      <c r="I175" s="188"/>
      <c r="J175" s="187"/>
      <c r="K175" s="170"/>
      <c r="L175" s="199"/>
      <c r="M175" s="190"/>
      <c r="N175" s="190"/>
      <c r="O175" s="190"/>
      <c r="P175" s="228"/>
      <c r="Q175" s="192"/>
      <c r="R175" s="192"/>
      <c r="S175" s="188"/>
    </row>
    <row r="176" spans="1:20" ht="15.75" thickBot="1">
      <c r="A176" s="170"/>
      <c r="B176" s="200" t="s">
        <v>212</v>
      </c>
      <c r="C176" s="200"/>
      <c r="D176" s="200"/>
      <c r="E176" s="200"/>
      <c r="F176" s="230"/>
      <c r="G176" s="201"/>
      <c r="H176" s="201">
        <f>SUM(H173-H174)</f>
        <v>5759856.0599999996</v>
      </c>
      <c r="I176" s="188"/>
      <c r="J176" s="187"/>
      <c r="K176" s="170"/>
      <c r="L176" s="200" t="s">
        <v>212</v>
      </c>
      <c r="M176" s="200"/>
      <c r="N176" s="200"/>
      <c r="O176" s="200"/>
      <c r="P176" s="230"/>
      <c r="Q176" s="201"/>
      <c r="R176" s="201">
        <f>SUM(R173-R174)</f>
        <v>4933996.5599999996</v>
      </c>
      <c r="S176" s="188"/>
    </row>
    <row r="177" spans="1:19" ht="15.75" thickTop="1">
      <c r="A177" s="170"/>
      <c r="B177" s="202" t="s">
        <v>213</v>
      </c>
      <c r="C177" s="186"/>
      <c r="D177" s="186"/>
      <c r="E177" s="186"/>
      <c r="F177" s="197"/>
      <c r="G177" s="296" t="s">
        <v>214</v>
      </c>
      <c r="H177" s="296"/>
      <c r="I177" s="188"/>
      <c r="J177" s="187"/>
      <c r="K177" s="170"/>
      <c r="L177" s="202" t="s">
        <v>213</v>
      </c>
      <c r="M177" s="186"/>
      <c r="N177" s="186"/>
      <c r="O177" s="186"/>
      <c r="P177" s="197"/>
      <c r="Q177" s="296" t="s">
        <v>214</v>
      </c>
      <c r="R177" s="296"/>
      <c r="S177" s="188"/>
    </row>
    <row r="178" spans="1:19" ht="12.75" customHeight="1">
      <c r="A178" s="170"/>
      <c r="B178" s="186"/>
      <c r="C178" s="186"/>
      <c r="D178" s="186"/>
      <c r="E178" s="186"/>
      <c r="F178" s="197"/>
      <c r="G178" s="187"/>
      <c r="H178" s="187"/>
      <c r="I178" s="188"/>
      <c r="J178" s="187"/>
      <c r="K178" s="170"/>
      <c r="L178" s="186"/>
      <c r="M178" s="186"/>
      <c r="N178" s="186"/>
      <c r="O178" s="186"/>
      <c r="P178" s="197"/>
      <c r="Q178" s="187"/>
      <c r="R178" s="187"/>
      <c r="S178" s="188"/>
    </row>
    <row r="179" spans="1:19" ht="12.75" customHeight="1">
      <c r="A179" s="170"/>
      <c r="B179" s="186"/>
      <c r="C179" s="186"/>
      <c r="D179" s="186"/>
      <c r="E179" s="186"/>
      <c r="F179" s="197"/>
      <c r="G179" s="187"/>
      <c r="H179" s="187"/>
      <c r="I179" s="188"/>
      <c r="J179" s="187"/>
      <c r="K179" s="170"/>
      <c r="L179" s="186"/>
      <c r="M179" s="186"/>
      <c r="N179" s="186"/>
      <c r="O179" s="186"/>
      <c r="P179" s="197"/>
      <c r="Q179" s="187"/>
      <c r="R179" s="187"/>
      <c r="S179" s="188"/>
    </row>
    <row r="180" spans="1:19" ht="12.75" customHeight="1">
      <c r="A180" s="170"/>
      <c r="B180" s="203" t="s">
        <v>215</v>
      </c>
      <c r="C180" s="186"/>
      <c r="D180" s="186"/>
      <c r="E180" s="186"/>
      <c r="F180" s="197"/>
      <c r="G180" s="297" t="s">
        <v>216</v>
      </c>
      <c r="H180" s="297"/>
      <c r="I180" s="188"/>
      <c r="J180" s="187"/>
      <c r="K180" s="170"/>
      <c r="L180" s="203" t="s">
        <v>215</v>
      </c>
      <c r="M180" s="186"/>
      <c r="N180" s="186"/>
      <c r="O180" s="186"/>
      <c r="P180" s="197"/>
      <c r="Q180" s="297" t="s">
        <v>216</v>
      </c>
      <c r="R180" s="297"/>
      <c r="S180" s="188"/>
    </row>
    <row r="181" spans="1:19" ht="7.5" customHeight="1">
      <c r="A181" s="204"/>
      <c r="B181" s="205"/>
      <c r="C181" s="206"/>
      <c r="D181" s="206"/>
      <c r="E181" s="206"/>
      <c r="F181" s="231"/>
      <c r="G181" s="207"/>
      <c r="H181" s="205"/>
      <c r="I181" s="208"/>
      <c r="J181" s="187"/>
      <c r="K181" s="204"/>
      <c r="L181" s="205"/>
      <c r="M181" s="206"/>
      <c r="N181" s="206"/>
      <c r="O181" s="206"/>
      <c r="P181" s="231"/>
      <c r="Q181" s="207"/>
      <c r="R181" s="205"/>
      <c r="S181" s="208"/>
    </row>
    <row r="182" spans="1:19">
      <c r="A182" s="169"/>
      <c r="B182" s="203"/>
      <c r="C182" s="186"/>
      <c r="D182" s="186"/>
      <c r="E182" s="186"/>
      <c r="F182" s="197"/>
      <c r="G182" s="187"/>
      <c r="H182" s="203"/>
      <c r="I182" s="187"/>
      <c r="J182" s="187"/>
      <c r="K182" s="169"/>
      <c r="L182" s="203"/>
      <c r="M182" s="186"/>
      <c r="N182" s="186"/>
      <c r="O182" s="186"/>
      <c r="P182" s="197"/>
      <c r="Q182" s="187"/>
      <c r="R182" s="203"/>
      <c r="S182" s="187"/>
    </row>
    <row r="183" spans="1:19">
      <c r="A183" s="166"/>
      <c r="B183" s="214"/>
      <c r="C183" s="215"/>
      <c r="D183" s="215"/>
      <c r="E183" s="215"/>
      <c r="F183" s="232"/>
      <c r="G183" s="216"/>
      <c r="H183" s="214"/>
      <c r="I183" s="217"/>
      <c r="J183" s="187"/>
      <c r="K183" s="166"/>
      <c r="L183" s="214"/>
      <c r="M183" s="215"/>
      <c r="N183" s="215"/>
      <c r="O183" s="215"/>
      <c r="P183" s="232"/>
      <c r="Q183" s="216"/>
      <c r="R183" s="214"/>
      <c r="S183" s="217"/>
    </row>
    <row r="184" spans="1:19">
      <c r="A184" s="170"/>
      <c r="B184" s="169"/>
      <c r="C184" s="169"/>
      <c r="D184" s="169"/>
      <c r="E184" s="169"/>
      <c r="F184" s="224"/>
      <c r="G184" s="169"/>
      <c r="H184" s="169"/>
      <c r="I184" s="171"/>
      <c r="J184" s="169"/>
      <c r="K184" s="170"/>
      <c r="L184" s="169"/>
      <c r="M184" s="169"/>
      <c r="N184" s="169"/>
      <c r="O184" s="169"/>
      <c r="P184" s="224"/>
      <c r="Q184" s="169"/>
      <c r="R184" s="169"/>
      <c r="S184" s="171"/>
    </row>
    <row r="185" spans="1:19">
      <c r="A185" s="170"/>
      <c r="B185" s="169"/>
      <c r="C185" s="169"/>
      <c r="D185" s="169"/>
      <c r="E185" s="169"/>
      <c r="F185" s="224"/>
      <c r="G185" s="169"/>
      <c r="H185" s="169"/>
      <c r="I185" s="171"/>
      <c r="J185" s="169"/>
      <c r="K185" s="170"/>
      <c r="L185" s="169"/>
      <c r="M185" s="169"/>
      <c r="N185" s="169"/>
      <c r="O185" s="169"/>
      <c r="P185" s="224"/>
      <c r="Q185" s="169"/>
      <c r="R185" s="169"/>
      <c r="S185" s="171"/>
    </row>
    <row r="186" spans="1:19">
      <c r="A186" s="170"/>
      <c r="B186" s="294" t="s">
        <v>196</v>
      </c>
      <c r="C186" s="294"/>
      <c r="D186" s="294"/>
      <c r="E186" s="294"/>
      <c r="F186" s="294"/>
      <c r="G186" s="294"/>
      <c r="H186" s="294"/>
      <c r="I186" s="295"/>
      <c r="J186" s="169"/>
      <c r="K186" s="170"/>
      <c r="L186" s="294" t="s">
        <v>196</v>
      </c>
      <c r="M186" s="294"/>
      <c r="N186" s="294"/>
      <c r="O186" s="294"/>
      <c r="P186" s="294"/>
      <c r="Q186" s="294"/>
      <c r="R186" s="294"/>
      <c r="S186" s="295"/>
    </row>
    <row r="187" spans="1:19">
      <c r="A187" s="172"/>
      <c r="B187" s="173" t="s">
        <v>197</v>
      </c>
      <c r="C187" s="174" t="s">
        <v>198</v>
      </c>
      <c r="D187" s="211">
        <v>11</v>
      </c>
      <c r="E187" s="173"/>
      <c r="F187" s="225"/>
      <c r="G187" s="173"/>
      <c r="H187" s="173"/>
      <c r="I187" s="176"/>
      <c r="J187" s="173"/>
      <c r="K187" s="172"/>
      <c r="L187" s="173" t="s">
        <v>197</v>
      </c>
      <c r="M187" s="174" t="s">
        <v>198</v>
      </c>
      <c r="N187" s="211">
        <v>12</v>
      </c>
      <c r="O187" s="175"/>
      <c r="P187" s="225"/>
      <c r="Q187" s="173"/>
      <c r="R187" s="173"/>
      <c r="S187" s="176"/>
    </row>
    <row r="188" spans="1:19">
      <c r="A188" s="172"/>
      <c r="B188" s="173" t="s">
        <v>199</v>
      </c>
      <c r="C188" s="174" t="s">
        <v>198</v>
      </c>
      <c r="D188" s="177" t="str">
        <f>'[2]G-STAFF'!A3</f>
        <v>01 JANUARI  S/D  31 JANUARI  2025</v>
      </c>
      <c r="E188" s="173"/>
      <c r="F188" s="225"/>
      <c r="G188" s="173"/>
      <c r="H188" s="173"/>
      <c r="I188" s="176"/>
      <c r="J188" s="173"/>
      <c r="K188" s="172"/>
      <c r="L188" s="173" t="s">
        <v>199</v>
      </c>
      <c r="M188" s="174" t="s">
        <v>198</v>
      </c>
      <c r="N188" s="177" t="str">
        <f>'[2]G-STAFF'!A3</f>
        <v>01 JANUARI  S/D  31 JANUARI  2025</v>
      </c>
      <c r="O188" s="179"/>
      <c r="P188" s="225"/>
      <c r="Q188" s="173"/>
      <c r="R188" s="173"/>
      <c r="S188" s="176"/>
    </row>
    <row r="189" spans="1:19">
      <c r="A189" s="172"/>
      <c r="B189" s="173" t="s">
        <v>200</v>
      </c>
      <c r="C189" s="174" t="s">
        <v>198</v>
      </c>
      <c r="D189" s="177" t="str">
        <f>+'PRODUKSI 1'!B19</f>
        <v>M.SOLEH SALAHUDIN</v>
      </c>
      <c r="E189" s="173"/>
      <c r="F189" s="225"/>
      <c r="G189" s="173"/>
      <c r="H189" s="173"/>
      <c r="I189" s="176"/>
      <c r="J189" s="173"/>
      <c r="K189" s="172"/>
      <c r="L189" s="173" t="s">
        <v>200</v>
      </c>
      <c r="M189" s="174" t="s">
        <v>198</v>
      </c>
      <c r="N189" s="178" t="str">
        <f>+'PRODUKSI 1'!B20</f>
        <v>DANI</v>
      </c>
      <c r="O189" s="173"/>
      <c r="P189" s="225"/>
      <c r="Q189" s="173"/>
      <c r="R189" s="173"/>
      <c r="S189" s="176"/>
    </row>
    <row r="190" spans="1:19" ht="15.75" thickBot="1">
      <c r="A190" s="172"/>
      <c r="B190" s="173" t="s">
        <v>201</v>
      </c>
      <c r="C190" s="174" t="s">
        <v>198</v>
      </c>
      <c r="D190" s="177" t="str">
        <f>+'PRODUKSI 1'!C19</f>
        <v>OP. PRINTER 5</v>
      </c>
      <c r="E190" s="173"/>
      <c r="F190" s="225"/>
      <c r="G190" s="173"/>
      <c r="H190" s="173"/>
      <c r="I190" s="176"/>
      <c r="J190" s="173"/>
      <c r="K190" s="172"/>
      <c r="L190" s="173" t="s">
        <v>201</v>
      </c>
      <c r="M190" s="174" t="s">
        <v>198</v>
      </c>
      <c r="N190" s="178" t="str">
        <f>+'PRODUKSI 1'!C20</f>
        <v>OP. PRINTER 1</v>
      </c>
      <c r="O190" s="179"/>
      <c r="P190" s="225"/>
      <c r="Q190" s="173"/>
      <c r="R190" s="173"/>
      <c r="S190" s="176"/>
    </row>
    <row r="191" spans="1:19" ht="10.5" customHeight="1" thickTop="1">
      <c r="A191" s="170"/>
      <c r="B191" s="182"/>
      <c r="C191" s="182"/>
      <c r="D191" s="182"/>
      <c r="E191" s="182"/>
      <c r="F191" s="226"/>
      <c r="G191" s="182"/>
      <c r="H191" s="182"/>
      <c r="I191" s="183"/>
      <c r="J191" s="169"/>
      <c r="K191" s="170"/>
      <c r="L191" s="182"/>
      <c r="M191" s="182"/>
      <c r="N191" s="182"/>
      <c r="O191" s="182"/>
      <c r="P191" s="226"/>
      <c r="Q191" s="182"/>
      <c r="R191" s="182"/>
      <c r="S191" s="183"/>
    </row>
    <row r="192" spans="1:19">
      <c r="A192" s="170"/>
      <c r="B192" s="184" t="s">
        <v>202</v>
      </c>
      <c r="C192" s="185"/>
      <c r="D192" s="185"/>
      <c r="E192" s="185"/>
      <c r="F192" s="227"/>
      <c r="G192" s="185"/>
      <c r="H192" s="185"/>
      <c r="I192" s="183"/>
      <c r="J192" s="169"/>
      <c r="K192" s="170"/>
      <c r="L192" s="184" t="s">
        <v>202</v>
      </c>
      <c r="M192" s="184"/>
      <c r="N192" s="185"/>
      <c r="O192" s="185"/>
      <c r="P192" s="227"/>
      <c r="Q192" s="185"/>
      <c r="R192" s="185"/>
      <c r="S192" s="183"/>
    </row>
    <row r="193" spans="1:19" ht="14.25" customHeight="1">
      <c r="A193" s="170"/>
      <c r="B193" s="186" t="s">
        <v>111</v>
      </c>
      <c r="C193" s="186"/>
      <c r="D193" s="187"/>
      <c r="E193" s="186"/>
      <c r="F193" s="197"/>
      <c r="G193" s="187"/>
      <c r="H193" s="187">
        <f>+'PRODUKSI 1'!H19</f>
        <v>4594855</v>
      </c>
      <c r="I193" s="188"/>
      <c r="J193" s="187"/>
      <c r="K193" s="170"/>
      <c r="L193" s="186" t="s">
        <v>111</v>
      </c>
      <c r="M193" s="186"/>
      <c r="N193" s="187"/>
      <c r="O193" s="186"/>
      <c r="P193" s="197"/>
      <c r="Q193" s="187"/>
      <c r="R193" s="187">
        <f>+'PRODUKSI 1'!H20</f>
        <v>4594855</v>
      </c>
      <c r="S193" s="188"/>
    </row>
    <row r="194" spans="1:19" ht="14.25" customHeight="1">
      <c r="A194" s="170"/>
      <c r="B194" s="186" t="s">
        <v>203</v>
      </c>
      <c r="C194" s="186"/>
      <c r="D194" s="186"/>
      <c r="E194" s="186"/>
      <c r="F194" s="197"/>
      <c r="G194" s="187"/>
      <c r="H194" s="187">
        <f>+'PRODUKSI 1'!I19</f>
        <v>100000</v>
      </c>
      <c r="I194" s="188"/>
      <c r="J194" s="209"/>
      <c r="K194" s="170"/>
      <c r="L194" s="186" t="s">
        <v>203</v>
      </c>
      <c r="M194" s="186"/>
      <c r="N194" s="186"/>
      <c r="O194" s="186"/>
      <c r="P194" s="197"/>
      <c r="Q194" s="187"/>
      <c r="R194" s="187">
        <f>+'PRODUKSI 1'!I20</f>
        <v>100000</v>
      </c>
      <c r="S194" s="188"/>
    </row>
    <row r="195" spans="1:19" ht="14.25" customHeight="1">
      <c r="A195" s="170"/>
      <c r="B195" s="186" t="s">
        <v>227</v>
      </c>
      <c r="C195" s="186"/>
      <c r="D195" s="186"/>
      <c r="E195" s="186"/>
      <c r="F195" s="197"/>
      <c r="G195" s="187"/>
      <c r="H195" s="187">
        <f>+'PRODUKSI 1'!J19</f>
        <v>100000</v>
      </c>
      <c r="I195" s="188"/>
      <c r="J195" s="209"/>
      <c r="K195" s="170"/>
      <c r="L195" s="186" t="s">
        <v>227</v>
      </c>
      <c r="M195" s="186"/>
      <c r="N195" s="186"/>
      <c r="O195" s="186"/>
      <c r="P195" s="197"/>
      <c r="Q195" s="187"/>
      <c r="R195" s="187">
        <f>+'PRODUKSI 1'!J20</f>
        <v>100000</v>
      </c>
      <c r="S195" s="188"/>
    </row>
    <row r="196" spans="1:19" ht="14.25" customHeight="1">
      <c r="A196" s="170"/>
      <c r="B196" s="186" t="s">
        <v>228</v>
      </c>
      <c r="C196" s="186"/>
      <c r="D196" s="186"/>
      <c r="E196" s="186"/>
      <c r="F196" s="197"/>
      <c r="G196" s="187"/>
      <c r="H196" s="187">
        <f>+'PRODUKSI 1'!K19</f>
        <v>0</v>
      </c>
      <c r="I196" s="188"/>
      <c r="J196" s="209"/>
      <c r="K196" s="170"/>
      <c r="L196" s="186" t="s">
        <v>228</v>
      </c>
      <c r="M196" s="186"/>
      <c r="N196" s="186"/>
      <c r="O196" s="186"/>
      <c r="P196" s="197"/>
      <c r="Q196" s="187"/>
      <c r="R196" s="187">
        <f>+'PRODUKSI 1'!K20</f>
        <v>0</v>
      </c>
      <c r="S196" s="188"/>
    </row>
    <row r="197" spans="1:19" ht="14.25" customHeight="1">
      <c r="A197" s="170"/>
      <c r="B197" s="186" t="s">
        <v>224</v>
      </c>
      <c r="C197" s="186"/>
      <c r="D197" s="186"/>
      <c r="E197" s="186"/>
      <c r="F197" s="197"/>
      <c r="G197" s="187"/>
      <c r="H197" s="187">
        <f>+'PRODUKSI 1'!AA19</f>
        <v>448215.69090000005</v>
      </c>
      <c r="I197" s="188"/>
      <c r="J197" s="209"/>
      <c r="K197" s="170"/>
      <c r="L197" s="186" t="s">
        <v>224</v>
      </c>
      <c r="M197" s="186"/>
      <c r="N197" s="186"/>
      <c r="O197" s="186"/>
      <c r="P197" s="197"/>
      <c r="Q197" s="187"/>
      <c r="R197" s="187">
        <f>+GENERAL!T19+1</f>
        <v>448216.69090000005</v>
      </c>
      <c r="S197" s="188"/>
    </row>
    <row r="198" spans="1:19" ht="14.25" customHeight="1">
      <c r="A198" s="170"/>
      <c r="B198" s="186" t="s">
        <v>195</v>
      </c>
      <c r="C198" s="186"/>
      <c r="D198" s="187"/>
      <c r="E198" s="186"/>
      <c r="F198" s="197"/>
      <c r="G198" s="187"/>
      <c r="H198" s="187">
        <f>+'PRODUKSI 1'!S19</f>
        <v>48000</v>
      </c>
      <c r="I198" s="188"/>
      <c r="J198" s="187"/>
      <c r="K198" s="170"/>
      <c r="L198" s="186" t="s">
        <v>195</v>
      </c>
      <c r="M198" s="186"/>
      <c r="N198" s="187"/>
      <c r="O198" s="186"/>
      <c r="P198" s="197"/>
      <c r="Q198" s="187"/>
      <c r="R198" s="187">
        <f>+'PRODUKSI 1'!S20</f>
        <v>92000</v>
      </c>
      <c r="S198" s="188"/>
    </row>
    <row r="199" spans="1:19" ht="14.25" customHeight="1">
      <c r="A199" s="170"/>
      <c r="B199" s="220" t="s">
        <v>233</v>
      </c>
      <c r="C199" s="186"/>
      <c r="D199" s="187"/>
      <c r="E199" s="186"/>
      <c r="F199" s="197"/>
      <c r="G199" s="187"/>
      <c r="H199" s="187"/>
      <c r="I199" s="188"/>
      <c r="J199" s="209"/>
      <c r="K199" s="170"/>
      <c r="L199" s="220" t="s">
        <v>233</v>
      </c>
      <c r="M199" s="186"/>
      <c r="N199" s="187"/>
      <c r="O199" s="186"/>
      <c r="P199" s="197"/>
      <c r="Q199" s="187"/>
      <c r="R199" s="187"/>
      <c r="S199" s="188"/>
    </row>
    <row r="200" spans="1:19" ht="14.25" customHeight="1">
      <c r="A200" s="170"/>
      <c r="B200" s="186" t="s">
        <v>206</v>
      </c>
      <c r="C200" s="186"/>
      <c r="D200" s="212">
        <v>0</v>
      </c>
      <c r="E200" s="186" t="s">
        <v>207</v>
      </c>
      <c r="F200" s="197" t="s">
        <v>205</v>
      </c>
      <c r="G200" s="187">
        <v>25223</v>
      </c>
      <c r="H200" s="187">
        <f>G200*D200</f>
        <v>0</v>
      </c>
      <c r="I200" s="188"/>
      <c r="J200" s="187"/>
      <c r="K200" s="170"/>
      <c r="L200" s="186" t="s">
        <v>206</v>
      </c>
      <c r="M200" s="186"/>
      <c r="N200" s="212">
        <v>0</v>
      </c>
      <c r="O200" s="186" t="s">
        <v>207</v>
      </c>
      <c r="P200" s="197" t="s">
        <v>205</v>
      </c>
      <c r="Q200" s="187">
        <f>'[2]G-STAFF'!M45</f>
        <v>25222.890173410404</v>
      </c>
      <c r="R200" s="187">
        <f>+N200*Q200</f>
        <v>0</v>
      </c>
      <c r="S200" s="188"/>
    </row>
    <row r="201" spans="1:19" ht="14.25" customHeight="1" thickBot="1">
      <c r="A201" s="170"/>
      <c r="B201" s="190" t="s">
        <v>208</v>
      </c>
      <c r="C201" s="190"/>
      <c r="D201" s="213">
        <v>0</v>
      </c>
      <c r="E201" s="190" t="s">
        <v>207</v>
      </c>
      <c r="F201" s="228" t="s">
        <v>205</v>
      </c>
      <c r="G201" s="192">
        <f>G200</f>
        <v>25223</v>
      </c>
      <c r="H201" s="192">
        <v>0</v>
      </c>
      <c r="I201" s="188"/>
      <c r="J201" s="187"/>
      <c r="K201" s="170"/>
      <c r="L201" s="190" t="s">
        <v>208</v>
      </c>
      <c r="M201" s="190"/>
      <c r="N201" s="213">
        <v>10</v>
      </c>
      <c r="O201" s="190" t="s">
        <v>207</v>
      </c>
      <c r="P201" s="228" t="s">
        <v>205</v>
      </c>
      <c r="Q201" s="192">
        <f>Q200</f>
        <v>25222.890173410404</v>
      </c>
      <c r="R201" s="192">
        <f>Q201*N201</f>
        <v>252228.90173410403</v>
      </c>
      <c r="S201" s="188"/>
    </row>
    <row r="202" spans="1:19" ht="15.75" thickBot="1">
      <c r="A202" s="170"/>
      <c r="B202" s="190" t="s">
        <v>219</v>
      </c>
      <c r="C202" s="190"/>
      <c r="D202" s="213">
        <f>SUM(D200:D201)</f>
        <v>0</v>
      </c>
      <c r="E202" s="190"/>
      <c r="F202" s="228"/>
      <c r="G202" s="192"/>
      <c r="H202" s="192">
        <f>SUM(H193:H201)</f>
        <v>5291070.6908999998</v>
      </c>
      <c r="I202" s="188"/>
      <c r="J202" s="187"/>
      <c r="K202" s="170"/>
      <c r="L202" s="190" t="s">
        <v>219</v>
      </c>
      <c r="M202" s="190"/>
      <c r="N202" s="213">
        <f>SUM(N200:N201)</f>
        <v>10</v>
      </c>
      <c r="O202" s="190"/>
      <c r="P202" s="228"/>
      <c r="Q202" s="192"/>
      <c r="R202" s="192">
        <f>SUM(R193:R201)</f>
        <v>5587300.5926341042</v>
      </c>
      <c r="S202" s="188"/>
    </row>
    <row r="203" spans="1:19">
      <c r="A203" s="170"/>
      <c r="B203" s="196" t="s">
        <v>113</v>
      </c>
      <c r="C203" s="186"/>
      <c r="D203" s="186"/>
      <c r="E203" s="186"/>
      <c r="F203" s="197"/>
      <c r="G203" s="187"/>
      <c r="H203" s="187"/>
      <c r="I203" s="188"/>
      <c r="J203" s="209"/>
      <c r="K203" s="170"/>
      <c r="L203" s="196" t="s">
        <v>113</v>
      </c>
      <c r="M203" s="186"/>
      <c r="N203" s="186"/>
      <c r="O203" s="186"/>
      <c r="P203" s="197"/>
      <c r="Q203" s="187"/>
      <c r="R203" s="187"/>
      <c r="S203" s="188"/>
    </row>
    <row r="204" spans="1:19" ht="14.25" customHeight="1">
      <c r="A204" s="170"/>
      <c r="B204" s="186" t="s">
        <v>209</v>
      </c>
      <c r="C204" s="186"/>
      <c r="D204" s="197"/>
      <c r="E204" s="186"/>
      <c r="F204" s="197"/>
      <c r="G204" s="198" t="str">
        <f>+'PRODUKSI 1'!D19</f>
        <v>K2</v>
      </c>
      <c r="H204" s="187">
        <f>+'PRODUKSI 1'!AH19</f>
        <v>0</v>
      </c>
      <c r="I204" s="188"/>
      <c r="J204" s="209"/>
      <c r="K204" s="170"/>
      <c r="L204" s="186" t="s">
        <v>209</v>
      </c>
      <c r="M204" s="186"/>
      <c r="N204" s="198"/>
      <c r="O204" s="186"/>
      <c r="P204" s="197"/>
      <c r="Q204" s="198" t="str">
        <f>+'PRODUKSI 1'!D20</f>
        <v>K1</v>
      </c>
      <c r="R204" s="187">
        <f>+'PRODUKSI 1'!AH20</f>
        <v>0</v>
      </c>
      <c r="S204" s="188"/>
    </row>
    <row r="205" spans="1:19" ht="14.25" customHeight="1">
      <c r="A205" s="170"/>
      <c r="B205" s="186" t="s">
        <v>225</v>
      </c>
      <c r="C205" s="186"/>
      <c r="D205" s="197"/>
      <c r="E205" s="186"/>
      <c r="F205" s="197"/>
      <c r="G205" s="198"/>
      <c r="H205" s="187">
        <f>+'PRODUKSI 1'!AE19+'PRODUKSI 1'!AF19</f>
        <v>48772.11</v>
      </c>
      <c r="I205" s="188"/>
      <c r="J205" s="209"/>
      <c r="K205" s="170"/>
      <c r="L205" s="186" t="s">
        <v>225</v>
      </c>
      <c r="M205" s="186"/>
      <c r="N205" s="198"/>
      <c r="O205" s="186"/>
      <c r="P205" s="197"/>
      <c r="Q205" s="198"/>
      <c r="R205" s="187">
        <f>+'PRODUKSI 1'!AE20+'PRODUKSI 1'!AF20</f>
        <v>48772.11</v>
      </c>
      <c r="S205" s="188"/>
    </row>
    <row r="206" spans="1:19" ht="14.25" customHeight="1">
      <c r="A206" s="170"/>
      <c r="B206" s="186" t="s">
        <v>226</v>
      </c>
      <c r="C206" s="186"/>
      <c r="D206" s="197"/>
      <c r="E206" s="186"/>
      <c r="F206" s="197"/>
      <c r="G206" s="198"/>
      <c r="H206" s="187">
        <f>+'PRODUKSI 1'!AC19+'PRODUKSI 1'!AD19</f>
        <v>146316.33000000002</v>
      </c>
      <c r="I206" s="188"/>
      <c r="J206" s="209"/>
      <c r="K206" s="170"/>
      <c r="L206" s="186" t="s">
        <v>226</v>
      </c>
      <c r="M206" s="186"/>
      <c r="N206" s="198"/>
      <c r="O206" s="186"/>
      <c r="P206" s="197"/>
      <c r="Q206" s="198"/>
      <c r="R206" s="187">
        <f>+'PRODUKSI 1'!AC20+'PRODUKSI 1'!AD20-2</f>
        <v>146314.33000000002</v>
      </c>
      <c r="S206" s="188"/>
    </row>
    <row r="207" spans="1:19" ht="14.25" customHeight="1">
      <c r="A207" s="170"/>
      <c r="B207" s="186" t="s">
        <v>103</v>
      </c>
      <c r="C207" s="186"/>
      <c r="D207" s="186"/>
      <c r="E207" s="186"/>
      <c r="F207" s="197"/>
      <c r="G207" s="187"/>
      <c r="H207" s="187">
        <f>+H197</f>
        <v>448215.69090000005</v>
      </c>
      <c r="I207" s="188"/>
      <c r="J207" s="209"/>
      <c r="K207" s="170"/>
      <c r="L207" s="186" t="s">
        <v>103</v>
      </c>
      <c r="M207" s="186"/>
      <c r="N207" s="186"/>
      <c r="O207" s="186"/>
      <c r="P207" s="197"/>
      <c r="Q207" s="187"/>
      <c r="R207" s="187">
        <f>+R197</f>
        <v>448216.69090000005</v>
      </c>
      <c r="S207" s="188"/>
    </row>
    <row r="208" spans="1:19" ht="14.25" customHeight="1" thickBot="1">
      <c r="A208" s="170"/>
      <c r="B208" s="190" t="s">
        <v>211</v>
      </c>
      <c r="C208" s="190"/>
      <c r="D208" s="190"/>
      <c r="E208" s="190"/>
      <c r="F208" s="228"/>
      <c r="G208" s="192"/>
      <c r="H208" s="192">
        <f>SUM(H204:H207)</f>
        <v>643304.13089999999</v>
      </c>
      <c r="I208" s="188"/>
      <c r="J208" s="209"/>
      <c r="K208" s="170"/>
      <c r="L208" s="190" t="s">
        <v>211</v>
      </c>
      <c r="M208" s="190"/>
      <c r="N208" s="190"/>
      <c r="O208" s="190"/>
      <c r="P208" s="228"/>
      <c r="Q208" s="192"/>
      <c r="R208" s="192">
        <f>SUM(R204:R207)</f>
        <v>643303.13089999999</v>
      </c>
      <c r="S208" s="188"/>
    </row>
    <row r="209" spans="1:19" ht="15.75" thickBot="1">
      <c r="A209" s="170"/>
      <c r="B209" s="193" t="s">
        <v>220</v>
      </c>
      <c r="C209" s="193"/>
      <c r="D209" s="193"/>
      <c r="E209" s="193"/>
      <c r="F209" s="229"/>
      <c r="G209" s="195"/>
      <c r="H209" s="195">
        <f>SUM(H202-H208)</f>
        <v>4647766.5599999996</v>
      </c>
      <c r="I209" s="188"/>
      <c r="J209" s="209"/>
      <c r="K209" s="170"/>
      <c r="L209" s="193" t="s">
        <v>220</v>
      </c>
      <c r="M209" s="193"/>
      <c r="N209" s="193"/>
      <c r="O209" s="193"/>
      <c r="P209" s="229"/>
      <c r="Q209" s="195"/>
      <c r="R209" s="195">
        <f>SUM(R202-R208)</f>
        <v>4943997.461734104</v>
      </c>
      <c r="S209" s="188"/>
    </row>
    <row r="210" spans="1:19">
      <c r="A210" s="170"/>
      <c r="B210" s="186" t="s">
        <v>231</v>
      </c>
      <c r="C210" s="186"/>
      <c r="D210" s="186"/>
      <c r="E210" s="186"/>
      <c r="F210" s="197"/>
      <c r="G210" s="187"/>
      <c r="H210" s="187">
        <f>'[2]Urutan Nm'!H77</f>
        <v>10000</v>
      </c>
      <c r="I210" s="188"/>
      <c r="J210" s="209"/>
      <c r="K210" s="170"/>
      <c r="L210" s="186" t="s">
        <v>231</v>
      </c>
      <c r="M210" s="186"/>
      <c r="N210" s="186"/>
      <c r="O210" s="186"/>
      <c r="P210" s="197"/>
      <c r="Q210" s="187"/>
      <c r="R210" s="187">
        <f>'[2]Urutan Nm'!H78</f>
        <v>10000</v>
      </c>
      <c r="S210" s="188"/>
    </row>
    <row r="211" spans="1:19" ht="15.75" thickBot="1">
      <c r="A211" s="170"/>
      <c r="B211" s="199"/>
      <c r="C211" s="190"/>
      <c r="D211" s="190"/>
      <c r="E211" s="190"/>
      <c r="F211" s="228"/>
      <c r="G211" s="192"/>
      <c r="H211" s="192"/>
      <c r="I211" s="188"/>
      <c r="J211" s="187"/>
      <c r="K211" s="170"/>
      <c r="L211" s="199"/>
      <c r="M211" s="190"/>
      <c r="N211" s="190"/>
      <c r="O211" s="190"/>
      <c r="P211" s="228"/>
      <c r="Q211" s="192"/>
      <c r="R211" s="192"/>
      <c r="S211" s="188"/>
    </row>
    <row r="212" spans="1:19" ht="15.75" thickBot="1">
      <c r="A212" s="170"/>
      <c r="B212" s="200" t="s">
        <v>212</v>
      </c>
      <c r="C212" s="200"/>
      <c r="D212" s="200"/>
      <c r="E212" s="200"/>
      <c r="F212" s="230"/>
      <c r="G212" s="201"/>
      <c r="H212" s="201">
        <f>SUM(H209-H210)</f>
        <v>4637766.5599999996</v>
      </c>
      <c r="I212" s="188"/>
      <c r="J212" s="187"/>
      <c r="K212" s="170"/>
      <c r="L212" s="200" t="s">
        <v>212</v>
      </c>
      <c r="M212" s="200"/>
      <c r="N212" s="200"/>
      <c r="O212" s="200"/>
      <c r="P212" s="230"/>
      <c r="Q212" s="201"/>
      <c r="R212" s="201">
        <f>SUM(R202-R211)</f>
        <v>5587300.5926341042</v>
      </c>
      <c r="S212" s="188"/>
    </row>
    <row r="213" spans="1:19" ht="15.75" thickTop="1">
      <c r="A213" s="170"/>
      <c r="B213" s="202" t="s">
        <v>213</v>
      </c>
      <c r="C213" s="186"/>
      <c r="D213" s="186"/>
      <c r="E213" s="186"/>
      <c r="F213" s="197"/>
      <c r="G213" s="296" t="s">
        <v>214</v>
      </c>
      <c r="H213" s="296"/>
      <c r="I213" s="188"/>
      <c r="J213" s="187"/>
      <c r="K213" s="170"/>
      <c r="L213" s="202" t="s">
        <v>213</v>
      </c>
      <c r="M213" s="186"/>
      <c r="N213" s="186"/>
      <c r="O213" s="186"/>
      <c r="P213" s="197"/>
      <c r="Q213" s="296" t="s">
        <v>214</v>
      </c>
      <c r="R213" s="296"/>
      <c r="S213" s="188"/>
    </row>
    <row r="214" spans="1:19" ht="12.75" customHeight="1">
      <c r="A214" s="170"/>
      <c r="B214" s="186"/>
      <c r="C214" s="186"/>
      <c r="D214" s="186"/>
      <c r="E214" s="186"/>
      <c r="F214" s="197"/>
      <c r="G214" s="187"/>
      <c r="H214" s="187"/>
      <c r="I214" s="188"/>
      <c r="J214" s="187"/>
      <c r="K214" s="170"/>
      <c r="L214" s="186"/>
      <c r="M214" s="186"/>
      <c r="N214" s="186"/>
      <c r="O214" s="186"/>
      <c r="P214" s="197"/>
      <c r="Q214" s="187"/>
      <c r="R214" s="187"/>
      <c r="S214" s="188"/>
    </row>
    <row r="215" spans="1:19" ht="12.75" customHeight="1">
      <c r="A215" s="170"/>
      <c r="B215" s="186"/>
      <c r="C215" s="186"/>
      <c r="D215" s="186"/>
      <c r="E215" s="186"/>
      <c r="F215" s="197"/>
      <c r="G215" s="187"/>
      <c r="H215" s="187"/>
      <c r="I215" s="188"/>
      <c r="J215" s="187"/>
      <c r="K215" s="170"/>
      <c r="L215" s="186"/>
      <c r="M215" s="186"/>
      <c r="N215" s="186"/>
      <c r="O215" s="186"/>
      <c r="P215" s="197"/>
      <c r="Q215" s="187"/>
      <c r="R215" s="187"/>
      <c r="S215" s="188"/>
    </row>
    <row r="216" spans="1:19" ht="12.75" customHeight="1">
      <c r="A216" s="170"/>
      <c r="B216" s="203" t="s">
        <v>215</v>
      </c>
      <c r="C216" s="186"/>
      <c r="D216" s="186"/>
      <c r="E216" s="186"/>
      <c r="F216" s="197"/>
      <c r="G216" s="297" t="s">
        <v>216</v>
      </c>
      <c r="H216" s="297"/>
      <c r="I216" s="188"/>
      <c r="J216" s="187"/>
      <c r="K216" s="170"/>
      <c r="L216" s="203" t="s">
        <v>215</v>
      </c>
      <c r="M216" s="186"/>
      <c r="N216" s="186"/>
      <c r="O216" s="186"/>
      <c r="P216" s="197"/>
      <c r="Q216" s="297" t="s">
        <v>216</v>
      </c>
      <c r="R216" s="297"/>
      <c r="S216" s="188"/>
    </row>
    <row r="217" spans="1:19" ht="7.5" customHeight="1">
      <c r="A217" s="204"/>
      <c r="B217" s="205"/>
      <c r="C217" s="206"/>
      <c r="D217" s="206"/>
      <c r="E217" s="206"/>
      <c r="F217" s="231"/>
      <c r="G217" s="207"/>
      <c r="H217" s="205"/>
      <c r="I217" s="208"/>
      <c r="J217" s="187"/>
      <c r="K217" s="204"/>
      <c r="L217" s="205"/>
      <c r="M217" s="206"/>
      <c r="N217" s="206"/>
      <c r="O217" s="206"/>
      <c r="P217" s="231"/>
      <c r="Q217" s="207"/>
      <c r="R217" s="205"/>
      <c r="S217" s="208"/>
    </row>
    <row r="218" spans="1:19">
      <c r="A218" s="169"/>
      <c r="B218" s="186"/>
      <c r="C218" s="186"/>
      <c r="D218" s="186"/>
      <c r="E218" s="186"/>
      <c r="F218" s="197"/>
      <c r="G218" s="187"/>
      <c r="H218" s="186"/>
      <c r="I218" s="187"/>
      <c r="J218" s="187"/>
      <c r="K218" s="169"/>
      <c r="L218" s="186"/>
      <c r="M218" s="186"/>
      <c r="N218" s="186"/>
      <c r="O218" s="186"/>
      <c r="P218" s="197"/>
      <c r="Q218" s="187"/>
      <c r="R218" s="187"/>
      <c r="S218" s="187"/>
    </row>
    <row r="219" spans="1:19">
      <c r="A219" s="166"/>
      <c r="B219" s="167"/>
      <c r="C219" s="167"/>
      <c r="D219" s="167"/>
      <c r="E219" s="167"/>
      <c r="F219" s="223"/>
      <c r="G219" s="167"/>
      <c r="H219" s="167"/>
      <c r="I219" s="168"/>
      <c r="J219" s="169"/>
      <c r="K219" s="166"/>
      <c r="L219" s="167"/>
      <c r="M219" s="167"/>
      <c r="N219" s="167"/>
      <c r="O219" s="167"/>
      <c r="P219" s="223"/>
      <c r="Q219" s="167"/>
      <c r="R219" s="167"/>
      <c r="S219" s="168"/>
    </row>
    <row r="220" spans="1:19">
      <c r="A220" s="170"/>
      <c r="B220" s="169"/>
      <c r="C220" s="169"/>
      <c r="D220" s="169"/>
      <c r="E220" s="169"/>
      <c r="F220" s="224"/>
      <c r="G220" s="169"/>
      <c r="H220" s="169"/>
      <c r="I220" s="171"/>
      <c r="J220" s="169"/>
      <c r="K220" s="170"/>
      <c r="L220" s="169"/>
      <c r="M220" s="169"/>
      <c r="N220" s="169"/>
      <c r="O220" s="169"/>
      <c r="P220" s="224"/>
      <c r="Q220" s="169"/>
      <c r="R220" s="169"/>
      <c r="S220" s="171"/>
    </row>
    <row r="221" spans="1:19">
      <c r="A221" s="170"/>
      <c r="B221" s="169"/>
      <c r="C221" s="169"/>
      <c r="D221" s="169"/>
      <c r="E221" s="169"/>
      <c r="F221" s="224"/>
      <c r="G221" s="169"/>
      <c r="H221" s="169"/>
      <c r="I221" s="171"/>
      <c r="J221" s="169"/>
      <c r="K221" s="170"/>
      <c r="L221" s="169"/>
      <c r="M221" s="169"/>
      <c r="N221" s="169"/>
      <c r="O221" s="169"/>
      <c r="P221" s="224"/>
      <c r="Q221" s="169"/>
      <c r="R221" s="169"/>
      <c r="S221" s="171"/>
    </row>
    <row r="222" spans="1:19">
      <c r="A222" s="170"/>
      <c r="B222" s="294" t="s">
        <v>196</v>
      </c>
      <c r="C222" s="294"/>
      <c r="D222" s="294"/>
      <c r="E222" s="294"/>
      <c r="F222" s="294"/>
      <c r="G222" s="294"/>
      <c r="H222" s="294"/>
      <c r="I222" s="295"/>
      <c r="J222" s="169"/>
      <c r="K222" s="170"/>
      <c r="L222" s="294" t="s">
        <v>196</v>
      </c>
      <c r="M222" s="294"/>
      <c r="N222" s="294"/>
      <c r="O222" s="294"/>
      <c r="P222" s="294"/>
      <c r="Q222" s="294"/>
      <c r="R222" s="294"/>
      <c r="S222" s="295"/>
    </row>
    <row r="223" spans="1:19">
      <c r="A223" s="172"/>
      <c r="B223" s="173" t="s">
        <v>197</v>
      </c>
      <c r="C223" s="174" t="s">
        <v>198</v>
      </c>
      <c r="D223" s="211">
        <v>13</v>
      </c>
      <c r="E223" s="173"/>
      <c r="F223" s="225"/>
      <c r="G223" s="173"/>
      <c r="H223" s="173"/>
      <c r="I223" s="176"/>
      <c r="J223" s="173"/>
      <c r="K223" s="172"/>
      <c r="L223" s="173" t="s">
        <v>197</v>
      </c>
      <c r="M223" s="174" t="s">
        <v>198</v>
      </c>
      <c r="N223" s="211">
        <v>14</v>
      </c>
      <c r="O223" s="175"/>
      <c r="P223" s="225"/>
      <c r="Q223" s="173"/>
      <c r="R223" s="173"/>
      <c r="S223" s="176"/>
    </row>
    <row r="224" spans="1:19">
      <c r="A224" s="172"/>
      <c r="B224" s="173" t="s">
        <v>199</v>
      </c>
      <c r="C224" s="174" t="s">
        <v>198</v>
      </c>
      <c r="D224" s="177" t="str">
        <f>'[2]G-STAFF'!A3</f>
        <v>01 JANUARI  S/D  31 JANUARI  2025</v>
      </c>
      <c r="E224" s="173"/>
      <c r="F224" s="225"/>
      <c r="G224" s="173"/>
      <c r="H224" s="173"/>
      <c r="I224" s="176"/>
      <c r="J224" s="173"/>
      <c r="K224" s="172"/>
      <c r="L224" s="173" t="s">
        <v>199</v>
      </c>
      <c r="M224" s="174" t="s">
        <v>198</v>
      </c>
      <c r="N224" s="177" t="str">
        <f>'[2]G-STAFF'!A3</f>
        <v>01 JANUARI  S/D  31 JANUARI  2025</v>
      </c>
      <c r="O224" s="179"/>
      <c r="P224" s="225"/>
      <c r="Q224" s="173"/>
      <c r="R224" s="173"/>
      <c r="S224" s="176"/>
    </row>
    <row r="225" spans="1:19">
      <c r="A225" s="172"/>
      <c r="B225" s="173" t="s">
        <v>200</v>
      </c>
      <c r="C225" s="174" t="s">
        <v>198</v>
      </c>
      <c r="D225" s="177" t="str">
        <f>+'PRODUKSI 1'!B21</f>
        <v>MUHAMMAD RAMDANI</v>
      </c>
      <c r="E225" s="173"/>
      <c r="F225" s="225"/>
      <c r="G225" s="173"/>
      <c r="H225" s="173"/>
      <c r="I225" s="176"/>
      <c r="J225" s="173"/>
      <c r="K225" s="172"/>
      <c r="L225" s="173" t="s">
        <v>200</v>
      </c>
      <c r="M225" s="174" t="s">
        <v>198</v>
      </c>
      <c r="N225" s="178" t="str">
        <f>+'PRODUKSI 1'!B22</f>
        <v>SARIPUDIN</v>
      </c>
      <c r="O225" s="173"/>
      <c r="P225" s="225"/>
      <c r="Q225" s="173"/>
      <c r="R225" s="173"/>
      <c r="S225" s="176"/>
    </row>
    <row r="226" spans="1:19" ht="15.75" thickBot="1">
      <c r="A226" s="172"/>
      <c r="B226" s="173" t="s">
        <v>201</v>
      </c>
      <c r="C226" s="174" t="s">
        <v>198</v>
      </c>
      <c r="D226" s="177" t="str">
        <f>+'PRODUKSI 1'!C21</f>
        <v>OP. PARTISI</v>
      </c>
      <c r="E226" s="173"/>
      <c r="F226" s="225"/>
      <c r="G226" s="173"/>
      <c r="H226" s="173"/>
      <c r="I226" s="176"/>
      <c r="J226" s="173"/>
      <c r="K226" s="172"/>
      <c r="L226" s="173" t="s">
        <v>201</v>
      </c>
      <c r="M226" s="174" t="s">
        <v>198</v>
      </c>
      <c r="N226" s="178" t="str">
        <f>+'PRODUKSI 1'!C22</f>
        <v>OP.SLITER 1</v>
      </c>
      <c r="O226" s="179"/>
      <c r="P226" s="225"/>
      <c r="Q226" s="173"/>
      <c r="R226" s="173"/>
      <c r="S226" s="176"/>
    </row>
    <row r="227" spans="1:19" ht="10.5" customHeight="1" thickTop="1">
      <c r="A227" s="170"/>
      <c r="B227" s="182"/>
      <c r="C227" s="182"/>
      <c r="D227" s="182"/>
      <c r="E227" s="182"/>
      <c r="F227" s="226"/>
      <c r="G227" s="182"/>
      <c r="H227" s="182"/>
      <c r="I227" s="183"/>
      <c r="J227" s="169"/>
      <c r="K227" s="170"/>
      <c r="L227" s="182"/>
      <c r="M227" s="182"/>
      <c r="N227" s="182"/>
      <c r="O227" s="182"/>
      <c r="P227" s="226"/>
      <c r="Q227" s="182"/>
      <c r="R227" s="182"/>
      <c r="S227" s="183"/>
    </row>
    <row r="228" spans="1:19">
      <c r="A228" s="170"/>
      <c r="B228" s="184" t="s">
        <v>202</v>
      </c>
      <c r="C228" s="185"/>
      <c r="D228" s="185"/>
      <c r="E228" s="185"/>
      <c r="F228" s="227"/>
      <c r="G228" s="185"/>
      <c r="H228" s="185"/>
      <c r="I228" s="183"/>
      <c r="J228" s="169"/>
      <c r="K228" s="170"/>
      <c r="L228" s="184" t="s">
        <v>202</v>
      </c>
      <c r="M228" s="184"/>
      <c r="N228" s="185"/>
      <c r="O228" s="185"/>
      <c r="P228" s="227"/>
      <c r="Q228" s="185"/>
      <c r="R228" s="185"/>
      <c r="S228" s="183"/>
    </row>
    <row r="229" spans="1:19" ht="14.25" customHeight="1">
      <c r="A229" s="170"/>
      <c r="B229" s="186" t="s">
        <v>111</v>
      </c>
      <c r="C229" s="186"/>
      <c r="D229" s="187"/>
      <c r="E229" s="186"/>
      <c r="F229" s="197"/>
      <c r="G229" s="187"/>
      <c r="H229" s="187">
        <f>+'PRODUKSI 1'!H21</f>
        <v>4594855</v>
      </c>
      <c r="I229" s="188"/>
      <c r="J229" s="187"/>
      <c r="K229" s="170"/>
      <c r="L229" s="186" t="s">
        <v>111</v>
      </c>
      <c r="M229" s="186"/>
      <c r="N229" s="187"/>
      <c r="O229" s="186"/>
      <c r="P229" s="197"/>
      <c r="Q229" s="187"/>
      <c r="R229" s="187">
        <f>+'PRODUKSI 1'!H22</f>
        <v>4594855</v>
      </c>
      <c r="S229" s="188"/>
    </row>
    <row r="230" spans="1:19" ht="14.25" customHeight="1">
      <c r="A230" s="170"/>
      <c r="B230" s="186" t="s">
        <v>203</v>
      </c>
      <c r="C230" s="186"/>
      <c r="D230" s="186"/>
      <c r="E230" s="186"/>
      <c r="F230" s="197"/>
      <c r="G230" s="187"/>
      <c r="H230" s="187">
        <f>+'PRODUKSI 1'!I21</f>
        <v>80000</v>
      </c>
      <c r="I230" s="188"/>
      <c r="J230" s="209"/>
      <c r="K230" s="170"/>
      <c r="L230" s="186" t="s">
        <v>203</v>
      </c>
      <c r="M230" s="186"/>
      <c r="N230" s="186"/>
      <c r="O230" s="186"/>
      <c r="P230" s="197"/>
      <c r="Q230" s="187"/>
      <c r="R230" s="187">
        <f>+'PRODUKSI 1'!I22</f>
        <v>80000</v>
      </c>
      <c r="S230" s="188"/>
    </row>
    <row r="231" spans="1:19" ht="14.25" customHeight="1">
      <c r="A231" s="170"/>
      <c r="B231" s="186" t="s">
        <v>227</v>
      </c>
      <c r="C231" s="186"/>
      <c r="D231" s="186"/>
      <c r="E231" s="186"/>
      <c r="F231" s="197"/>
      <c r="G231" s="187"/>
      <c r="H231" s="187">
        <f>+'PRODUKSI 1'!J21</f>
        <v>40000</v>
      </c>
      <c r="I231" s="188"/>
      <c r="J231" s="209"/>
      <c r="K231" s="170"/>
      <c r="L231" s="186" t="s">
        <v>227</v>
      </c>
      <c r="M231" s="186"/>
      <c r="N231" s="186"/>
      <c r="O231" s="186"/>
      <c r="P231" s="197"/>
      <c r="Q231" s="187"/>
      <c r="R231" s="187">
        <f>+'PRODUKSI 1'!J22</f>
        <v>80000</v>
      </c>
      <c r="S231" s="188"/>
    </row>
    <row r="232" spans="1:19" ht="14.25" customHeight="1">
      <c r="A232" s="170"/>
      <c r="B232" s="186" t="s">
        <v>228</v>
      </c>
      <c r="C232" s="186"/>
      <c r="D232" s="186"/>
      <c r="E232" s="186"/>
      <c r="F232" s="197"/>
      <c r="G232" s="187"/>
      <c r="H232" s="187">
        <f>+'PRODUKSI 1'!K21</f>
        <v>0</v>
      </c>
      <c r="I232" s="188"/>
      <c r="J232" s="209"/>
      <c r="K232" s="170"/>
      <c r="L232" s="186" t="s">
        <v>228</v>
      </c>
      <c r="M232" s="186"/>
      <c r="N232" s="186"/>
      <c r="O232" s="186"/>
      <c r="P232" s="197"/>
      <c r="Q232" s="187"/>
      <c r="R232" s="187">
        <f>+'PRODUKSI 1'!K22</f>
        <v>0</v>
      </c>
      <c r="S232" s="188"/>
    </row>
    <row r="233" spans="1:19" ht="14.25" customHeight="1">
      <c r="A233" s="170"/>
      <c r="B233" s="186" t="s">
        <v>224</v>
      </c>
      <c r="C233" s="186"/>
      <c r="D233" s="186"/>
      <c r="E233" s="186"/>
      <c r="F233" s="197"/>
      <c r="G233" s="187"/>
      <c r="H233" s="187">
        <f>+'PRODUKSI 1'!AA21+1</f>
        <v>448216.69090000005</v>
      </c>
      <c r="I233" s="188"/>
      <c r="J233" s="209"/>
      <c r="K233" s="170"/>
      <c r="L233" s="186" t="s">
        <v>224</v>
      </c>
      <c r="M233" s="186"/>
      <c r="N233" s="186"/>
      <c r="O233" s="186"/>
      <c r="P233" s="197"/>
      <c r="Q233" s="187"/>
      <c r="R233" s="187">
        <f>+'PRODUKSI 1'!AA22</f>
        <v>448215.69090000005</v>
      </c>
      <c r="S233" s="188"/>
    </row>
    <row r="234" spans="1:19" ht="14.25" customHeight="1">
      <c r="A234" s="170"/>
      <c r="B234" s="186" t="s">
        <v>195</v>
      </c>
      <c r="C234" s="186"/>
      <c r="D234" s="187"/>
      <c r="E234" s="186"/>
      <c r="F234" s="197"/>
      <c r="G234" s="187"/>
      <c r="H234" s="187">
        <f>+'PRODUKSI 1'!S21</f>
        <v>88000</v>
      </c>
      <c r="I234" s="188"/>
      <c r="J234" s="187"/>
      <c r="K234" s="170"/>
      <c r="L234" s="186" t="s">
        <v>195</v>
      </c>
      <c r="M234" s="186"/>
      <c r="N234" s="187"/>
      <c r="O234" s="186"/>
      <c r="P234" s="197"/>
      <c r="Q234" s="187"/>
      <c r="R234" s="187">
        <f>+'PRODUKSI 1'!S22</f>
        <v>92000</v>
      </c>
      <c r="S234" s="188"/>
    </row>
    <row r="235" spans="1:19" ht="14.25" customHeight="1">
      <c r="A235" s="170"/>
      <c r="B235" s="220" t="s">
        <v>233</v>
      </c>
      <c r="C235" s="186"/>
      <c r="D235" s="187"/>
      <c r="E235" s="186"/>
      <c r="F235" s="197"/>
      <c r="G235" s="187"/>
      <c r="H235" s="187"/>
      <c r="I235" s="188"/>
      <c r="J235" s="209"/>
      <c r="K235" s="170"/>
      <c r="L235" s="220" t="s">
        <v>233</v>
      </c>
      <c r="M235" s="186"/>
      <c r="N235" s="187"/>
      <c r="O235" s="186"/>
      <c r="P235" s="197"/>
      <c r="Q235" s="187"/>
      <c r="R235" s="187"/>
      <c r="S235" s="188"/>
    </row>
    <row r="236" spans="1:19" ht="14.25" customHeight="1">
      <c r="A236" s="170"/>
      <c r="B236" s="186" t="s">
        <v>206</v>
      </c>
      <c r="C236" s="186"/>
      <c r="D236" s="212">
        <v>0</v>
      </c>
      <c r="E236" s="186" t="s">
        <v>207</v>
      </c>
      <c r="F236" s="197" t="s">
        <v>205</v>
      </c>
      <c r="G236" s="187">
        <f>'[2]G-STAFF'!M46</f>
        <v>25222.890173410404</v>
      </c>
      <c r="H236" s="187">
        <v>0</v>
      </c>
      <c r="I236" s="188"/>
      <c r="J236" s="187"/>
      <c r="K236" s="170"/>
      <c r="L236" s="186" t="s">
        <v>206</v>
      </c>
      <c r="M236" s="186"/>
      <c r="N236" s="212">
        <v>0</v>
      </c>
      <c r="O236" s="186" t="s">
        <v>207</v>
      </c>
      <c r="P236" s="197" t="s">
        <v>205</v>
      </c>
      <c r="Q236" s="187">
        <v>25223</v>
      </c>
      <c r="R236" s="187">
        <v>0</v>
      </c>
      <c r="S236" s="188"/>
    </row>
    <row r="237" spans="1:19" ht="14.25" customHeight="1" thickBot="1">
      <c r="A237" s="170"/>
      <c r="B237" s="190" t="s">
        <v>208</v>
      </c>
      <c r="C237" s="190"/>
      <c r="D237" s="213">
        <v>10</v>
      </c>
      <c r="E237" s="190" t="s">
        <v>207</v>
      </c>
      <c r="F237" s="228" t="s">
        <v>205</v>
      </c>
      <c r="G237" s="192">
        <f>G236</f>
        <v>25222.890173410404</v>
      </c>
      <c r="H237" s="192">
        <f>G237*D237</f>
        <v>252228.90173410403</v>
      </c>
      <c r="I237" s="188"/>
      <c r="J237" s="187"/>
      <c r="K237" s="170"/>
      <c r="L237" s="190" t="s">
        <v>208</v>
      </c>
      <c r="M237" s="190"/>
      <c r="N237" s="213">
        <v>0</v>
      </c>
      <c r="O237" s="190" t="s">
        <v>207</v>
      </c>
      <c r="P237" s="228" t="s">
        <v>205</v>
      </c>
      <c r="Q237" s="192">
        <f>Q236</f>
        <v>25223</v>
      </c>
      <c r="R237" s="192">
        <f>Q237*N237</f>
        <v>0</v>
      </c>
      <c r="S237" s="188"/>
    </row>
    <row r="238" spans="1:19" ht="15.75" thickBot="1">
      <c r="A238" s="170"/>
      <c r="B238" s="190" t="s">
        <v>219</v>
      </c>
      <c r="C238" s="190"/>
      <c r="D238" s="213">
        <f>'[2]G-STAFF'!CI46</f>
        <v>86.5</v>
      </c>
      <c r="E238" s="190"/>
      <c r="F238" s="228"/>
      <c r="G238" s="192"/>
      <c r="H238" s="192">
        <f>SUM(H229:H237)</f>
        <v>5503300.5926341042</v>
      </c>
      <c r="I238" s="188"/>
      <c r="J238" s="187"/>
      <c r="K238" s="170"/>
      <c r="L238" s="190" t="s">
        <v>219</v>
      </c>
      <c r="M238" s="190"/>
      <c r="N238" s="213">
        <f>'[2]G-STAFF'!CI47</f>
        <v>131.5</v>
      </c>
      <c r="O238" s="190"/>
      <c r="P238" s="228"/>
      <c r="Q238" s="192"/>
      <c r="R238" s="192">
        <f>SUM(R229:R237)</f>
        <v>5295070.6908999998</v>
      </c>
      <c r="S238" s="188"/>
    </row>
    <row r="239" spans="1:19">
      <c r="A239" s="170"/>
      <c r="B239" s="196" t="s">
        <v>113</v>
      </c>
      <c r="C239" s="186"/>
      <c r="D239" s="186"/>
      <c r="E239" s="186"/>
      <c r="F239" s="197"/>
      <c r="G239" s="187"/>
      <c r="H239" s="187"/>
      <c r="I239" s="188"/>
      <c r="J239" s="209"/>
      <c r="K239" s="170"/>
      <c r="L239" s="196" t="s">
        <v>113</v>
      </c>
      <c r="M239" s="186"/>
      <c r="N239" s="186"/>
      <c r="O239" s="186"/>
      <c r="P239" s="197"/>
      <c r="Q239" s="187"/>
      <c r="R239" s="187"/>
      <c r="S239" s="188"/>
    </row>
    <row r="240" spans="1:19" ht="14.25" customHeight="1">
      <c r="A240" s="170"/>
      <c r="B240" s="186" t="s">
        <v>209</v>
      </c>
      <c r="C240" s="186"/>
      <c r="D240" s="197"/>
      <c r="E240" s="186"/>
      <c r="F240" s="197"/>
      <c r="G240" s="198" t="str">
        <f>+'PRODUKSI 1'!D21</f>
        <v>K3</v>
      </c>
      <c r="H240" s="187">
        <f>+'PRODUKSI 1'!AH21</f>
        <v>0</v>
      </c>
      <c r="I240" s="188"/>
      <c r="J240" s="209"/>
      <c r="K240" s="170"/>
      <c r="L240" s="186" t="s">
        <v>209</v>
      </c>
      <c r="M240" s="186"/>
      <c r="N240" s="198"/>
      <c r="O240" s="186"/>
      <c r="P240" s="197"/>
      <c r="Q240" s="198" t="str">
        <f>+'PRODUKSI 1'!D22</f>
        <v>K</v>
      </c>
      <c r="R240" s="187">
        <f>+'PRODUKSI 1'!AH22</f>
        <v>0</v>
      </c>
      <c r="S240" s="188"/>
    </row>
    <row r="241" spans="1:19" ht="14.25" customHeight="1">
      <c r="A241" s="170"/>
      <c r="B241" s="186" t="s">
        <v>225</v>
      </c>
      <c r="C241" s="186"/>
      <c r="D241" s="197"/>
      <c r="E241" s="186"/>
      <c r="F241" s="197"/>
      <c r="G241" s="198"/>
      <c r="H241" s="187">
        <f>+'PRODUKSI 1'!AE21+'PRODUKSI 1'!AF21</f>
        <v>48772.11</v>
      </c>
      <c r="I241" s="188"/>
      <c r="J241" s="209"/>
      <c r="K241" s="170"/>
      <c r="L241" s="186" t="s">
        <v>225</v>
      </c>
      <c r="M241" s="186"/>
      <c r="N241" s="198"/>
      <c r="O241" s="186"/>
      <c r="P241" s="197"/>
      <c r="Q241" s="198"/>
      <c r="R241" s="187">
        <f>+'PRODUKSI 1'!AE22+'PRODUKSI 1'!AF22</f>
        <v>48772.11</v>
      </c>
      <c r="S241" s="188"/>
    </row>
    <row r="242" spans="1:19" ht="14.25" customHeight="1">
      <c r="A242" s="170"/>
      <c r="B242" s="186" t="s">
        <v>226</v>
      </c>
      <c r="C242" s="186"/>
      <c r="D242" s="197"/>
      <c r="E242" s="186"/>
      <c r="F242" s="197"/>
      <c r="G242" s="198"/>
      <c r="H242" s="187">
        <f>+'PRODUKSI 1'!AC21+'PRODUKSI 1'!AD21-2</f>
        <v>146314.33000000002</v>
      </c>
      <c r="I242" s="188"/>
      <c r="J242" s="209"/>
      <c r="K242" s="170"/>
      <c r="L242" s="186" t="s">
        <v>226</v>
      </c>
      <c r="M242" s="186"/>
      <c r="N242" s="198"/>
      <c r="O242" s="186"/>
      <c r="P242" s="197"/>
      <c r="Q242" s="198"/>
      <c r="R242" s="187">
        <f>+'PRODUKSI 1'!AC22+'PRODUKSI 1'!AD22</f>
        <v>146316.33000000002</v>
      </c>
      <c r="S242" s="188"/>
    </row>
    <row r="243" spans="1:19" ht="14.25" customHeight="1">
      <c r="A243" s="170"/>
      <c r="B243" s="186" t="s">
        <v>103</v>
      </c>
      <c r="C243" s="186"/>
      <c r="D243" s="186"/>
      <c r="E243" s="186"/>
      <c r="F243" s="197"/>
      <c r="G243" s="187"/>
      <c r="H243" s="187">
        <f>+H233</f>
        <v>448216.69090000005</v>
      </c>
      <c r="I243" s="188"/>
      <c r="J243" s="209"/>
      <c r="K243" s="170"/>
      <c r="L243" s="186" t="s">
        <v>103</v>
      </c>
      <c r="M243" s="186"/>
      <c r="N243" s="186"/>
      <c r="O243" s="186"/>
      <c r="P243" s="197"/>
      <c r="Q243" s="187"/>
      <c r="R243" s="187">
        <f>+R233</f>
        <v>448215.69090000005</v>
      </c>
      <c r="S243" s="188"/>
    </row>
    <row r="244" spans="1:19" ht="14.25" customHeight="1" thickBot="1">
      <c r="A244" s="170"/>
      <c r="B244" s="190" t="s">
        <v>211</v>
      </c>
      <c r="C244" s="190"/>
      <c r="D244" s="190"/>
      <c r="E244" s="190"/>
      <c r="F244" s="228"/>
      <c r="G244" s="192"/>
      <c r="H244" s="192">
        <f>SUM(H240:H243)</f>
        <v>643303.13089999999</v>
      </c>
      <c r="I244" s="188"/>
      <c r="J244" s="209"/>
      <c r="K244" s="170"/>
      <c r="L244" s="190" t="s">
        <v>211</v>
      </c>
      <c r="M244" s="190"/>
      <c r="N244" s="190"/>
      <c r="O244" s="190"/>
      <c r="P244" s="228"/>
      <c r="Q244" s="192"/>
      <c r="R244" s="192">
        <f>SUM(R240:R243)</f>
        <v>643304.13089999999</v>
      </c>
      <c r="S244" s="188"/>
    </row>
    <row r="245" spans="1:19" ht="15.75" thickBot="1">
      <c r="A245" s="170"/>
      <c r="B245" s="193" t="s">
        <v>220</v>
      </c>
      <c r="C245" s="193"/>
      <c r="D245" s="193"/>
      <c r="E245" s="193"/>
      <c r="F245" s="229"/>
      <c r="G245" s="195"/>
      <c r="H245" s="195">
        <f>SUM(H238-H244)</f>
        <v>4859997.461734104</v>
      </c>
      <c r="I245" s="188"/>
      <c r="J245" s="209"/>
      <c r="K245" s="170"/>
      <c r="L245" s="193" t="s">
        <v>220</v>
      </c>
      <c r="M245" s="193"/>
      <c r="N245" s="193"/>
      <c r="O245" s="193"/>
      <c r="P245" s="229"/>
      <c r="Q245" s="195"/>
      <c r="R245" s="195">
        <f>SUM(R238-R244)</f>
        <v>4651766.5599999996</v>
      </c>
      <c r="S245" s="188"/>
    </row>
    <row r="246" spans="1:19">
      <c r="A246" s="170"/>
      <c r="B246" s="186" t="s">
        <v>231</v>
      </c>
      <c r="C246" s="186"/>
      <c r="D246" s="186"/>
      <c r="E246" s="186"/>
      <c r="F246" s="197"/>
      <c r="G246" s="187"/>
      <c r="H246" s="187">
        <f>'[2]Urutan Nm'!H79</f>
        <v>10000</v>
      </c>
      <c r="I246" s="188"/>
      <c r="J246" s="209"/>
      <c r="K246" s="170"/>
      <c r="L246" s="186" t="s">
        <v>231</v>
      </c>
      <c r="M246" s="186"/>
      <c r="N246" s="186"/>
      <c r="O246" s="186"/>
      <c r="P246" s="197"/>
      <c r="Q246" s="187"/>
      <c r="R246" s="187">
        <f>'[2]Urutan Nm'!H80</f>
        <v>10000</v>
      </c>
      <c r="S246" s="188"/>
    </row>
    <row r="247" spans="1:19" ht="15.75" thickBot="1">
      <c r="A247" s="170"/>
      <c r="B247" s="199"/>
      <c r="C247" s="190"/>
      <c r="D247" s="190"/>
      <c r="E247" s="190"/>
      <c r="F247" s="228"/>
      <c r="G247" s="192"/>
      <c r="H247" s="192"/>
      <c r="I247" s="188"/>
      <c r="J247" s="187"/>
      <c r="K247" s="170"/>
      <c r="L247" s="199"/>
      <c r="M247" s="190"/>
      <c r="N247" s="190"/>
      <c r="O247" s="190"/>
      <c r="P247" s="228"/>
      <c r="Q247" s="192"/>
      <c r="R247" s="192"/>
      <c r="S247" s="188"/>
    </row>
    <row r="248" spans="1:19" ht="15.75" thickBot="1">
      <c r="A248" s="170"/>
      <c r="B248" s="200" t="s">
        <v>212</v>
      </c>
      <c r="C248" s="200"/>
      <c r="D248" s="200"/>
      <c r="E248" s="200"/>
      <c r="F248" s="230"/>
      <c r="G248" s="201"/>
      <c r="H248" s="201">
        <f>+H245-H246</f>
        <v>4849997.461734104</v>
      </c>
      <c r="I248" s="188"/>
      <c r="J248" s="187"/>
      <c r="K248" s="170"/>
      <c r="L248" s="200" t="s">
        <v>212</v>
      </c>
      <c r="M248" s="200"/>
      <c r="N248" s="200"/>
      <c r="O248" s="200"/>
      <c r="P248" s="230"/>
      <c r="Q248" s="201"/>
      <c r="R248" s="201">
        <f>+R245-R246</f>
        <v>4641766.5599999996</v>
      </c>
      <c r="S248" s="188"/>
    </row>
    <row r="249" spans="1:19" ht="15.75" thickTop="1">
      <c r="A249" s="170"/>
      <c r="B249" s="202" t="s">
        <v>213</v>
      </c>
      <c r="C249" s="186"/>
      <c r="D249" s="186"/>
      <c r="E249" s="186"/>
      <c r="F249" s="197"/>
      <c r="G249" s="296" t="s">
        <v>214</v>
      </c>
      <c r="H249" s="296"/>
      <c r="I249" s="188"/>
      <c r="J249" s="187"/>
      <c r="K249" s="170"/>
      <c r="L249" s="202" t="s">
        <v>213</v>
      </c>
      <c r="M249" s="186"/>
      <c r="N249" s="186"/>
      <c r="O249" s="186"/>
      <c r="P249" s="197"/>
      <c r="Q249" s="296" t="s">
        <v>214</v>
      </c>
      <c r="R249" s="296"/>
      <c r="S249" s="188"/>
    </row>
    <row r="250" spans="1:19" ht="12.75" customHeight="1">
      <c r="A250" s="170"/>
      <c r="B250" s="186"/>
      <c r="C250" s="186"/>
      <c r="D250" s="186"/>
      <c r="E250" s="186"/>
      <c r="F250" s="197"/>
      <c r="G250" s="187"/>
      <c r="H250" s="187"/>
      <c r="I250" s="188"/>
      <c r="J250" s="187"/>
      <c r="K250" s="170"/>
      <c r="L250" s="186"/>
      <c r="M250" s="186"/>
      <c r="N250" s="186"/>
      <c r="O250" s="186"/>
      <c r="P250" s="197"/>
      <c r="Q250" s="187"/>
      <c r="R250" s="187"/>
      <c r="S250" s="188"/>
    </row>
    <row r="251" spans="1:19" ht="12.75" customHeight="1">
      <c r="A251" s="170"/>
      <c r="B251" s="186"/>
      <c r="C251" s="186"/>
      <c r="D251" s="186"/>
      <c r="E251" s="186"/>
      <c r="F251" s="197"/>
      <c r="G251" s="187"/>
      <c r="H251" s="187"/>
      <c r="I251" s="188"/>
      <c r="J251" s="187"/>
      <c r="K251" s="170"/>
      <c r="L251" s="186"/>
      <c r="M251" s="186"/>
      <c r="N251" s="186"/>
      <c r="O251" s="186"/>
      <c r="P251" s="197"/>
      <c r="Q251" s="187"/>
      <c r="R251" s="187"/>
      <c r="S251" s="188"/>
    </row>
    <row r="252" spans="1:19" ht="12.75" customHeight="1">
      <c r="A252" s="170"/>
      <c r="B252" s="203" t="s">
        <v>215</v>
      </c>
      <c r="C252" s="186"/>
      <c r="D252" s="186"/>
      <c r="E252" s="186"/>
      <c r="F252" s="197"/>
      <c r="G252" s="297" t="s">
        <v>216</v>
      </c>
      <c r="H252" s="297"/>
      <c r="I252" s="188"/>
      <c r="J252" s="187"/>
      <c r="K252" s="170"/>
      <c r="L252" s="203" t="s">
        <v>215</v>
      </c>
      <c r="M252" s="186"/>
      <c r="N252" s="186"/>
      <c r="O252" s="186"/>
      <c r="P252" s="197"/>
      <c r="Q252" s="297" t="s">
        <v>216</v>
      </c>
      <c r="R252" s="297"/>
      <c r="S252" s="188"/>
    </row>
    <row r="253" spans="1:19" ht="7.5" customHeight="1">
      <c r="A253" s="204"/>
      <c r="B253" s="205"/>
      <c r="C253" s="206"/>
      <c r="D253" s="206"/>
      <c r="E253" s="206"/>
      <c r="F253" s="231"/>
      <c r="G253" s="207"/>
      <c r="H253" s="205"/>
      <c r="I253" s="208"/>
      <c r="J253" s="187"/>
      <c r="K253" s="204"/>
      <c r="L253" s="205"/>
      <c r="M253" s="206"/>
      <c r="N253" s="206"/>
      <c r="O253" s="206"/>
      <c r="P253" s="231"/>
      <c r="Q253" s="207"/>
      <c r="R253" s="205"/>
      <c r="S253" s="208"/>
    </row>
    <row r="255" spans="1:19">
      <c r="A255" s="166"/>
      <c r="B255" s="167"/>
      <c r="C255" s="167"/>
      <c r="D255" s="167"/>
      <c r="E255" s="167"/>
      <c r="F255" s="223"/>
      <c r="G255" s="167"/>
      <c r="H255" s="167"/>
      <c r="I255" s="168"/>
      <c r="J255" s="169"/>
      <c r="K255" s="166"/>
      <c r="L255" s="167"/>
      <c r="M255" s="167"/>
      <c r="N255" s="167"/>
      <c r="O255" s="167"/>
      <c r="P255" s="223"/>
      <c r="Q255" s="167"/>
      <c r="R255" s="167"/>
      <c r="S255" s="168"/>
    </row>
    <row r="256" spans="1:19">
      <c r="A256" s="170"/>
      <c r="B256" s="169"/>
      <c r="C256" s="169"/>
      <c r="D256" s="169"/>
      <c r="E256" s="169"/>
      <c r="F256" s="224"/>
      <c r="G256" s="169"/>
      <c r="H256" s="169"/>
      <c r="I256" s="171"/>
      <c r="J256" s="169"/>
      <c r="K256" s="170"/>
      <c r="L256" s="169"/>
      <c r="M256" s="169"/>
      <c r="N256" s="169"/>
      <c r="O256" s="169"/>
      <c r="P256" s="224"/>
      <c r="Q256" s="169"/>
      <c r="R256" s="169"/>
      <c r="S256" s="171"/>
    </row>
    <row r="257" spans="1:19">
      <c r="A257" s="170"/>
      <c r="B257" s="169"/>
      <c r="C257" s="169"/>
      <c r="D257" s="169"/>
      <c r="E257" s="169"/>
      <c r="F257" s="224"/>
      <c r="G257" s="169"/>
      <c r="H257" s="169"/>
      <c r="I257" s="171"/>
      <c r="J257" s="169"/>
      <c r="K257" s="170"/>
      <c r="L257" s="169"/>
      <c r="M257" s="169"/>
      <c r="N257" s="169"/>
      <c r="O257" s="169"/>
      <c r="P257" s="224"/>
      <c r="Q257" s="169"/>
      <c r="R257" s="169"/>
      <c r="S257" s="171"/>
    </row>
    <row r="258" spans="1:19">
      <c r="A258" s="170"/>
      <c r="B258" s="294" t="s">
        <v>196</v>
      </c>
      <c r="C258" s="294"/>
      <c r="D258" s="294"/>
      <c r="E258" s="294"/>
      <c r="F258" s="294"/>
      <c r="G258" s="294"/>
      <c r="H258" s="294"/>
      <c r="I258" s="295"/>
      <c r="J258" s="169"/>
      <c r="K258" s="170"/>
      <c r="L258" s="294" t="s">
        <v>196</v>
      </c>
      <c r="M258" s="294"/>
      <c r="N258" s="294"/>
      <c r="O258" s="294"/>
      <c r="P258" s="294"/>
      <c r="Q258" s="294"/>
      <c r="R258" s="294"/>
      <c r="S258" s="295"/>
    </row>
    <row r="259" spans="1:19">
      <c r="A259" s="172"/>
      <c r="B259" s="173" t="s">
        <v>197</v>
      </c>
      <c r="C259" s="174" t="s">
        <v>198</v>
      </c>
      <c r="D259" s="211">
        <v>15</v>
      </c>
      <c r="E259" s="173"/>
      <c r="F259" s="225"/>
      <c r="G259" s="173"/>
      <c r="H259" s="173"/>
      <c r="I259" s="176"/>
      <c r="J259" s="173"/>
      <c r="K259" s="172"/>
      <c r="L259" s="173" t="s">
        <v>197</v>
      </c>
      <c r="M259" s="174" t="s">
        <v>198</v>
      </c>
      <c r="N259" s="211">
        <v>16</v>
      </c>
      <c r="O259" s="175"/>
      <c r="P259" s="225"/>
      <c r="Q259" s="173"/>
      <c r="R259" s="173"/>
      <c r="S259" s="176"/>
    </row>
    <row r="260" spans="1:19">
      <c r="A260" s="172"/>
      <c r="B260" s="173" t="s">
        <v>199</v>
      </c>
      <c r="C260" s="174" t="s">
        <v>198</v>
      </c>
      <c r="D260" s="177" t="s">
        <v>229</v>
      </c>
      <c r="E260" s="173"/>
      <c r="F260" s="225"/>
      <c r="G260" s="173"/>
      <c r="H260" s="173"/>
      <c r="I260" s="176"/>
      <c r="J260" s="173"/>
      <c r="K260" s="172"/>
      <c r="L260" s="173" t="s">
        <v>199</v>
      </c>
      <c r="M260" s="174" t="s">
        <v>198</v>
      </c>
      <c r="N260" s="177" t="s">
        <v>229</v>
      </c>
      <c r="O260" s="179"/>
      <c r="P260" s="225"/>
      <c r="Q260" s="173"/>
      <c r="R260" s="173"/>
      <c r="S260" s="176"/>
    </row>
    <row r="261" spans="1:19">
      <c r="A261" s="172"/>
      <c r="B261" s="173" t="s">
        <v>200</v>
      </c>
      <c r="C261" s="174" t="s">
        <v>198</v>
      </c>
      <c r="D261" s="177" t="str">
        <f>+'PRODUKSI 1'!B23</f>
        <v>SYARIF HIDAYATULLAH</v>
      </c>
      <c r="E261" s="173"/>
      <c r="F261" s="225"/>
      <c r="G261" s="173"/>
      <c r="H261" s="173"/>
      <c r="I261" s="176"/>
      <c r="J261" s="173"/>
      <c r="K261" s="172"/>
      <c r="L261" s="173" t="s">
        <v>200</v>
      </c>
      <c r="M261" s="174" t="s">
        <v>198</v>
      </c>
      <c r="N261" s="178" t="str">
        <f>+'PRODUKSI 1'!B24</f>
        <v>SAMAH</v>
      </c>
      <c r="O261" s="173"/>
      <c r="P261" s="225"/>
      <c r="Q261" s="173"/>
      <c r="R261" s="173"/>
      <c r="S261" s="176"/>
    </row>
    <row r="262" spans="1:19" ht="15.75" thickBot="1">
      <c r="A262" s="172"/>
      <c r="B262" s="173" t="s">
        <v>201</v>
      </c>
      <c r="C262" s="174" t="s">
        <v>198</v>
      </c>
      <c r="D262" s="177" t="str">
        <f>+'PRODUKSI 1'!C23</f>
        <v>OP.PRINTER 2</v>
      </c>
      <c r="E262" s="173"/>
      <c r="F262" s="225"/>
      <c r="G262" s="173"/>
      <c r="H262" s="173"/>
      <c r="I262" s="176"/>
      <c r="J262" s="173"/>
      <c r="K262" s="172"/>
      <c r="L262" s="173" t="s">
        <v>201</v>
      </c>
      <c r="M262" s="174" t="s">
        <v>198</v>
      </c>
      <c r="N262" s="178" t="str">
        <f>+'PRODUKSI 1'!C24</f>
        <v>LEM B</v>
      </c>
      <c r="O262" s="179"/>
      <c r="P262" s="225"/>
      <c r="Q262" s="173"/>
      <c r="R262" s="173"/>
      <c r="S262" s="176"/>
    </row>
    <row r="263" spans="1:19" ht="10.5" customHeight="1" thickTop="1">
      <c r="A263" s="170"/>
      <c r="B263" s="182"/>
      <c r="C263" s="182"/>
      <c r="D263" s="182"/>
      <c r="E263" s="182"/>
      <c r="F263" s="226"/>
      <c r="G263" s="182"/>
      <c r="H263" s="182"/>
      <c r="I263" s="183"/>
      <c r="J263" s="169"/>
      <c r="K263" s="170"/>
      <c r="L263" s="182"/>
      <c r="M263" s="182"/>
      <c r="N263" s="182"/>
      <c r="O263" s="182"/>
      <c r="P263" s="226"/>
      <c r="Q263" s="182"/>
      <c r="R263" s="182"/>
      <c r="S263" s="183"/>
    </row>
    <row r="264" spans="1:19">
      <c r="A264" s="170"/>
      <c r="B264" s="184" t="s">
        <v>202</v>
      </c>
      <c r="C264" s="185"/>
      <c r="D264" s="185"/>
      <c r="E264" s="185"/>
      <c r="F264" s="227"/>
      <c r="G264" s="185"/>
      <c r="H264" s="185"/>
      <c r="I264" s="183"/>
      <c r="J264" s="169"/>
      <c r="K264" s="170"/>
      <c r="L264" s="184" t="s">
        <v>202</v>
      </c>
      <c r="M264" s="184"/>
      <c r="N264" s="185"/>
      <c r="O264" s="185"/>
      <c r="P264" s="227"/>
      <c r="Q264" s="185"/>
      <c r="R264" s="185"/>
      <c r="S264" s="183"/>
    </row>
    <row r="265" spans="1:19" ht="14.25" customHeight="1">
      <c r="A265" s="170"/>
      <c r="B265" s="186" t="s">
        <v>111</v>
      </c>
      <c r="C265" s="186"/>
      <c r="D265" s="187"/>
      <c r="E265" s="186"/>
      <c r="F265" s="197"/>
      <c r="G265" s="187"/>
      <c r="H265" s="187">
        <f>+'PRODUKSI 1'!H23</f>
        <v>4594855</v>
      </c>
      <c r="I265" s="188"/>
      <c r="J265" s="187"/>
      <c r="K265" s="170"/>
      <c r="L265" s="186" t="s">
        <v>111</v>
      </c>
      <c r="M265" s="186"/>
      <c r="N265" s="187"/>
      <c r="O265" s="186"/>
      <c r="P265" s="197"/>
      <c r="Q265" s="187"/>
      <c r="R265" s="187">
        <f>+'PRODUKSI 1'!H24</f>
        <v>4394855</v>
      </c>
      <c r="S265" s="188"/>
    </row>
    <row r="266" spans="1:19" ht="14.25" customHeight="1">
      <c r="A266" s="170"/>
      <c r="B266" s="186" t="s">
        <v>203</v>
      </c>
      <c r="C266" s="186"/>
      <c r="D266" s="186"/>
      <c r="E266" s="186"/>
      <c r="F266" s="197"/>
      <c r="G266" s="187"/>
      <c r="H266" s="187">
        <f>+'PRODUKSI 1'!I23</f>
        <v>100000</v>
      </c>
      <c r="I266" s="188"/>
      <c r="J266" s="209"/>
      <c r="K266" s="170"/>
      <c r="L266" s="186" t="s">
        <v>203</v>
      </c>
      <c r="M266" s="186"/>
      <c r="N266" s="186"/>
      <c r="O266" s="186"/>
      <c r="P266" s="197"/>
      <c r="Q266" s="187"/>
      <c r="R266" s="187">
        <f>+'PRODUKSI 1'!I24</f>
        <v>0</v>
      </c>
      <c r="S266" s="188"/>
    </row>
    <row r="267" spans="1:19" ht="14.25" customHeight="1">
      <c r="A267" s="170"/>
      <c r="B267" s="186" t="s">
        <v>227</v>
      </c>
      <c r="C267" s="186"/>
      <c r="D267" s="186"/>
      <c r="E267" s="186"/>
      <c r="F267" s="197"/>
      <c r="G267" s="187"/>
      <c r="H267" s="187">
        <f>+'PRODUKSI 1'!J23</f>
        <v>100000</v>
      </c>
      <c r="I267" s="188"/>
      <c r="J267" s="209"/>
      <c r="K267" s="170"/>
      <c r="L267" s="186" t="s">
        <v>227</v>
      </c>
      <c r="M267" s="186"/>
      <c r="N267" s="186"/>
      <c r="O267" s="186"/>
      <c r="P267" s="197"/>
      <c r="Q267" s="187"/>
      <c r="R267" s="187">
        <f>+'PRODUKSI 1'!J24</f>
        <v>0</v>
      </c>
      <c r="S267" s="188"/>
    </row>
    <row r="268" spans="1:19" ht="14.25" customHeight="1">
      <c r="A268" s="170"/>
      <c r="B268" s="186" t="s">
        <v>228</v>
      </c>
      <c r="C268" s="186"/>
      <c r="D268" s="186"/>
      <c r="E268" s="186"/>
      <c r="F268" s="197"/>
      <c r="G268" s="187"/>
      <c r="H268" s="187">
        <f>+'PRODUKSI 1'!K23</f>
        <v>0</v>
      </c>
      <c r="I268" s="188"/>
      <c r="J268" s="209"/>
      <c r="K268" s="170"/>
      <c r="L268" s="186" t="s">
        <v>228</v>
      </c>
      <c r="M268" s="186"/>
      <c r="N268" s="186"/>
      <c r="O268" s="186"/>
      <c r="P268" s="197"/>
      <c r="Q268" s="187"/>
      <c r="R268" s="187">
        <f>+'PRODUKSI 1'!K24</f>
        <v>0</v>
      </c>
      <c r="S268" s="188"/>
    </row>
    <row r="269" spans="1:19" ht="14.25" customHeight="1">
      <c r="A269" s="170"/>
      <c r="B269" s="186" t="s">
        <v>224</v>
      </c>
      <c r="C269" s="186"/>
      <c r="D269" s="186"/>
      <c r="E269" s="186"/>
      <c r="F269" s="197"/>
      <c r="G269" s="187"/>
      <c r="H269" s="187">
        <f>+'PRODUKSI 1'!AA23</f>
        <v>448215.69090000005</v>
      </c>
      <c r="I269" s="188"/>
      <c r="J269" s="209"/>
      <c r="K269" s="170"/>
      <c r="L269" s="186" t="s">
        <v>224</v>
      </c>
      <c r="M269" s="186"/>
      <c r="N269" s="186"/>
      <c r="O269" s="186"/>
      <c r="P269" s="197"/>
      <c r="Q269" s="187"/>
      <c r="R269" s="187">
        <f>+'PRODUKSI 1'!AA24</f>
        <v>448215.69090000005</v>
      </c>
      <c r="S269" s="188"/>
    </row>
    <row r="270" spans="1:19" ht="14.25" customHeight="1">
      <c r="A270" s="170"/>
      <c r="B270" s="186" t="s">
        <v>195</v>
      </c>
      <c r="C270" s="186"/>
      <c r="D270" s="187"/>
      <c r="E270" s="186"/>
      <c r="F270" s="197"/>
      <c r="G270" s="187"/>
      <c r="H270" s="187">
        <f>+'PRODUKSI 1'!S23</f>
        <v>52000</v>
      </c>
      <c r="I270" s="188"/>
      <c r="J270" s="187"/>
      <c r="K270" s="170"/>
      <c r="L270" s="186" t="s">
        <v>195</v>
      </c>
      <c r="M270" s="186"/>
      <c r="N270" s="187"/>
      <c r="O270" s="186"/>
      <c r="P270" s="197"/>
      <c r="Q270" s="187"/>
      <c r="R270" s="187">
        <f>+'PRODUKSI 1'!S24</f>
        <v>96000</v>
      </c>
      <c r="S270" s="188"/>
    </row>
    <row r="271" spans="1:19" ht="14.25" customHeight="1">
      <c r="A271" s="170"/>
      <c r="B271" s="220" t="s">
        <v>233</v>
      </c>
      <c r="C271" s="186"/>
      <c r="D271" s="187"/>
      <c r="E271" s="186"/>
      <c r="F271" s="197"/>
      <c r="G271" s="187"/>
      <c r="H271" s="187"/>
      <c r="I271" s="188"/>
      <c r="J271" s="209"/>
      <c r="K271" s="170"/>
      <c r="L271" s="220" t="s">
        <v>233</v>
      </c>
      <c r="M271" s="186"/>
      <c r="N271" s="187"/>
      <c r="O271" s="186"/>
      <c r="P271" s="197"/>
      <c r="Q271" s="187"/>
      <c r="R271" s="187"/>
      <c r="S271" s="188"/>
    </row>
    <row r="272" spans="1:19" ht="14.25" customHeight="1">
      <c r="A272" s="170"/>
      <c r="B272" s="186" t="s">
        <v>206</v>
      </c>
      <c r="C272" s="186"/>
      <c r="D272" s="212">
        <v>0</v>
      </c>
      <c r="E272" s="186" t="s">
        <v>207</v>
      </c>
      <c r="F272" s="197" t="s">
        <v>205</v>
      </c>
      <c r="G272" s="187">
        <v>25223</v>
      </c>
      <c r="H272" s="187">
        <v>0</v>
      </c>
      <c r="I272" s="188"/>
      <c r="J272" s="187"/>
      <c r="K272" s="170"/>
      <c r="L272" s="186" t="s">
        <v>206</v>
      </c>
      <c r="M272" s="186"/>
      <c r="N272" s="212">
        <v>0</v>
      </c>
      <c r="O272" s="186" t="s">
        <v>207</v>
      </c>
      <c r="P272" s="197" t="s">
        <v>205</v>
      </c>
      <c r="Q272" s="187">
        <v>20372</v>
      </c>
      <c r="R272" s="187">
        <v>0</v>
      </c>
      <c r="S272" s="188"/>
    </row>
    <row r="273" spans="1:19" ht="14.25" customHeight="1" thickBot="1">
      <c r="A273" s="170"/>
      <c r="B273" s="190" t="s">
        <v>208</v>
      </c>
      <c r="C273" s="190"/>
      <c r="D273" s="213">
        <v>0</v>
      </c>
      <c r="E273" s="190" t="s">
        <v>207</v>
      </c>
      <c r="F273" s="228" t="s">
        <v>205</v>
      </c>
      <c r="G273" s="192">
        <f>G272</f>
        <v>25223</v>
      </c>
      <c r="H273" s="192">
        <f>G273*D273</f>
        <v>0</v>
      </c>
      <c r="I273" s="188"/>
      <c r="J273" s="187"/>
      <c r="K273" s="170"/>
      <c r="L273" s="190" t="s">
        <v>208</v>
      </c>
      <c r="M273" s="190"/>
      <c r="N273" s="213">
        <v>0</v>
      </c>
      <c r="O273" s="190" t="s">
        <v>207</v>
      </c>
      <c r="P273" s="228" t="s">
        <v>205</v>
      </c>
      <c r="Q273" s="192">
        <f>Q272</f>
        <v>20372</v>
      </c>
      <c r="R273" s="192">
        <f>Q273*N273</f>
        <v>0</v>
      </c>
      <c r="S273" s="188"/>
    </row>
    <row r="274" spans="1:19" ht="15.75" thickBot="1">
      <c r="A274" s="170"/>
      <c r="B274" s="190" t="s">
        <v>219</v>
      </c>
      <c r="C274" s="190"/>
      <c r="D274" s="213">
        <f>SUM(D272:D273)</f>
        <v>0</v>
      </c>
      <c r="E274" s="190"/>
      <c r="F274" s="228"/>
      <c r="G274" s="192"/>
      <c r="H274" s="192">
        <f>SUM(H265:H273)</f>
        <v>5295070.6908999998</v>
      </c>
      <c r="I274" s="188"/>
      <c r="J274" s="187"/>
      <c r="K274" s="170"/>
      <c r="L274" s="190" t="s">
        <v>219</v>
      </c>
      <c r="M274" s="190"/>
      <c r="N274" s="213">
        <f>SUM(N272:N273)</f>
        <v>0</v>
      </c>
      <c r="O274" s="190"/>
      <c r="P274" s="228"/>
      <c r="Q274" s="192"/>
      <c r="R274" s="192">
        <f>SUM(R265:R273)</f>
        <v>4939070.6908999998</v>
      </c>
      <c r="S274" s="188"/>
    </row>
    <row r="275" spans="1:19">
      <c r="A275" s="170"/>
      <c r="B275" s="196" t="s">
        <v>113</v>
      </c>
      <c r="C275" s="186"/>
      <c r="D275" s="186"/>
      <c r="E275" s="186"/>
      <c r="F275" s="197"/>
      <c r="G275" s="187"/>
      <c r="H275" s="187"/>
      <c r="I275" s="188"/>
      <c r="J275" s="209"/>
      <c r="K275" s="170"/>
      <c r="L275" s="196" t="s">
        <v>113</v>
      </c>
      <c r="M275" s="186"/>
      <c r="N275" s="186"/>
      <c r="O275" s="186"/>
      <c r="P275" s="197"/>
      <c r="Q275" s="187"/>
      <c r="R275" s="187"/>
      <c r="S275" s="188"/>
    </row>
    <row r="276" spans="1:19" ht="14.25" customHeight="1">
      <c r="A276" s="170"/>
      <c r="B276" s="186" t="s">
        <v>209</v>
      </c>
      <c r="C276" s="186"/>
      <c r="D276" s="197"/>
      <c r="E276" s="186"/>
      <c r="F276" s="197"/>
      <c r="G276" s="198" t="str">
        <f>+'PRODUKSI 1'!D23</f>
        <v>K1</v>
      </c>
      <c r="H276" s="187">
        <f>+'PRODUKSI 1'!AH23</f>
        <v>0</v>
      </c>
      <c r="I276" s="188"/>
      <c r="J276" s="209"/>
      <c r="K276" s="170"/>
      <c r="L276" s="186" t="s">
        <v>209</v>
      </c>
      <c r="M276" s="186"/>
      <c r="N276" s="198"/>
      <c r="O276" s="186"/>
      <c r="P276" s="197"/>
      <c r="Q276" s="198" t="str">
        <f>+'PRODUKSI 1'!D24</f>
        <v>TK</v>
      </c>
      <c r="R276" s="187">
        <f>+'PRODUKSI 1'!AH24</f>
        <v>0</v>
      </c>
      <c r="S276" s="188"/>
    </row>
    <row r="277" spans="1:19" ht="14.25" customHeight="1">
      <c r="A277" s="170"/>
      <c r="B277" s="186" t="s">
        <v>225</v>
      </c>
      <c r="C277" s="186"/>
      <c r="D277" s="197"/>
      <c r="E277" s="186"/>
      <c r="F277" s="197"/>
      <c r="G277" s="198"/>
      <c r="H277" s="187">
        <f>+'PRODUKSI 1'!AE23+'PRODUKSI 1'!AF23</f>
        <v>48772.11</v>
      </c>
      <c r="I277" s="188"/>
      <c r="J277" s="209"/>
      <c r="K277" s="170"/>
      <c r="L277" s="186" t="s">
        <v>225</v>
      </c>
      <c r="M277" s="186"/>
      <c r="N277" s="198"/>
      <c r="O277" s="186"/>
      <c r="P277" s="197"/>
      <c r="Q277" s="198"/>
      <c r="R277" s="187">
        <f>+'PRODUKSI 1'!AE24+'PRODUKSI 1'!AF24</f>
        <v>48772.11</v>
      </c>
      <c r="S277" s="188"/>
    </row>
    <row r="278" spans="1:19" ht="14.25" customHeight="1">
      <c r="A278" s="170"/>
      <c r="B278" s="186" t="s">
        <v>226</v>
      </c>
      <c r="C278" s="186"/>
      <c r="D278" s="197"/>
      <c r="E278" s="186"/>
      <c r="F278" s="197"/>
      <c r="G278" s="198"/>
      <c r="H278" s="187">
        <f>+'PRODUKSI 1'!AC23+'PRODUKSI 1'!AD23</f>
        <v>146316.33000000002</v>
      </c>
      <c r="I278" s="188"/>
      <c r="J278" s="209"/>
      <c r="K278" s="170"/>
      <c r="L278" s="186" t="s">
        <v>226</v>
      </c>
      <c r="M278" s="186"/>
      <c r="N278" s="198"/>
      <c r="O278" s="186"/>
      <c r="P278" s="197"/>
      <c r="Q278" s="198"/>
      <c r="R278" s="187">
        <f>+'PRODUKSI 1'!AC24+'PRODUKSI 1'!AD24</f>
        <v>146316.33000000002</v>
      </c>
      <c r="S278" s="188"/>
    </row>
    <row r="279" spans="1:19" ht="14.25" customHeight="1">
      <c r="A279" s="170"/>
      <c r="B279" s="186" t="s">
        <v>103</v>
      </c>
      <c r="C279" s="186"/>
      <c r="D279" s="186"/>
      <c r="E279" s="186"/>
      <c r="F279" s="197"/>
      <c r="G279" s="187"/>
      <c r="H279" s="187">
        <f>+H269</f>
        <v>448215.69090000005</v>
      </c>
      <c r="I279" s="188"/>
      <c r="J279" s="209"/>
      <c r="K279" s="170"/>
      <c r="L279" s="186" t="s">
        <v>103</v>
      </c>
      <c r="M279" s="186"/>
      <c r="N279" s="186"/>
      <c r="O279" s="186"/>
      <c r="P279" s="197"/>
      <c r="Q279" s="187"/>
      <c r="R279" s="187">
        <f>+R269</f>
        <v>448215.69090000005</v>
      </c>
      <c r="S279" s="188"/>
    </row>
    <row r="280" spans="1:19" ht="14.25" customHeight="1" thickBot="1">
      <c r="A280" s="170"/>
      <c r="B280" s="190" t="s">
        <v>211</v>
      </c>
      <c r="C280" s="190"/>
      <c r="D280" s="190"/>
      <c r="E280" s="190"/>
      <c r="F280" s="228"/>
      <c r="G280" s="192"/>
      <c r="H280" s="192">
        <f>SUM(H276:H279)</f>
        <v>643304.13089999999</v>
      </c>
      <c r="I280" s="188"/>
      <c r="J280" s="209"/>
      <c r="K280" s="170"/>
      <c r="L280" s="190" t="s">
        <v>211</v>
      </c>
      <c r="M280" s="190"/>
      <c r="N280" s="190"/>
      <c r="O280" s="190"/>
      <c r="P280" s="228"/>
      <c r="Q280" s="192"/>
      <c r="R280" s="192">
        <f>SUM(R276:R279)</f>
        <v>643304.13089999999</v>
      </c>
      <c r="S280" s="188"/>
    </row>
    <row r="281" spans="1:19" ht="15.75" thickBot="1">
      <c r="A281" s="170"/>
      <c r="B281" s="193" t="s">
        <v>220</v>
      </c>
      <c r="C281" s="193"/>
      <c r="D281" s="193"/>
      <c r="E281" s="193"/>
      <c r="F281" s="229"/>
      <c r="G281" s="195"/>
      <c r="H281" s="195">
        <f>SUM(H274-H280)</f>
        <v>4651766.5599999996</v>
      </c>
      <c r="I281" s="188"/>
      <c r="J281" s="209"/>
      <c r="K281" s="170"/>
      <c r="L281" s="193" t="s">
        <v>220</v>
      </c>
      <c r="M281" s="193"/>
      <c r="N281" s="193"/>
      <c r="O281" s="193"/>
      <c r="P281" s="229"/>
      <c r="Q281" s="195"/>
      <c r="R281" s="195">
        <f>SUM(R274-R280)</f>
        <v>4295766.5599999996</v>
      </c>
      <c r="S281" s="188"/>
    </row>
    <row r="282" spans="1:19">
      <c r="A282" s="170"/>
      <c r="B282" s="186" t="s">
        <v>230</v>
      </c>
      <c r="C282" s="186"/>
      <c r="D282" s="186"/>
      <c r="E282" s="186"/>
      <c r="F282" s="197"/>
      <c r="G282" s="187"/>
      <c r="H282" s="187">
        <v>10000</v>
      </c>
      <c r="I282" s="188"/>
      <c r="J282" s="209"/>
      <c r="K282" s="170"/>
      <c r="L282" s="186" t="s">
        <v>221</v>
      </c>
      <c r="M282" s="186"/>
      <c r="N282" s="186"/>
      <c r="O282" s="186"/>
      <c r="P282" s="197"/>
      <c r="Q282" s="187"/>
      <c r="R282" s="187">
        <v>10000</v>
      </c>
      <c r="S282" s="188"/>
    </row>
    <row r="283" spans="1:19" ht="15.75" thickBot="1">
      <c r="A283" s="170"/>
      <c r="B283" s="199"/>
      <c r="C283" s="190"/>
      <c r="D283" s="190"/>
      <c r="E283" s="190"/>
      <c r="F283" s="228"/>
      <c r="G283" s="192"/>
      <c r="H283" s="192"/>
      <c r="I283" s="188"/>
      <c r="J283" s="187"/>
      <c r="K283" s="170"/>
      <c r="L283" s="199"/>
      <c r="M283" s="190"/>
      <c r="N283" s="190"/>
      <c r="O283" s="190"/>
      <c r="P283" s="228"/>
      <c r="Q283" s="192"/>
      <c r="R283" s="192"/>
      <c r="S283" s="188"/>
    </row>
    <row r="284" spans="1:19" ht="15.75" thickBot="1">
      <c r="A284" s="170"/>
      <c r="B284" s="200" t="s">
        <v>212</v>
      </c>
      <c r="C284" s="200"/>
      <c r="D284" s="200"/>
      <c r="E284" s="200"/>
      <c r="F284" s="230"/>
      <c r="G284" s="201"/>
      <c r="H284" s="201">
        <f>+H281-H282</f>
        <v>4641766.5599999996</v>
      </c>
      <c r="I284" s="188"/>
      <c r="J284" s="187"/>
      <c r="K284" s="170"/>
      <c r="L284" s="200" t="s">
        <v>212</v>
      </c>
      <c r="M284" s="200"/>
      <c r="N284" s="200"/>
      <c r="O284" s="200"/>
      <c r="P284" s="230"/>
      <c r="Q284" s="201"/>
      <c r="R284" s="201">
        <f>+R281-R282</f>
        <v>4285766.5599999996</v>
      </c>
      <c r="S284" s="188"/>
    </row>
    <row r="285" spans="1:19" ht="15.75" thickTop="1">
      <c r="A285" s="170"/>
      <c r="B285" s="202" t="s">
        <v>213</v>
      </c>
      <c r="C285" s="186"/>
      <c r="D285" s="186"/>
      <c r="E285" s="186"/>
      <c r="F285" s="197"/>
      <c r="G285" s="296" t="s">
        <v>214</v>
      </c>
      <c r="H285" s="296"/>
      <c r="I285" s="188"/>
      <c r="J285" s="187"/>
      <c r="K285" s="170"/>
      <c r="L285" s="202" t="s">
        <v>213</v>
      </c>
      <c r="M285" s="186"/>
      <c r="N285" s="186"/>
      <c r="O285" s="186"/>
      <c r="P285" s="197"/>
      <c r="Q285" s="296" t="s">
        <v>214</v>
      </c>
      <c r="R285" s="296"/>
      <c r="S285" s="188"/>
    </row>
    <row r="286" spans="1:19" ht="12.75" customHeight="1">
      <c r="A286" s="170"/>
      <c r="B286" s="186"/>
      <c r="C286" s="186"/>
      <c r="D286" s="186"/>
      <c r="E286" s="186"/>
      <c r="F286" s="197"/>
      <c r="G286" s="187"/>
      <c r="H286" s="187"/>
      <c r="I286" s="188"/>
      <c r="J286" s="187"/>
      <c r="K286" s="170"/>
      <c r="L286" s="186"/>
      <c r="M286" s="186"/>
      <c r="N286" s="186"/>
      <c r="O286" s="186"/>
      <c r="P286" s="197"/>
      <c r="Q286" s="187"/>
      <c r="R286" s="187"/>
      <c r="S286" s="188"/>
    </row>
    <row r="287" spans="1:19" ht="12.75" customHeight="1">
      <c r="A287" s="170"/>
      <c r="B287" s="186"/>
      <c r="C287" s="186"/>
      <c r="D287" s="186"/>
      <c r="E287" s="186"/>
      <c r="F287" s="197"/>
      <c r="G287" s="187"/>
      <c r="H287" s="187"/>
      <c r="I287" s="188"/>
      <c r="J287" s="187"/>
      <c r="K287" s="170"/>
      <c r="L287" s="186"/>
      <c r="M287" s="186"/>
      <c r="N287" s="186"/>
      <c r="O287" s="186"/>
      <c r="P287" s="197"/>
      <c r="Q287" s="187"/>
      <c r="R287" s="187"/>
      <c r="S287" s="188"/>
    </row>
    <row r="288" spans="1:19" ht="12.75" customHeight="1">
      <c r="A288" s="170"/>
      <c r="B288" s="203" t="s">
        <v>215</v>
      </c>
      <c r="C288" s="186"/>
      <c r="D288" s="186"/>
      <c r="E288" s="186"/>
      <c r="F288" s="197"/>
      <c r="G288" s="297" t="s">
        <v>216</v>
      </c>
      <c r="H288" s="297"/>
      <c r="I288" s="188"/>
      <c r="J288" s="187"/>
      <c r="K288" s="170"/>
      <c r="L288" s="203" t="s">
        <v>215</v>
      </c>
      <c r="M288" s="186"/>
      <c r="N288" s="186"/>
      <c r="O288" s="186"/>
      <c r="P288" s="197"/>
      <c r="Q288" s="297" t="s">
        <v>216</v>
      </c>
      <c r="R288" s="297"/>
      <c r="S288" s="188"/>
    </row>
    <row r="289" spans="1:19" ht="7.5" customHeight="1">
      <c r="A289" s="204"/>
      <c r="B289" s="205"/>
      <c r="C289" s="206"/>
      <c r="D289" s="206"/>
      <c r="E289" s="206"/>
      <c r="F289" s="231"/>
      <c r="G289" s="207"/>
      <c r="H289" s="205"/>
      <c r="I289" s="208"/>
      <c r="J289" s="187"/>
      <c r="K289" s="204"/>
      <c r="L289" s="205"/>
      <c r="M289" s="206"/>
      <c r="N289" s="206"/>
      <c r="O289" s="206"/>
      <c r="P289" s="231"/>
      <c r="Q289" s="207"/>
      <c r="R289" s="205"/>
      <c r="S289" s="208"/>
    </row>
    <row r="291" spans="1:19">
      <c r="A291" s="166"/>
      <c r="B291" s="167"/>
      <c r="C291" s="167"/>
      <c r="D291" s="167"/>
      <c r="E291" s="167"/>
      <c r="F291" s="223"/>
      <c r="G291" s="167"/>
      <c r="H291" s="167"/>
      <c r="I291" s="168"/>
      <c r="J291" s="169"/>
      <c r="K291" s="166"/>
      <c r="L291" s="167"/>
      <c r="M291" s="167"/>
      <c r="N291" s="167"/>
      <c r="O291" s="167"/>
      <c r="P291" s="223"/>
      <c r="Q291" s="167"/>
      <c r="R291" s="167"/>
      <c r="S291" s="168"/>
    </row>
    <row r="292" spans="1:19">
      <c r="A292" s="170"/>
      <c r="B292" s="169"/>
      <c r="C292" s="169"/>
      <c r="D292" s="169"/>
      <c r="E292" s="169"/>
      <c r="F292" s="224"/>
      <c r="G292" s="169"/>
      <c r="H292" s="169"/>
      <c r="I292" s="171"/>
      <c r="J292" s="169"/>
      <c r="K292" s="170"/>
      <c r="L292" s="169"/>
      <c r="M292" s="169"/>
      <c r="N292" s="169"/>
      <c r="O292" s="169"/>
      <c r="P292" s="224"/>
      <c r="Q292" s="169"/>
      <c r="R292" s="169"/>
      <c r="S292" s="171"/>
    </row>
    <row r="293" spans="1:19">
      <c r="A293" s="170"/>
      <c r="B293" s="169"/>
      <c r="C293" s="169"/>
      <c r="D293" s="169"/>
      <c r="E293" s="169"/>
      <c r="F293" s="224"/>
      <c r="G293" s="169"/>
      <c r="H293" s="169"/>
      <c r="I293" s="171"/>
      <c r="J293" s="169"/>
      <c r="K293" s="170"/>
      <c r="L293" s="169"/>
      <c r="M293" s="169"/>
      <c r="N293" s="169"/>
      <c r="O293" s="169"/>
      <c r="P293" s="224"/>
      <c r="Q293" s="169"/>
      <c r="R293" s="169"/>
      <c r="S293" s="171"/>
    </row>
    <row r="294" spans="1:19">
      <c r="A294" s="170"/>
      <c r="B294" s="294" t="s">
        <v>196</v>
      </c>
      <c r="C294" s="294"/>
      <c r="D294" s="294"/>
      <c r="E294" s="294"/>
      <c r="F294" s="294"/>
      <c r="G294" s="294"/>
      <c r="H294" s="294"/>
      <c r="I294" s="295"/>
      <c r="J294" s="169"/>
      <c r="K294" s="170"/>
      <c r="L294" s="294" t="s">
        <v>196</v>
      </c>
      <c r="M294" s="294"/>
      <c r="N294" s="294"/>
      <c r="O294" s="294"/>
      <c r="P294" s="294"/>
      <c r="Q294" s="294"/>
      <c r="R294" s="294"/>
      <c r="S294" s="295"/>
    </row>
    <row r="295" spans="1:19">
      <c r="A295" s="172"/>
      <c r="B295" s="173" t="s">
        <v>197</v>
      </c>
      <c r="C295" s="174" t="s">
        <v>198</v>
      </c>
      <c r="D295" s="211">
        <v>17</v>
      </c>
      <c r="E295" s="173"/>
      <c r="F295" s="225"/>
      <c r="G295" s="173"/>
      <c r="H295" s="173"/>
      <c r="I295" s="176"/>
      <c r="J295" s="173"/>
      <c r="K295" s="172"/>
      <c r="L295" s="173" t="s">
        <v>197</v>
      </c>
      <c r="M295" s="174" t="s">
        <v>198</v>
      </c>
      <c r="N295" s="211">
        <v>18</v>
      </c>
      <c r="O295" s="175"/>
      <c r="P295" s="225"/>
      <c r="Q295" s="173"/>
      <c r="R295" s="173"/>
      <c r="S295" s="176"/>
    </row>
    <row r="296" spans="1:19">
      <c r="A296" s="172"/>
      <c r="B296" s="173" t="s">
        <v>199</v>
      </c>
      <c r="C296" s="174" t="s">
        <v>198</v>
      </c>
      <c r="D296" s="177" t="s">
        <v>229</v>
      </c>
      <c r="E296" s="173"/>
      <c r="F296" s="225"/>
      <c r="G296" s="173"/>
      <c r="H296" s="173"/>
      <c r="I296" s="176"/>
      <c r="J296" s="173"/>
      <c r="K296" s="172"/>
      <c r="L296" s="173" t="s">
        <v>199</v>
      </c>
      <c r="M296" s="174" t="s">
        <v>198</v>
      </c>
      <c r="N296" s="177" t="s">
        <v>229</v>
      </c>
      <c r="O296" s="179"/>
      <c r="P296" s="225"/>
      <c r="Q296" s="173"/>
      <c r="R296" s="173"/>
      <c r="S296" s="176"/>
    </row>
    <row r="297" spans="1:19">
      <c r="A297" s="172"/>
      <c r="B297" s="173" t="s">
        <v>200</v>
      </c>
      <c r="C297" s="174" t="s">
        <v>198</v>
      </c>
      <c r="D297" s="177" t="str">
        <f>+'PRODUKSI 1'!B25</f>
        <v>DINI SULISTIANI</v>
      </c>
      <c r="E297" s="173"/>
      <c r="F297" s="225"/>
      <c r="G297" s="173"/>
      <c r="H297" s="173"/>
      <c r="I297" s="176"/>
      <c r="J297" s="173"/>
      <c r="K297" s="172"/>
      <c r="L297" s="173" t="s">
        <v>200</v>
      </c>
      <c r="M297" s="174" t="s">
        <v>198</v>
      </c>
      <c r="N297" s="178" t="str">
        <f>+'PRODUKSI 1'!B26</f>
        <v>ANIS</v>
      </c>
      <c r="O297" s="173"/>
      <c r="P297" s="225"/>
      <c r="Q297" s="173"/>
      <c r="R297" s="173"/>
      <c r="S297" s="176"/>
    </row>
    <row r="298" spans="1:19" ht="15.75" thickBot="1">
      <c r="A298" s="172"/>
      <c r="B298" s="173" t="s">
        <v>201</v>
      </c>
      <c r="C298" s="174" t="s">
        <v>198</v>
      </c>
      <c r="D298" s="177" t="str">
        <f>+'PRODUKSI 1'!C25</f>
        <v>KPL LEM</v>
      </c>
      <c r="E298" s="173"/>
      <c r="F298" s="225"/>
      <c r="G298" s="173"/>
      <c r="H298" s="173"/>
      <c r="I298" s="176"/>
      <c r="J298" s="173"/>
      <c r="K298" s="172"/>
      <c r="L298" s="173" t="s">
        <v>201</v>
      </c>
      <c r="M298" s="174" t="s">
        <v>198</v>
      </c>
      <c r="N298" s="178" t="str">
        <f>+'PRODUKSI 1'!C26</f>
        <v>STICHING</v>
      </c>
      <c r="O298" s="179"/>
      <c r="P298" s="225"/>
      <c r="Q298" s="173"/>
      <c r="R298" s="173"/>
      <c r="S298" s="176"/>
    </row>
    <row r="299" spans="1:19" ht="10.5" customHeight="1" thickTop="1">
      <c r="A299" s="170"/>
      <c r="B299" s="182"/>
      <c r="C299" s="182"/>
      <c r="D299" s="182"/>
      <c r="E299" s="182"/>
      <c r="F299" s="226"/>
      <c r="G299" s="182"/>
      <c r="H299" s="182"/>
      <c r="I299" s="183"/>
      <c r="J299" s="169"/>
      <c r="K299" s="170"/>
      <c r="L299" s="182"/>
      <c r="M299" s="182"/>
      <c r="N299" s="182"/>
      <c r="O299" s="182"/>
      <c r="P299" s="226"/>
      <c r="Q299" s="182"/>
      <c r="R299" s="182"/>
      <c r="S299" s="183"/>
    </row>
    <row r="300" spans="1:19">
      <c r="A300" s="170"/>
      <c r="B300" s="184" t="s">
        <v>202</v>
      </c>
      <c r="C300" s="185"/>
      <c r="D300" s="185"/>
      <c r="E300" s="185"/>
      <c r="F300" s="227"/>
      <c r="G300" s="185"/>
      <c r="H300" s="185"/>
      <c r="I300" s="183"/>
      <c r="J300" s="169"/>
      <c r="K300" s="170"/>
      <c r="L300" s="184" t="s">
        <v>202</v>
      </c>
      <c r="M300" s="184"/>
      <c r="N300" s="185"/>
      <c r="O300" s="185"/>
      <c r="P300" s="227"/>
      <c r="Q300" s="185"/>
      <c r="R300" s="185"/>
      <c r="S300" s="183"/>
    </row>
    <row r="301" spans="1:19" ht="14.25" customHeight="1">
      <c r="A301" s="170"/>
      <c r="B301" s="186" t="s">
        <v>111</v>
      </c>
      <c r="C301" s="186"/>
      <c r="D301" s="187"/>
      <c r="E301" s="186"/>
      <c r="F301" s="197"/>
      <c r="G301" s="187"/>
      <c r="H301" s="187">
        <f>+'PRODUKSI 1'!H25</f>
        <v>4394855</v>
      </c>
      <c r="I301" s="188"/>
      <c r="J301" s="187"/>
      <c r="K301" s="170"/>
      <c r="L301" s="186" t="s">
        <v>111</v>
      </c>
      <c r="M301" s="186"/>
      <c r="N301" s="187"/>
      <c r="O301" s="186"/>
      <c r="P301" s="197"/>
      <c r="Q301" s="187"/>
      <c r="R301" s="187">
        <f>+'PRODUKSI 1'!H26</f>
        <v>4394855</v>
      </c>
      <c r="S301" s="188"/>
    </row>
    <row r="302" spans="1:19" ht="14.25" customHeight="1">
      <c r="A302" s="170"/>
      <c r="B302" s="186" t="s">
        <v>203</v>
      </c>
      <c r="C302" s="186"/>
      <c r="D302" s="186"/>
      <c r="E302" s="186"/>
      <c r="F302" s="197"/>
      <c r="G302" s="187"/>
      <c r="H302" s="187">
        <f>+'PRODUKSI 1'!I25</f>
        <v>0</v>
      </c>
      <c r="I302" s="188"/>
      <c r="J302" s="209"/>
      <c r="K302" s="170"/>
      <c r="L302" s="186" t="s">
        <v>203</v>
      </c>
      <c r="M302" s="186"/>
      <c r="N302" s="186"/>
      <c r="O302" s="186"/>
      <c r="P302" s="197"/>
      <c r="Q302" s="187"/>
      <c r="R302" s="187">
        <f>+'PRODUKSI 1'!I26</f>
        <v>0</v>
      </c>
      <c r="S302" s="188"/>
    </row>
    <row r="303" spans="1:19" ht="14.25" customHeight="1">
      <c r="A303" s="170"/>
      <c r="B303" s="186" t="s">
        <v>227</v>
      </c>
      <c r="C303" s="186"/>
      <c r="D303" s="186"/>
      <c r="E303" s="186"/>
      <c r="F303" s="197"/>
      <c r="G303" s="187"/>
      <c r="H303" s="187">
        <f>+'PRODUKSI 1'!J25</f>
        <v>0</v>
      </c>
      <c r="I303" s="188"/>
      <c r="J303" s="209"/>
      <c r="K303" s="170"/>
      <c r="L303" s="186" t="s">
        <v>227</v>
      </c>
      <c r="M303" s="186"/>
      <c r="N303" s="186"/>
      <c r="O303" s="186"/>
      <c r="P303" s="197"/>
      <c r="Q303" s="187"/>
      <c r="R303" s="187">
        <f>+'PRODUKSI 1'!J26</f>
        <v>0</v>
      </c>
      <c r="S303" s="188"/>
    </row>
    <row r="304" spans="1:19" ht="14.25" customHeight="1">
      <c r="A304" s="170"/>
      <c r="B304" s="186" t="s">
        <v>228</v>
      </c>
      <c r="C304" s="186"/>
      <c r="D304" s="186"/>
      <c r="E304" s="186"/>
      <c r="F304" s="197"/>
      <c r="G304" s="187"/>
      <c r="H304" s="187">
        <f>+'PRODUKSI 1'!K25</f>
        <v>0</v>
      </c>
      <c r="I304" s="188"/>
      <c r="J304" s="209"/>
      <c r="K304" s="170"/>
      <c r="L304" s="186" t="s">
        <v>228</v>
      </c>
      <c r="M304" s="186"/>
      <c r="N304" s="186"/>
      <c r="O304" s="186"/>
      <c r="P304" s="197"/>
      <c r="Q304" s="187"/>
      <c r="R304" s="187">
        <f>+'PRODUKSI 1'!K26</f>
        <v>0</v>
      </c>
      <c r="S304" s="188"/>
    </row>
    <row r="305" spans="1:19" ht="14.25" customHeight="1">
      <c r="A305" s="170"/>
      <c r="B305" s="186" t="s">
        <v>224</v>
      </c>
      <c r="C305" s="186"/>
      <c r="D305" s="186"/>
      <c r="E305" s="186"/>
      <c r="F305" s="197"/>
      <c r="G305" s="187"/>
      <c r="H305" s="187">
        <f>+'PRODUKSI 1'!AA25</f>
        <v>448215.69090000005</v>
      </c>
      <c r="I305" s="188"/>
      <c r="J305" s="209"/>
      <c r="K305" s="170"/>
      <c r="L305" s="186" t="s">
        <v>224</v>
      </c>
      <c r="M305" s="186"/>
      <c r="N305" s="186"/>
      <c r="O305" s="186"/>
      <c r="P305" s="197"/>
      <c r="Q305" s="187"/>
      <c r="R305" s="187">
        <f>+'PRODUKSI 1'!AA26</f>
        <v>448215.69090000005</v>
      </c>
      <c r="S305" s="188"/>
    </row>
    <row r="306" spans="1:19" ht="14.25" customHeight="1">
      <c r="A306" s="170"/>
      <c r="B306" s="186" t="s">
        <v>195</v>
      </c>
      <c r="C306" s="186"/>
      <c r="D306" s="187"/>
      <c r="E306" s="186"/>
      <c r="F306" s="197"/>
      <c r="G306" s="187"/>
      <c r="H306" s="187">
        <f>+'PRODUKSI 1'!S25</f>
        <v>84000</v>
      </c>
      <c r="I306" s="188"/>
      <c r="J306" s="187"/>
      <c r="K306" s="170"/>
      <c r="L306" s="186" t="s">
        <v>195</v>
      </c>
      <c r="M306" s="186"/>
      <c r="N306" s="187"/>
      <c r="O306" s="186"/>
      <c r="P306" s="197"/>
      <c r="Q306" s="187"/>
      <c r="R306" s="187">
        <f>+'PRODUKSI 1'!S26</f>
        <v>80000</v>
      </c>
      <c r="S306" s="188"/>
    </row>
    <row r="307" spans="1:19" ht="14.25" customHeight="1">
      <c r="A307" s="170"/>
      <c r="B307" s="220" t="s">
        <v>233</v>
      </c>
      <c r="C307" s="186"/>
      <c r="D307" s="187"/>
      <c r="E307" s="186"/>
      <c r="F307" s="197"/>
      <c r="G307" s="187"/>
      <c r="H307" s="187"/>
      <c r="I307" s="188"/>
      <c r="J307" s="209"/>
      <c r="K307" s="170"/>
      <c r="L307" s="220" t="s">
        <v>233</v>
      </c>
      <c r="M307" s="186"/>
      <c r="N307" s="187"/>
      <c r="O307" s="186"/>
      <c r="P307" s="197"/>
      <c r="Q307" s="187"/>
      <c r="R307" s="187"/>
      <c r="S307" s="188"/>
    </row>
    <row r="308" spans="1:19" ht="14.25" customHeight="1">
      <c r="A308" s="170"/>
      <c r="B308" s="186" t="s">
        <v>206</v>
      </c>
      <c r="C308" s="186"/>
      <c r="D308" s="212">
        <v>0</v>
      </c>
      <c r="E308" s="186" t="s">
        <v>207</v>
      </c>
      <c r="F308" s="197" t="s">
        <v>205</v>
      </c>
      <c r="G308" s="187">
        <v>20372</v>
      </c>
      <c r="H308" s="187">
        <v>0</v>
      </c>
      <c r="I308" s="188"/>
      <c r="J308" s="187"/>
      <c r="K308" s="170"/>
      <c r="L308" s="186" t="s">
        <v>206</v>
      </c>
      <c r="M308" s="186"/>
      <c r="N308" s="212">
        <v>0</v>
      </c>
      <c r="O308" s="186" t="s">
        <v>207</v>
      </c>
      <c r="P308" s="197" t="s">
        <v>205</v>
      </c>
      <c r="Q308" s="187">
        <v>20372</v>
      </c>
      <c r="R308" s="187">
        <v>0</v>
      </c>
      <c r="S308" s="188"/>
    </row>
    <row r="309" spans="1:19" ht="14.25" customHeight="1" thickBot="1">
      <c r="A309" s="170"/>
      <c r="B309" s="190" t="s">
        <v>208</v>
      </c>
      <c r="C309" s="190"/>
      <c r="D309" s="213">
        <v>0</v>
      </c>
      <c r="E309" s="190" t="s">
        <v>207</v>
      </c>
      <c r="F309" s="228" t="s">
        <v>205</v>
      </c>
      <c r="G309" s="192">
        <f>G308</f>
        <v>20372</v>
      </c>
      <c r="H309" s="192">
        <f>G309*D309</f>
        <v>0</v>
      </c>
      <c r="I309" s="188"/>
      <c r="J309" s="187"/>
      <c r="K309" s="170"/>
      <c r="L309" s="190" t="s">
        <v>208</v>
      </c>
      <c r="M309" s="190"/>
      <c r="N309" s="213">
        <v>0</v>
      </c>
      <c r="O309" s="190" t="s">
        <v>207</v>
      </c>
      <c r="P309" s="228" t="s">
        <v>205</v>
      </c>
      <c r="Q309" s="192">
        <f>Q308</f>
        <v>20372</v>
      </c>
      <c r="R309" s="192">
        <f>Q309*N309</f>
        <v>0</v>
      </c>
      <c r="S309" s="188"/>
    </row>
    <row r="310" spans="1:19" ht="15.75" thickBot="1">
      <c r="A310" s="170"/>
      <c r="B310" s="190" t="s">
        <v>219</v>
      </c>
      <c r="C310" s="190"/>
      <c r="D310" s="213">
        <f>SUM(D308:D309)</f>
        <v>0</v>
      </c>
      <c r="E310" s="190"/>
      <c r="F310" s="228"/>
      <c r="G310" s="192"/>
      <c r="H310" s="192">
        <f>SUM(H301:H309)</f>
        <v>4927070.6908999998</v>
      </c>
      <c r="I310" s="188"/>
      <c r="J310" s="187"/>
      <c r="K310" s="170"/>
      <c r="L310" s="190" t="s">
        <v>219</v>
      </c>
      <c r="M310" s="190"/>
      <c r="N310" s="213">
        <f>SUM(N308:N309)</f>
        <v>0</v>
      </c>
      <c r="O310" s="190"/>
      <c r="P310" s="228"/>
      <c r="Q310" s="192"/>
      <c r="R310" s="192">
        <f>SUM(R301:R309)</f>
        <v>4923070.6908999998</v>
      </c>
      <c r="S310" s="188"/>
    </row>
    <row r="311" spans="1:19">
      <c r="A311" s="170"/>
      <c r="B311" s="196" t="s">
        <v>113</v>
      </c>
      <c r="C311" s="186"/>
      <c r="D311" s="186"/>
      <c r="E311" s="186"/>
      <c r="F311" s="197"/>
      <c r="G311" s="187"/>
      <c r="H311" s="187"/>
      <c r="I311" s="188"/>
      <c r="J311" s="209"/>
      <c r="K311" s="170"/>
      <c r="L311" s="196" t="s">
        <v>113</v>
      </c>
      <c r="M311" s="186"/>
      <c r="N311" s="186"/>
      <c r="O311" s="186"/>
      <c r="P311" s="197"/>
      <c r="Q311" s="187"/>
      <c r="R311" s="187"/>
      <c r="S311" s="188"/>
    </row>
    <row r="312" spans="1:19" ht="14.25" customHeight="1">
      <c r="A312" s="170"/>
      <c r="B312" s="186" t="s">
        <v>209</v>
      </c>
      <c r="C312" s="186"/>
      <c r="D312" s="197"/>
      <c r="E312" s="186"/>
      <c r="F312" s="197"/>
      <c r="G312" s="198" t="str">
        <f>+'PRODUKSI 1'!D25</f>
        <v>TK</v>
      </c>
      <c r="H312" s="187">
        <f>+'PRODUKSI 1'!AH25</f>
        <v>0</v>
      </c>
      <c r="I312" s="188"/>
      <c r="J312" s="209"/>
      <c r="K312" s="170"/>
      <c r="L312" s="186" t="s">
        <v>209</v>
      </c>
      <c r="M312" s="186"/>
      <c r="N312" s="198"/>
      <c r="O312" s="186"/>
      <c r="P312" s="197"/>
      <c r="Q312" s="198" t="str">
        <f>+'PRODUKSI 1'!D26</f>
        <v>TK</v>
      </c>
      <c r="R312" s="187">
        <f>+'PRODUKSI 1'!AH26</f>
        <v>0</v>
      </c>
      <c r="S312" s="188"/>
    </row>
    <row r="313" spans="1:19" ht="14.25" customHeight="1">
      <c r="A313" s="170"/>
      <c r="B313" s="186" t="s">
        <v>225</v>
      </c>
      <c r="C313" s="186"/>
      <c r="D313" s="197"/>
      <c r="E313" s="186"/>
      <c r="F313" s="197"/>
      <c r="G313" s="198"/>
      <c r="H313" s="187">
        <f>+'PRODUKSI 1'!AE25+'PRODUKSI 1'!AF25</f>
        <v>48772.11</v>
      </c>
      <c r="I313" s="188"/>
      <c r="J313" s="209"/>
      <c r="K313" s="170"/>
      <c r="L313" s="186" t="s">
        <v>225</v>
      </c>
      <c r="M313" s="186"/>
      <c r="N313" s="198"/>
      <c r="O313" s="186"/>
      <c r="P313" s="197"/>
      <c r="Q313" s="198"/>
      <c r="R313" s="187">
        <f>+'PRODUKSI 1'!AE26+'PRODUKSI 1'!AF26</f>
        <v>48772.11</v>
      </c>
      <c r="S313" s="188"/>
    </row>
    <row r="314" spans="1:19" ht="14.25" customHeight="1">
      <c r="A314" s="170"/>
      <c r="B314" s="186" t="s">
        <v>226</v>
      </c>
      <c r="C314" s="186"/>
      <c r="D314" s="197"/>
      <c r="E314" s="186"/>
      <c r="F314" s="197"/>
      <c r="G314" s="198"/>
      <c r="H314" s="187">
        <f>+'PRODUKSI 1'!AC25+'PRODUKSI 1'!AD25</f>
        <v>146316.33000000002</v>
      </c>
      <c r="I314" s="188"/>
      <c r="J314" s="209"/>
      <c r="K314" s="170"/>
      <c r="L314" s="186" t="s">
        <v>226</v>
      </c>
      <c r="M314" s="186"/>
      <c r="N314" s="198"/>
      <c r="O314" s="186"/>
      <c r="P314" s="197"/>
      <c r="Q314" s="198"/>
      <c r="R314" s="187">
        <f>+'PRODUKSI 1'!AC26+'PRODUKSI 1'!AD26</f>
        <v>146316.33000000002</v>
      </c>
      <c r="S314" s="188"/>
    </row>
    <row r="315" spans="1:19" ht="14.25" customHeight="1">
      <c r="A315" s="170"/>
      <c r="B315" s="186" t="s">
        <v>103</v>
      </c>
      <c r="C315" s="186"/>
      <c r="D315" s="186"/>
      <c r="E315" s="186"/>
      <c r="F315" s="197"/>
      <c r="G315" s="187"/>
      <c r="H315" s="187">
        <f>+H305</f>
        <v>448215.69090000005</v>
      </c>
      <c r="I315" s="188"/>
      <c r="J315" s="209"/>
      <c r="K315" s="170"/>
      <c r="L315" s="186" t="s">
        <v>103</v>
      </c>
      <c r="M315" s="186"/>
      <c r="N315" s="186"/>
      <c r="O315" s="186"/>
      <c r="P315" s="197"/>
      <c r="Q315" s="187"/>
      <c r="R315" s="187">
        <f>+R305</f>
        <v>448215.69090000005</v>
      </c>
      <c r="S315" s="188"/>
    </row>
    <row r="316" spans="1:19" ht="14.25" customHeight="1" thickBot="1">
      <c r="A316" s="170"/>
      <c r="B316" s="190" t="s">
        <v>211</v>
      </c>
      <c r="C316" s="190"/>
      <c r="D316" s="190"/>
      <c r="E316" s="190"/>
      <c r="F316" s="228"/>
      <c r="G316" s="192"/>
      <c r="H316" s="192">
        <f>SUM(H312:H315)</f>
        <v>643304.13089999999</v>
      </c>
      <c r="I316" s="188"/>
      <c r="J316" s="209"/>
      <c r="K316" s="170"/>
      <c r="L316" s="190" t="s">
        <v>211</v>
      </c>
      <c r="M316" s="190"/>
      <c r="N316" s="190"/>
      <c r="O316" s="190"/>
      <c r="P316" s="228"/>
      <c r="Q316" s="192"/>
      <c r="R316" s="192">
        <f>SUM(R312:R315)</f>
        <v>643304.13089999999</v>
      </c>
      <c r="S316" s="188"/>
    </row>
    <row r="317" spans="1:19" ht="15.75" thickBot="1">
      <c r="A317" s="170"/>
      <c r="B317" s="193" t="s">
        <v>220</v>
      </c>
      <c r="C317" s="193"/>
      <c r="D317" s="193"/>
      <c r="E317" s="193"/>
      <c r="F317" s="229"/>
      <c r="G317" s="195"/>
      <c r="H317" s="195">
        <f>SUM(H310-H316)</f>
        <v>4283766.5599999996</v>
      </c>
      <c r="I317" s="188"/>
      <c r="J317" s="209"/>
      <c r="K317" s="170"/>
      <c r="L317" s="193" t="s">
        <v>220</v>
      </c>
      <c r="M317" s="193"/>
      <c r="N317" s="193"/>
      <c r="O317" s="193"/>
      <c r="P317" s="229"/>
      <c r="Q317" s="195"/>
      <c r="R317" s="195">
        <f>SUM(R310-R316)</f>
        <v>4279766.5599999996</v>
      </c>
      <c r="S317" s="188"/>
    </row>
    <row r="318" spans="1:19">
      <c r="A318" s="170"/>
      <c r="B318" s="186" t="s">
        <v>221</v>
      </c>
      <c r="C318" s="186"/>
      <c r="D318" s="186"/>
      <c r="E318" s="186"/>
      <c r="F318" s="197"/>
      <c r="G318" s="187"/>
      <c r="H318" s="187">
        <v>10000</v>
      </c>
      <c r="I318" s="188"/>
      <c r="J318" s="209"/>
      <c r="K318" s="170"/>
      <c r="L318" s="186" t="s">
        <v>221</v>
      </c>
      <c r="M318" s="186"/>
      <c r="N318" s="186"/>
      <c r="O318" s="186"/>
      <c r="P318" s="197"/>
      <c r="Q318" s="187"/>
      <c r="R318" s="187">
        <v>10000</v>
      </c>
      <c r="S318" s="188"/>
    </row>
    <row r="319" spans="1:19" ht="15.75" thickBot="1">
      <c r="A319" s="170"/>
      <c r="B319" s="199"/>
      <c r="C319" s="190"/>
      <c r="D319" s="190"/>
      <c r="E319" s="190"/>
      <c r="F319" s="228"/>
      <c r="G319" s="192"/>
      <c r="H319" s="192"/>
      <c r="I319" s="188"/>
      <c r="J319" s="187"/>
      <c r="K319" s="170"/>
      <c r="L319" s="199"/>
      <c r="M319" s="190"/>
      <c r="N319" s="190"/>
      <c r="O319" s="190"/>
      <c r="P319" s="228"/>
      <c r="Q319" s="192"/>
      <c r="R319" s="192"/>
      <c r="S319" s="188"/>
    </row>
    <row r="320" spans="1:19" ht="15.75" thickBot="1">
      <c r="A320" s="170"/>
      <c r="B320" s="200" t="s">
        <v>212</v>
      </c>
      <c r="C320" s="200"/>
      <c r="D320" s="200"/>
      <c r="E320" s="200"/>
      <c r="F320" s="230"/>
      <c r="G320" s="201"/>
      <c r="H320" s="201">
        <f>+H317-H318</f>
        <v>4273766.5599999996</v>
      </c>
      <c r="I320" s="188"/>
      <c r="J320" s="187"/>
      <c r="K320" s="170"/>
      <c r="L320" s="200" t="s">
        <v>212</v>
      </c>
      <c r="M320" s="200"/>
      <c r="N320" s="200"/>
      <c r="O320" s="200"/>
      <c r="P320" s="230"/>
      <c r="Q320" s="201"/>
      <c r="R320" s="201">
        <f>+R317-R318</f>
        <v>4269766.5599999996</v>
      </c>
      <c r="S320" s="188"/>
    </row>
    <row r="321" spans="1:19" ht="15.75" thickTop="1">
      <c r="A321" s="170"/>
      <c r="B321" s="202" t="s">
        <v>213</v>
      </c>
      <c r="C321" s="186"/>
      <c r="D321" s="186"/>
      <c r="E321" s="186"/>
      <c r="F321" s="197"/>
      <c r="G321" s="296" t="s">
        <v>214</v>
      </c>
      <c r="H321" s="296"/>
      <c r="I321" s="188"/>
      <c r="J321" s="187"/>
      <c r="K321" s="170"/>
      <c r="L321" s="202" t="s">
        <v>213</v>
      </c>
      <c r="M321" s="186"/>
      <c r="N321" s="186"/>
      <c r="O321" s="186"/>
      <c r="P321" s="197"/>
      <c r="Q321" s="296" t="s">
        <v>214</v>
      </c>
      <c r="R321" s="296"/>
      <c r="S321" s="188"/>
    </row>
    <row r="322" spans="1:19" ht="12.75" customHeight="1">
      <c r="A322" s="170"/>
      <c r="B322" s="186"/>
      <c r="C322" s="186"/>
      <c r="D322" s="186"/>
      <c r="E322" s="186"/>
      <c r="F322" s="197"/>
      <c r="G322" s="187"/>
      <c r="H322" s="187"/>
      <c r="I322" s="188"/>
      <c r="J322" s="187"/>
      <c r="K322" s="170"/>
      <c r="L322" s="186"/>
      <c r="M322" s="186"/>
      <c r="N322" s="186"/>
      <c r="O322" s="186"/>
      <c r="P322" s="197"/>
      <c r="Q322" s="187"/>
      <c r="R322" s="187"/>
      <c r="S322" s="188"/>
    </row>
    <row r="323" spans="1:19" ht="12.75" customHeight="1">
      <c r="A323" s="170"/>
      <c r="B323" s="186"/>
      <c r="C323" s="186"/>
      <c r="D323" s="186"/>
      <c r="E323" s="186"/>
      <c r="F323" s="197"/>
      <c r="G323" s="187"/>
      <c r="H323" s="187"/>
      <c r="I323" s="188"/>
      <c r="J323" s="187"/>
      <c r="K323" s="170"/>
      <c r="L323" s="186"/>
      <c r="M323" s="186"/>
      <c r="N323" s="186"/>
      <c r="O323" s="186"/>
      <c r="P323" s="197"/>
      <c r="Q323" s="187"/>
      <c r="R323" s="187"/>
      <c r="S323" s="188"/>
    </row>
    <row r="324" spans="1:19" ht="12.75" customHeight="1">
      <c r="A324" s="170"/>
      <c r="B324" s="203" t="s">
        <v>215</v>
      </c>
      <c r="C324" s="186"/>
      <c r="D324" s="186"/>
      <c r="E324" s="186"/>
      <c r="F324" s="197"/>
      <c r="G324" s="297" t="s">
        <v>216</v>
      </c>
      <c r="H324" s="297"/>
      <c r="I324" s="188"/>
      <c r="J324" s="187"/>
      <c r="K324" s="170"/>
      <c r="L324" s="203" t="s">
        <v>215</v>
      </c>
      <c r="M324" s="186"/>
      <c r="N324" s="186"/>
      <c r="O324" s="186"/>
      <c r="P324" s="197"/>
      <c r="Q324" s="297" t="s">
        <v>216</v>
      </c>
      <c r="R324" s="297"/>
      <c r="S324" s="188"/>
    </row>
    <row r="325" spans="1:19" ht="7.5" customHeight="1">
      <c r="A325" s="204"/>
      <c r="B325" s="205"/>
      <c r="C325" s="206"/>
      <c r="D325" s="206"/>
      <c r="E325" s="206"/>
      <c r="F325" s="231"/>
      <c r="G325" s="207"/>
      <c r="H325" s="205"/>
      <c r="I325" s="208"/>
      <c r="J325" s="187"/>
      <c r="K325" s="204"/>
      <c r="L325" s="205"/>
      <c r="M325" s="206"/>
      <c r="N325" s="206"/>
      <c r="O325" s="206"/>
      <c r="P325" s="231"/>
      <c r="Q325" s="207"/>
      <c r="R325" s="205"/>
      <c r="S325" s="208"/>
    </row>
    <row r="327" spans="1:19">
      <c r="A327" s="166"/>
      <c r="B327" s="167"/>
      <c r="C327" s="167"/>
      <c r="D327" s="167"/>
      <c r="E327" s="167"/>
      <c r="F327" s="223"/>
      <c r="G327" s="167"/>
      <c r="H327" s="167"/>
      <c r="I327" s="168"/>
      <c r="J327" s="169"/>
      <c r="K327" s="166"/>
      <c r="L327" s="167"/>
      <c r="M327" s="167"/>
      <c r="N327" s="167"/>
      <c r="O327" s="167"/>
      <c r="P327" s="223"/>
      <c r="Q327" s="167"/>
      <c r="R327" s="167"/>
      <c r="S327" s="168"/>
    </row>
    <row r="328" spans="1:19">
      <c r="A328" s="170"/>
      <c r="B328" s="169"/>
      <c r="C328" s="169"/>
      <c r="D328" s="169"/>
      <c r="E328" s="169"/>
      <c r="F328" s="224"/>
      <c r="G328" s="169"/>
      <c r="H328" s="169"/>
      <c r="I328" s="171"/>
      <c r="J328" s="169"/>
      <c r="K328" s="170"/>
      <c r="L328" s="169"/>
      <c r="M328" s="169"/>
      <c r="N328" s="169"/>
      <c r="O328" s="169"/>
      <c r="P328" s="224"/>
      <c r="Q328" s="169"/>
      <c r="R328" s="169"/>
      <c r="S328" s="171"/>
    </row>
    <row r="329" spans="1:19">
      <c r="A329" s="170"/>
      <c r="B329" s="169"/>
      <c r="C329" s="169"/>
      <c r="D329" s="169"/>
      <c r="E329" s="169"/>
      <c r="F329" s="224"/>
      <c r="G329" s="169"/>
      <c r="H329" s="169"/>
      <c r="I329" s="171"/>
      <c r="J329" s="169"/>
      <c r="K329" s="170"/>
      <c r="L329" s="169"/>
      <c r="M329" s="169"/>
      <c r="N329" s="169"/>
      <c r="O329" s="169"/>
      <c r="P329" s="224"/>
      <c r="Q329" s="169"/>
      <c r="R329" s="169"/>
      <c r="S329" s="171"/>
    </row>
    <row r="330" spans="1:19">
      <c r="A330" s="170"/>
      <c r="B330" s="294" t="s">
        <v>196</v>
      </c>
      <c r="C330" s="294"/>
      <c r="D330" s="294"/>
      <c r="E330" s="294"/>
      <c r="F330" s="294"/>
      <c r="G330" s="294"/>
      <c r="H330" s="294"/>
      <c r="I330" s="295"/>
      <c r="J330" s="169"/>
      <c r="K330" s="170"/>
      <c r="L330" s="294" t="s">
        <v>196</v>
      </c>
      <c r="M330" s="294"/>
      <c r="N330" s="294"/>
      <c r="O330" s="294"/>
      <c r="P330" s="294"/>
      <c r="Q330" s="294"/>
      <c r="R330" s="294"/>
      <c r="S330" s="295"/>
    </row>
    <row r="331" spans="1:19">
      <c r="A331" s="172"/>
      <c r="B331" s="173" t="s">
        <v>197</v>
      </c>
      <c r="C331" s="174" t="s">
        <v>198</v>
      </c>
      <c r="D331" s="211">
        <v>19</v>
      </c>
      <c r="E331" s="173"/>
      <c r="F331" s="225"/>
      <c r="G331" s="173"/>
      <c r="H331" s="173"/>
      <c r="I331" s="176"/>
      <c r="J331" s="173"/>
      <c r="K331" s="172"/>
      <c r="L331" s="173" t="s">
        <v>197</v>
      </c>
      <c r="M331" s="174" t="s">
        <v>198</v>
      </c>
      <c r="N331" s="211">
        <v>20</v>
      </c>
      <c r="O331" s="175"/>
      <c r="P331" s="225"/>
      <c r="Q331" s="173"/>
      <c r="R331" s="173"/>
      <c r="S331" s="176"/>
    </row>
    <row r="332" spans="1:19">
      <c r="A332" s="172"/>
      <c r="B332" s="173" t="s">
        <v>199</v>
      </c>
      <c r="C332" s="174" t="s">
        <v>198</v>
      </c>
      <c r="D332" s="177" t="s">
        <v>229</v>
      </c>
      <c r="E332" s="173"/>
      <c r="F332" s="225"/>
      <c r="G332" s="173"/>
      <c r="H332" s="173"/>
      <c r="I332" s="176"/>
      <c r="J332" s="173"/>
      <c r="K332" s="172"/>
      <c r="L332" s="173" t="s">
        <v>199</v>
      </c>
      <c r="M332" s="174" t="s">
        <v>198</v>
      </c>
      <c r="N332" s="177" t="s">
        <v>229</v>
      </c>
      <c r="O332" s="179"/>
      <c r="P332" s="225"/>
      <c r="Q332" s="173"/>
      <c r="R332" s="173"/>
      <c r="S332" s="176"/>
    </row>
    <row r="333" spans="1:19">
      <c r="A333" s="172"/>
      <c r="B333" s="173" t="s">
        <v>200</v>
      </c>
      <c r="C333" s="174" t="s">
        <v>198</v>
      </c>
      <c r="D333" s="177" t="str">
        <f>+'PRODUKSI 1'!B27</f>
        <v>YUNI YUNINGSIH</v>
      </c>
      <c r="E333" s="173"/>
      <c r="F333" s="225"/>
      <c r="G333" s="173"/>
      <c r="H333" s="173"/>
      <c r="I333" s="176"/>
      <c r="J333" s="173"/>
      <c r="K333" s="172"/>
      <c r="L333" s="173" t="s">
        <v>200</v>
      </c>
      <c r="M333" s="174" t="s">
        <v>198</v>
      </c>
      <c r="N333" s="178" t="str">
        <f>+'PRODUKSI 1'!B28</f>
        <v>BADRUDIN</v>
      </c>
      <c r="O333" s="173"/>
      <c r="P333" s="225"/>
      <c r="Q333" s="173"/>
      <c r="R333" s="173"/>
      <c r="S333" s="176"/>
    </row>
    <row r="334" spans="1:19" ht="15.75" thickBot="1">
      <c r="A334" s="172"/>
      <c r="B334" s="173" t="s">
        <v>201</v>
      </c>
      <c r="C334" s="174" t="s">
        <v>198</v>
      </c>
      <c r="D334" s="177" t="str">
        <f>+'PRODUKSI 1'!C27</f>
        <v>STICHING</v>
      </c>
      <c r="E334" s="173"/>
      <c r="F334" s="225"/>
      <c r="G334" s="173"/>
      <c r="H334" s="173"/>
      <c r="I334" s="176"/>
      <c r="J334" s="173"/>
      <c r="K334" s="172"/>
      <c r="L334" s="173" t="s">
        <v>201</v>
      </c>
      <c r="M334" s="174" t="s">
        <v>198</v>
      </c>
      <c r="N334" s="178" t="str">
        <f>+'PRODUKSI 1'!C28</f>
        <v>DELIVERY</v>
      </c>
      <c r="O334" s="179"/>
      <c r="P334" s="225"/>
      <c r="Q334" s="173"/>
      <c r="R334" s="173"/>
      <c r="S334" s="176"/>
    </row>
    <row r="335" spans="1:19" ht="10.5" customHeight="1" thickTop="1">
      <c r="A335" s="170"/>
      <c r="B335" s="182"/>
      <c r="C335" s="182"/>
      <c r="D335" s="182"/>
      <c r="E335" s="182"/>
      <c r="F335" s="226"/>
      <c r="G335" s="182"/>
      <c r="H335" s="182"/>
      <c r="I335" s="183"/>
      <c r="J335" s="169"/>
      <c r="K335" s="170"/>
      <c r="L335" s="182"/>
      <c r="M335" s="182"/>
      <c r="N335" s="182"/>
      <c r="O335" s="182"/>
      <c r="P335" s="226"/>
      <c r="Q335" s="182"/>
      <c r="R335" s="182"/>
      <c r="S335" s="183"/>
    </row>
    <row r="336" spans="1:19">
      <c r="A336" s="170"/>
      <c r="B336" s="184" t="s">
        <v>202</v>
      </c>
      <c r="C336" s="185"/>
      <c r="D336" s="185"/>
      <c r="E336" s="185"/>
      <c r="F336" s="227"/>
      <c r="G336" s="185"/>
      <c r="H336" s="185"/>
      <c r="I336" s="183"/>
      <c r="J336" s="169"/>
      <c r="K336" s="170"/>
      <c r="L336" s="184" t="s">
        <v>202</v>
      </c>
      <c r="M336" s="184"/>
      <c r="N336" s="185"/>
      <c r="O336" s="185"/>
      <c r="P336" s="227"/>
      <c r="Q336" s="185"/>
      <c r="R336" s="185"/>
      <c r="S336" s="183"/>
    </row>
    <row r="337" spans="1:19" ht="14.25" customHeight="1">
      <c r="A337" s="170"/>
      <c r="B337" s="186" t="s">
        <v>111</v>
      </c>
      <c r="C337" s="186"/>
      <c r="D337" s="187"/>
      <c r="E337" s="186"/>
      <c r="F337" s="197"/>
      <c r="G337" s="187"/>
      <c r="H337" s="187">
        <f>+'PRODUKSI 1'!H27</f>
        <v>4394855</v>
      </c>
      <c r="I337" s="188"/>
      <c r="J337" s="187"/>
      <c r="K337" s="170"/>
      <c r="L337" s="186" t="s">
        <v>111</v>
      </c>
      <c r="M337" s="186"/>
      <c r="N337" s="187"/>
      <c r="O337" s="186"/>
      <c r="P337" s="197"/>
      <c r="Q337" s="187"/>
      <c r="R337" s="187">
        <f>+'PRODUKSI 1'!H28</f>
        <v>4594855</v>
      </c>
      <c r="S337" s="188"/>
    </row>
    <row r="338" spans="1:19" ht="14.25" customHeight="1">
      <c r="A338" s="170"/>
      <c r="B338" s="186" t="s">
        <v>203</v>
      </c>
      <c r="C338" s="186"/>
      <c r="D338" s="186"/>
      <c r="E338" s="186"/>
      <c r="F338" s="197"/>
      <c r="G338" s="187"/>
      <c r="H338" s="187">
        <f>+'PRODUKSI 1'!I27</f>
        <v>0</v>
      </c>
      <c r="I338" s="188"/>
      <c r="J338" s="209"/>
      <c r="K338" s="170"/>
      <c r="L338" s="186" t="s">
        <v>203</v>
      </c>
      <c r="M338" s="186"/>
      <c r="N338" s="186"/>
      <c r="O338" s="186"/>
      <c r="P338" s="197"/>
      <c r="Q338" s="187"/>
      <c r="R338" s="187">
        <f>+'PRODUKSI 1'!I28</f>
        <v>0</v>
      </c>
      <c r="S338" s="188"/>
    </row>
    <row r="339" spans="1:19" ht="14.25" customHeight="1">
      <c r="A339" s="170"/>
      <c r="B339" s="186" t="s">
        <v>227</v>
      </c>
      <c r="C339" s="186"/>
      <c r="D339" s="186"/>
      <c r="E339" s="186"/>
      <c r="F339" s="197"/>
      <c r="G339" s="187"/>
      <c r="H339" s="187">
        <f>+'PRODUKSI 1'!J27</f>
        <v>0</v>
      </c>
      <c r="I339" s="188"/>
      <c r="J339" s="209"/>
      <c r="K339" s="170"/>
      <c r="L339" s="186" t="s">
        <v>227</v>
      </c>
      <c r="M339" s="186"/>
      <c r="N339" s="186"/>
      <c r="O339" s="186"/>
      <c r="P339" s="197"/>
      <c r="Q339" s="187"/>
      <c r="R339" s="187">
        <f>+'PRODUKSI 1'!J28</f>
        <v>0</v>
      </c>
      <c r="S339" s="188"/>
    </row>
    <row r="340" spans="1:19" ht="14.25" customHeight="1">
      <c r="A340" s="170"/>
      <c r="B340" s="186" t="s">
        <v>228</v>
      </c>
      <c r="C340" s="186"/>
      <c r="D340" s="186"/>
      <c r="E340" s="186"/>
      <c r="F340" s="197"/>
      <c r="G340" s="187"/>
      <c r="H340" s="187">
        <f>+'PRODUKSI 1'!K27</f>
        <v>0</v>
      </c>
      <c r="I340" s="188"/>
      <c r="J340" s="209"/>
      <c r="K340" s="170"/>
      <c r="L340" s="186" t="s">
        <v>228</v>
      </c>
      <c r="M340" s="186"/>
      <c r="N340" s="186"/>
      <c r="O340" s="186"/>
      <c r="P340" s="197"/>
      <c r="Q340" s="187"/>
      <c r="R340" s="187">
        <f>+'PRODUKSI 1'!K28</f>
        <v>0</v>
      </c>
      <c r="S340" s="188"/>
    </row>
    <row r="341" spans="1:19" ht="14.25" customHeight="1">
      <c r="A341" s="170"/>
      <c r="B341" s="186" t="s">
        <v>224</v>
      </c>
      <c r="C341" s="186"/>
      <c r="D341" s="186"/>
      <c r="E341" s="186"/>
      <c r="F341" s="197"/>
      <c r="G341" s="187"/>
      <c r="H341" s="187">
        <f>+'PRODUKSI 1'!AA27</f>
        <v>448215.69090000005</v>
      </c>
      <c r="I341" s="188"/>
      <c r="J341" s="209"/>
      <c r="K341" s="170"/>
      <c r="L341" s="186" t="s">
        <v>224</v>
      </c>
      <c r="M341" s="186"/>
      <c r="N341" s="186"/>
      <c r="O341" s="186"/>
      <c r="P341" s="197"/>
      <c r="Q341" s="187"/>
      <c r="R341" s="187">
        <f>+'PRODUKSI 1'!AA28</f>
        <v>448215.69090000005</v>
      </c>
      <c r="S341" s="188"/>
    </row>
    <row r="342" spans="1:19" ht="14.25" customHeight="1">
      <c r="A342" s="170"/>
      <c r="B342" s="186" t="s">
        <v>195</v>
      </c>
      <c r="C342" s="186"/>
      <c r="D342" s="187"/>
      <c r="E342" s="186"/>
      <c r="F342" s="197"/>
      <c r="G342" s="187"/>
      <c r="H342" s="187">
        <f>+'PRODUKSI 1'!S27</f>
        <v>88000</v>
      </c>
      <c r="I342" s="188"/>
      <c r="J342" s="187"/>
      <c r="K342" s="170"/>
      <c r="L342" s="186" t="s">
        <v>195</v>
      </c>
      <c r="M342" s="186"/>
      <c r="N342" s="187"/>
      <c r="O342" s="186"/>
      <c r="P342" s="197"/>
      <c r="Q342" s="187"/>
      <c r="R342" s="187">
        <f>+'PRODUKSI 1'!S28</f>
        <v>76000</v>
      </c>
      <c r="S342" s="188"/>
    </row>
    <row r="343" spans="1:19" ht="14.25" customHeight="1">
      <c r="A343" s="170"/>
      <c r="B343" s="220" t="s">
        <v>233</v>
      </c>
      <c r="C343" s="186"/>
      <c r="D343" s="187"/>
      <c r="E343" s="186"/>
      <c r="F343" s="197"/>
      <c r="G343" s="187"/>
      <c r="H343" s="187"/>
      <c r="I343" s="188"/>
      <c r="J343" s="209"/>
      <c r="K343" s="170"/>
      <c r="L343" s="220" t="s">
        <v>233</v>
      </c>
      <c r="M343" s="186"/>
      <c r="N343" s="187"/>
      <c r="O343" s="186"/>
      <c r="P343" s="197"/>
      <c r="Q343" s="187"/>
      <c r="R343" s="187"/>
      <c r="S343" s="188"/>
    </row>
    <row r="344" spans="1:19" ht="14.25" customHeight="1">
      <c r="A344" s="170"/>
      <c r="B344" s="186" t="s">
        <v>206</v>
      </c>
      <c r="C344" s="186"/>
      <c r="D344" s="212">
        <v>0</v>
      </c>
      <c r="E344" s="186" t="s">
        <v>207</v>
      </c>
      <c r="F344" s="197" t="s">
        <v>205</v>
      </c>
      <c r="G344" s="187">
        <v>20372</v>
      </c>
      <c r="H344" s="187">
        <v>0</v>
      </c>
      <c r="I344" s="188"/>
      <c r="J344" s="187"/>
      <c r="K344" s="170"/>
      <c r="L344" s="186" t="s">
        <v>206</v>
      </c>
      <c r="M344" s="186"/>
      <c r="N344" s="212">
        <v>0</v>
      </c>
      <c r="O344" s="186" t="s">
        <v>207</v>
      </c>
      <c r="P344" s="197" t="s">
        <v>205</v>
      </c>
      <c r="Q344" s="187">
        <v>25223</v>
      </c>
      <c r="R344" s="187">
        <v>0</v>
      </c>
      <c r="S344" s="188"/>
    </row>
    <row r="345" spans="1:19" ht="14.25" customHeight="1" thickBot="1">
      <c r="A345" s="170"/>
      <c r="B345" s="190" t="s">
        <v>208</v>
      </c>
      <c r="C345" s="190"/>
      <c r="D345" s="213">
        <v>0</v>
      </c>
      <c r="E345" s="190" t="s">
        <v>207</v>
      </c>
      <c r="F345" s="228" t="s">
        <v>205</v>
      </c>
      <c r="G345" s="192">
        <v>20372</v>
      </c>
      <c r="H345" s="192">
        <f>G345*D345</f>
        <v>0</v>
      </c>
      <c r="I345" s="188"/>
      <c r="J345" s="187"/>
      <c r="K345" s="170"/>
      <c r="L345" s="190" t="s">
        <v>208</v>
      </c>
      <c r="M345" s="190"/>
      <c r="N345" s="213">
        <v>40</v>
      </c>
      <c r="O345" s="190" t="s">
        <v>207</v>
      </c>
      <c r="P345" s="228" t="s">
        <v>205</v>
      </c>
      <c r="Q345" s="192">
        <f>Q344</f>
        <v>25223</v>
      </c>
      <c r="R345" s="192">
        <f>Q345*N345</f>
        <v>1008920</v>
      </c>
      <c r="S345" s="188"/>
    </row>
    <row r="346" spans="1:19" ht="15.75" thickBot="1">
      <c r="A346" s="170"/>
      <c r="B346" s="190" t="s">
        <v>219</v>
      </c>
      <c r="C346" s="190"/>
      <c r="D346" s="213">
        <f>SUM(D344:D345)</f>
        <v>0</v>
      </c>
      <c r="E346" s="190"/>
      <c r="F346" s="228"/>
      <c r="G346" s="192"/>
      <c r="H346" s="192">
        <f>SUM(H337:H345)</f>
        <v>4931070.6908999998</v>
      </c>
      <c r="I346" s="188"/>
      <c r="J346" s="187"/>
      <c r="K346" s="170"/>
      <c r="L346" s="190" t="s">
        <v>219</v>
      </c>
      <c r="M346" s="190"/>
      <c r="N346" s="213">
        <f>SUM(N344:N345)</f>
        <v>40</v>
      </c>
      <c r="O346" s="190"/>
      <c r="P346" s="228"/>
      <c r="Q346" s="192"/>
      <c r="R346" s="192">
        <f>SUM(R337:R345)</f>
        <v>6127990.6908999998</v>
      </c>
      <c r="S346" s="188"/>
    </row>
    <row r="347" spans="1:19">
      <c r="A347" s="170"/>
      <c r="B347" s="196" t="s">
        <v>113</v>
      </c>
      <c r="C347" s="186"/>
      <c r="D347" s="186"/>
      <c r="E347" s="186"/>
      <c r="F347" s="197"/>
      <c r="G347" s="187"/>
      <c r="H347" s="187"/>
      <c r="I347" s="188"/>
      <c r="J347" s="209"/>
      <c r="K347" s="170"/>
      <c r="L347" s="196" t="s">
        <v>113</v>
      </c>
      <c r="M347" s="186"/>
      <c r="N347" s="186"/>
      <c r="O347" s="186"/>
      <c r="P347" s="197"/>
      <c r="Q347" s="187"/>
      <c r="R347" s="187"/>
      <c r="S347" s="188"/>
    </row>
    <row r="348" spans="1:19" ht="14.25" customHeight="1">
      <c r="A348" s="170"/>
      <c r="B348" s="186" t="s">
        <v>209</v>
      </c>
      <c r="C348" s="186"/>
      <c r="D348" s="197"/>
      <c r="E348" s="186"/>
      <c r="F348" s="197"/>
      <c r="G348" s="198" t="str">
        <f>+'PRODUKSI 1'!D27</f>
        <v>TK</v>
      </c>
      <c r="H348" s="187">
        <f>+'PRODUKSI 1'!AH27</f>
        <v>0</v>
      </c>
      <c r="I348" s="188"/>
      <c r="J348" s="209"/>
      <c r="K348" s="170"/>
      <c r="L348" s="186" t="s">
        <v>209</v>
      </c>
      <c r="M348" s="186"/>
      <c r="N348" s="198"/>
      <c r="O348" s="186"/>
      <c r="P348" s="197"/>
      <c r="Q348" s="198" t="str">
        <f>+'PRODUKSI 1'!D28</f>
        <v>K1</v>
      </c>
      <c r="R348" s="187">
        <f>+'PRODUKSI 1'!AH28</f>
        <v>15530</v>
      </c>
      <c r="S348" s="188"/>
    </row>
    <row r="349" spans="1:19" ht="14.25" customHeight="1">
      <c r="A349" s="170"/>
      <c r="B349" s="186" t="s">
        <v>225</v>
      </c>
      <c r="C349" s="186"/>
      <c r="D349" s="197"/>
      <c r="E349" s="186"/>
      <c r="F349" s="197"/>
      <c r="G349" s="198"/>
      <c r="H349" s="187">
        <f>+'PRODUKSI 1'!AE27+'PRODUKSI 1'!AF27</f>
        <v>48772.11</v>
      </c>
      <c r="I349" s="188"/>
      <c r="J349" s="209"/>
      <c r="K349" s="170"/>
      <c r="L349" s="186" t="s">
        <v>225</v>
      </c>
      <c r="M349" s="186"/>
      <c r="N349" s="198"/>
      <c r="O349" s="186"/>
      <c r="P349" s="197"/>
      <c r="Q349" s="198"/>
      <c r="R349" s="187">
        <f>+'PRODUKSI 1'!AE28+'PRODUKSI 1'!AF28</f>
        <v>48772.11</v>
      </c>
      <c r="S349" s="188"/>
    </row>
    <row r="350" spans="1:19" ht="14.25" customHeight="1">
      <c r="A350" s="170"/>
      <c r="B350" s="186" t="s">
        <v>226</v>
      </c>
      <c r="C350" s="186"/>
      <c r="D350" s="197"/>
      <c r="E350" s="186"/>
      <c r="F350" s="197"/>
      <c r="G350" s="198"/>
      <c r="H350" s="187">
        <f>+'PRODUKSI 1'!AC27+'PRODUKSI 1'!AD27</f>
        <v>146316.33000000002</v>
      </c>
      <c r="I350" s="188"/>
      <c r="J350" s="209"/>
      <c r="K350" s="170"/>
      <c r="L350" s="186" t="s">
        <v>226</v>
      </c>
      <c r="M350" s="186"/>
      <c r="N350" s="198"/>
      <c r="O350" s="186"/>
      <c r="P350" s="197"/>
      <c r="Q350" s="198"/>
      <c r="R350" s="187">
        <f>+'PRODUKSI 1'!AC28+'PRODUKSI 1'!AD28</f>
        <v>146316.33000000002</v>
      </c>
      <c r="S350" s="188"/>
    </row>
    <row r="351" spans="1:19" ht="14.25" customHeight="1">
      <c r="A351" s="170"/>
      <c r="B351" s="186" t="s">
        <v>103</v>
      </c>
      <c r="C351" s="186"/>
      <c r="D351" s="186"/>
      <c r="E351" s="186"/>
      <c r="F351" s="197"/>
      <c r="G351" s="187"/>
      <c r="H351" s="187">
        <f>+H341</f>
        <v>448215.69090000005</v>
      </c>
      <c r="I351" s="188"/>
      <c r="J351" s="209"/>
      <c r="K351" s="170"/>
      <c r="L351" s="186" t="s">
        <v>103</v>
      </c>
      <c r="M351" s="186"/>
      <c r="N351" s="186"/>
      <c r="O351" s="186"/>
      <c r="P351" s="197"/>
      <c r="Q351" s="187"/>
      <c r="R351" s="187">
        <f>+R341</f>
        <v>448215.69090000005</v>
      </c>
      <c r="S351" s="188"/>
    </row>
    <row r="352" spans="1:19" ht="14.25" customHeight="1" thickBot="1">
      <c r="A352" s="170"/>
      <c r="B352" s="190" t="s">
        <v>211</v>
      </c>
      <c r="C352" s="190"/>
      <c r="D352" s="190"/>
      <c r="E352" s="190"/>
      <c r="F352" s="228"/>
      <c r="G352" s="192"/>
      <c r="H352" s="192">
        <f>SUM(H348:H351)</f>
        <v>643304.13089999999</v>
      </c>
      <c r="I352" s="188"/>
      <c r="J352" s="209"/>
      <c r="K352" s="170"/>
      <c r="L352" s="190" t="s">
        <v>211</v>
      </c>
      <c r="M352" s="190"/>
      <c r="N352" s="190"/>
      <c r="O352" s="190"/>
      <c r="P352" s="228"/>
      <c r="Q352" s="192"/>
      <c r="R352" s="192">
        <f>SUM(R348:R351)</f>
        <v>658834.13089999999</v>
      </c>
      <c r="S352" s="188"/>
    </row>
    <row r="353" spans="1:19" ht="15.75" thickBot="1">
      <c r="A353" s="170"/>
      <c r="B353" s="193" t="s">
        <v>220</v>
      </c>
      <c r="C353" s="193"/>
      <c r="D353" s="193"/>
      <c r="E353" s="193"/>
      <c r="F353" s="229"/>
      <c r="G353" s="195"/>
      <c r="H353" s="195">
        <f>SUM(H346-H352)</f>
        <v>4287766.5599999996</v>
      </c>
      <c r="I353" s="188"/>
      <c r="J353" s="209"/>
      <c r="K353" s="170"/>
      <c r="L353" s="193" t="s">
        <v>220</v>
      </c>
      <c r="M353" s="193"/>
      <c r="N353" s="193"/>
      <c r="O353" s="193"/>
      <c r="P353" s="229"/>
      <c r="Q353" s="195"/>
      <c r="R353" s="195">
        <f>SUM(R346-R352)</f>
        <v>5469156.5599999996</v>
      </c>
      <c r="S353" s="188"/>
    </row>
    <row r="354" spans="1:19">
      <c r="A354" s="170"/>
      <c r="B354" s="186" t="s">
        <v>221</v>
      </c>
      <c r="C354" s="186"/>
      <c r="D354" s="186"/>
      <c r="E354" s="186"/>
      <c r="F354" s="197"/>
      <c r="G354" s="187"/>
      <c r="H354" s="187">
        <v>10000</v>
      </c>
      <c r="I354" s="188"/>
      <c r="J354" s="209"/>
      <c r="K354" s="170"/>
      <c r="L354" s="186" t="s">
        <v>221</v>
      </c>
      <c r="M354" s="186"/>
      <c r="N354" s="186"/>
      <c r="O354" s="186"/>
      <c r="P354" s="197"/>
      <c r="Q354" s="187"/>
      <c r="R354" s="187">
        <v>10000</v>
      </c>
      <c r="S354" s="188"/>
    </row>
    <row r="355" spans="1:19" ht="15.75" thickBot="1">
      <c r="A355" s="170"/>
      <c r="B355" s="199"/>
      <c r="C355" s="190"/>
      <c r="D355" s="190"/>
      <c r="E355" s="190"/>
      <c r="F355" s="228"/>
      <c r="G355" s="192"/>
      <c r="H355" s="192"/>
      <c r="I355" s="188"/>
      <c r="J355" s="187"/>
      <c r="K355" s="170"/>
      <c r="L355" s="199"/>
      <c r="M355" s="190"/>
      <c r="N355" s="190"/>
      <c r="O355" s="190"/>
      <c r="P355" s="228"/>
      <c r="Q355" s="192"/>
      <c r="R355" s="192"/>
      <c r="S355" s="188"/>
    </row>
    <row r="356" spans="1:19" ht="15.75" thickBot="1">
      <c r="A356" s="170"/>
      <c r="B356" s="200" t="s">
        <v>212</v>
      </c>
      <c r="C356" s="200"/>
      <c r="D356" s="200"/>
      <c r="E356" s="200"/>
      <c r="F356" s="230"/>
      <c r="G356" s="201"/>
      <c r="H356" s="201">
        <f>+H353-H354</f>
        <v>4277766.5599999996</v>
      </c>
      <c r="I356" s="188"/>
      <c r="J356" s="187"/>
      <c r="K356" s="170"/>
      <c r="L356" s="200" t="s">
        <v>212</v>
      </c>
      <c r="M356" s="200"/>
      <c r="N356" s="200"/>
      <c r="O356" s="200"/>
      <c r="P356" s="230"/>
      <c r="Q356" s="201"/>
      <c r="R356" s="201">
        <f>+R353-R354</f>
        <v>5459156.5599999996</v>
      </c>
      <c r="S356" s="188"/>
    </row>
    <row r="357" spans="1:19" ht="15.75" thickTop="1">
      <c r="A357" s="170"/>
      <c r="B357" s="202" t="s">
        <v>213</v>
      </c>
      <c r="C357" s="186"/>
      <c r="D357" s="186"/>
      <c r="E357" s="186"/>
      <c r="F357" s="197"/>
      <c r="G357" s="296" t="s">
        <v>214</v>
      </c>
      <c r="H357" s="296"/>
      <c r="I357" s="188"/>
      <c r="J357" s="187"/>
      <c r="K357" s="170"/>
      <c r="L357" s="202" t="s">
        <v>213</v>
      </c>
      <c r="M357" s="186"/>
      <c r="N357" s="186"/>
      <c r="O357" s="186"/>
      <c r="P357" s="197"/>
      <c r="Q357" s="296" t="s">
        <v>214</v>
      </c>
      <c r="R357" s="296"/>
      <c r="S357" s="188"/>
    </row>
    <row r="358" spans="1:19" ht="12.75" customHeight="1">
      <c r="A358" s="170"/>
      <c r="B358" s="186"/>
      <c r="C358" s="186"/>
      <c r="D358" s="186"/>
      <c r="E358" s="186"/>
      <c r="F358" s="197"/>
      <c r="G358" s="187"/>
      <c r="H358" s="187"/>
      <c r="I358" s="188"/>
      <c r="J358" s="187"/>
      <c r="K358" s="170"/>
      <c r="L358" s="186"/>
      <c r="M358" s="186"/>
      <c r="N358" s="186"/>
      <c r="O358" s="186"/>
      <c r="P358" s="197"/>
      <c r="Q358" s="187"/>
      <c r="R358" s="187"/>
      <c r="S358" s="188"/>
    </row>
    <row r="359" spans="1:19" ht="12.75" customHeight="1">
      <c r="A359" s="170"/>
      <c r="B359" s="186"/>
      <c r="C359" s="186"/>
      <c r="D359" s="186"/>
      <c r="E359" s="186"/>
      <c r="F359" s="197"/>
      <c r="G359" s="187"/>
      <c r="H359" s="187"/>
      <c r="I359" s="188"/>
      <c r="J359" s="187"/>
      <c r="K359" s="170"/>
      <c r="L359" s="186"/>
      <c r="M359" s="186"/>
      <c r="N359" s="186"/>
      <c r="O359" s="186"/>
      <c r="P359" s="197"/>
      <c r="Q359" s="187"/>
      <c r="R359" s="187"/>
      <c r="S359" s="188"/>
    </row>
    <row r="360" spans="1:19" ht="12.75" customHeight="1">
      <c r="A360" s="170"/>
      <c r="B360" s="203" t="s">
        <v>215</v>
      </c>
      <c r="C360" s="186"/>
      <c r="D360" s="186"/>
      <c r="E360" s="186"/>
      <c r="F360" s="197"/>
      <c r="G360" s="297" t="s">
        <v>216</v>
      </c>
      <c r="H360" s="297"/>
      <c r="I360" s="188"/>
      <c r="J360" s="187"/>
      <c r="K360" s="170"/>
      <c r="L360" s="203" t="s">
        <v>215</v>
      </c>
      <c r="M360" s="186"/>
      <c r="N360" s="186"/>
      <c r="O360" s="186"/>
      <c r="P360" s="197"/>
      <c r="Q360" s="297" t="s">
        <v>216</v>
      </c>
      <c r="R360" s="297"/>
      <c r="S360" s="188"/>
    </row>
    <row r="361" spans="1:19" ht="7.5" customHeight="1">
      <c r="A361" s="204"/>
      <c r="B361" s="205"/>
      <c r="C361" s="206"/>
      <c r="D361" s="206"/>
      <c r="E361" s="206"/>
      <c r="F361" s="231"/>
      <c r="G361" s="207"/>
      <c r="H361" s="205"/>
      <c r="I361" s="208"/>
      <c r="J361" s="187"/>
      <c r="K361" s="204"/>
      <c r="L361" s="205"/>
      <c r="M361" s="206"/>
      <c r="N361" s="206"/>
      <c r="O361" s="206"/>
      <c r="P361" s="231"/>
      <c r="Q361" s="207"/>
      <c r="R361" s="205"/>
      <c r="S361" s="208"/>
    </row>
    <row r="363" spans="1:19">
      <c r="A363" s="166"/>
      <c r="B363" s="167"/>
      <c r="C363" s="167"/>
      <c r="D363" s="167"/>
      <c r="E363" s="167"/>
      <c r="F363" s="223"/>
      <c r="G363" s="167"/>
      <c r="H363" s="167"/>
      <c r="I363" s="168"/>
      <c r="J363" s="169"/>
      <c r="K363" s="166"/>
      <c r="L363" s="167"/>
      <c r="M363" s="167"/>
      <c r="N363" s="167"/>
      <c r="O363" s="167"/>
      <c r="P363" s="223"/>
      <c r="Q363" s="167"/>
      <c r="R363" s="167"/>
      <c r="S363" s="168"/>
    </row>
    <row r="364" spans="1:19">
      <c r="A364" s="170"/>
      <c r="B364" s="169"/>
      <c r="C364" s="169"/>
      <c r="D364" s="169"/>
      <c r="E364" s="169"/>
      <c r="F364" s="224"/>
      <c r="G364" s="169"/>
      <c r="H364" s="169"/>
      <c r="I364" s="171"/>
      <c r="J364" s="169"/>
      <c r="K364" s="170"/>
      <c r="L364" s="169"/>
      <c r="M364" s="169"/>
      <c r="N364" s="169"/>
      <c r="O364" s="169"/>
      <c r="P364" s="224"/>
      <c r="Q364" s="169"/>
      <c r="R364" s="169"/>
      <c r="S364" s="171"/>
    </row>
    <row r="365" spans="1:19">
      <c r="A365" s="170"/>
      <c r="B365" s="169"/>
      <c r="C365" s="169"/>
      <c r="D365" s="169"/>
      <c r="E365" s="169"/>
      <c r="F365" s="224"/>
      <c r="G365" s="169"/>
      <c r="H365" s="169"/>
      <c r="I365" s="171"/>
      <c r="J365" s="169"/>
      <c r="K365" s="170"/>
      <c r="L365" s="169"/>
      <c r="M365" s="169"/>
      <c r="N365" s="169"/>
      <c r="O365" s="169"/>
      <c r="P365" s="224"/>
      <c r="Q365" s="169"/>
      <c r="R365" s="169"/>
      <c r="S365" s="171"/>
    </row>
    <row r="366" spans="1:19">
      <c r="A366" s="170"/>
      <c r="B366" s="294" t="s">
        <v>196</v>
      </c>
      <c r="C366" s="294"/>
      <c r="D366" s="294"/>
      <c r="E366" s="294"/>
      <c r="F366" s="294"/>
      <c r="G366" s="294"/>
      <c r="H366" s="294"/>
      <c r="I366" s="295"/>
      <c r="J366" s="169"/>
      <c r="K366" s="170"/>
      <c r="L366" s="294" t="s">
        <v>196</v>
      </c>
      <c r="M366" s="294"/>
      <c r="N366" s="294"/>
      <c r="O366" s="294"/>
      <c r="P366" s="294"/>
      <c r="Q366" s="294"/>
      <c r="R366" s="294"/>
      <c r="S366" s="295"/>
    </row>
    <row r="367" spans="1:19">
      <c r="A367" s="172"/>
      <c r="B367" s="173" t="s">
        <v>197</v>
      </c>
      <c r="C367" s="174" t="s">
        <v>198</v>
      </c>
      <c r="D367" s="211">
        <v>21</v>
      </c>
      <c r="E367" s="173"/>
      <c r="F367" s="225"/>
      <c r="G367" s="173"/>
      <c r="H367" s="173"/>
      <c r="I367" s="176"/>
      <c r="J367" s="173"/>
      <c r="K367" s="172"/>
      <c r="L367" s="173" t="s">
        <v>197</v>
      </c>
      <c r="M367" s="174" t="s">
        <v>198</v>
      </c>
      <c r="N367" s="211">
        <v>22</v>
      </c>
      <c r="O367" s="175"/>
      <c r="P367" s="225"/>
      <c r="Q367" s="173"/>
      <c r="R367" s="173"/>
      <c r="S367" s="176"/>
    </row>
    <row r="368" spans="1:19">
      <c r="A368" s="172"/>
      <c r="B368" s="173" t="s">
        <v>199</v>
      </c>
      <c r="C368" s="174" t="s">
        <v>198</v>
      </c>
      <c r="D368" s="177" t="s">
        <v>229</v>
      </c>
      <c r="E368" s="173"/>
      <c r="F368" s="225"/>
      <c r="G368" s="173"/>
      <c r="H368" s="173"/>
      <c r="I368" s="176"/>
      <c r="J368" s="173"/>
      <c r="K368" s="172"/>
      <c r="L368" s="173" t="s">
        <v>199</v>
      </c>
      <c r="M368" s="174" t="s">
        <v>198</v>
      </c>
      <c r="N368" s="177" t="s">
        <v>229</v>
      </c>
      <c r="O368" s="179"/>
      <c r="P368" s="225"/>
      <c r="Q368" s="173"/>
      <c r="R368" s="173"/>
      <c r="S368" s="176"/>
    </row>
    <row r="369" spans="1:19">
      <c r="A369" s="172"/>
      <c r="B369" s="173" t="s">
        <v>200</v>
      </c>
      <c r="C369" s="174" t="s">
        <v>198</v>
      </c>
      <c r="D369" s="177" t="str">
        <f>+'PRODUKSI 1'!B29</f>
        <v>WANDI YULIANTO</v>
      </c>
      <c r="E369" s="173"/>
      <c r="F369" s="225"/>
      <c r="G369" s="173"/>
      <c r="H369" s="173"/>
      <c r="I369" s="176"/>
      <c r="J369" s="173"/>
      <c r="K369" s="172"/>
      <c r="L369" s="173" t="s">
        <v>200</v>
      </c>
      <c r="M369" s="174" t="s">
        <v>198</v>
      </c>
      <c r="N369" s="178" t="str">
        <f>+'PRODUKSI 1'!B30</f>
        <v>AGUS HUSEN AHMAD SATORI</v>
      </c>
      <c r="O369" s="173"/>
      <c r="P369" s="225"/>
      <c r="Q369" s="173"/>
      <c r="R369" s="173"/>
      <c r="S369" s="176"/>
    </row>
    <row r="370" spans="1:19" ht="15.75" thickBot="1">
      <c r="A370" s="172"/>
      <c r="B370" s="173" t="s">
        <v>201</v>
      </c>
      <c r="C370" s="174" t="s">
        <v>198</v>
      </c>
      <c r="D370" s="177" t="str">
        <f>+'PRODUKSI 1'!C29</f>
        <v>OP.PRINTER 5</v>
      </c>
      <c r="E370" s="173"/>
      <c r="F370" s="225"/>
      <c r="G370" s="173"/>
      <c r="H370" s="173"/>
      <c r="I370" s="176"/>
      <c r="J370" s="173"/>
      <c r="K370" s="172"/>
      <c r="L370" s="173" t="s">
        <v>201</v>
      </c>
      <c r="M370" s="174" t="s">
        <v>198</v>
      </c>
      <c r="N370" s="178" t="str">
        <f>+'PRODUKSI 1'!C30</f>
        <v>OP. PRINTER 2</v>
      </c>
      <c r="O370" s="179"/>
      <c r="P370" s="225"/>
      <c r="Q370" s="173"/>
      <c r="R370" s="173"/>
      <c r="S370" s="176"/>
    </row>
    <row r="371" spans="1:19" ht="10.5" customHeight="1" thickTop="1">
      <c r="A371" s="170"/>
      <c r="B371" s="182"/>
      <c r="C371" s="182"/>
      <c r="D371" s="182"/>
      <c r="E371" s="182"/>
      <c r="F371" s="226"/>
      <c r="G371" s="182"/>
      <c r="H371" s="182"/>
      <c r="I371" s="183"/>
      <c r="J371" s="169"/>
      <c r="K371" s="170"/>
      <c r="L371" s="182"/>
      <c r="M371" s="182"/>
      <c r="N371" s="182"/>
      <c r="O371" s="182"/>
      <c r="P371" s="226"/>
      <c r="Q371" s="182"/>
      <c r="R371" s="182"/>
      <c r="S371" s="183"/>
    </row>
    <row r="372" spans="1:19">
      <c r="A372" s="170"/>
      <c r="B372" s="184" t="s">
        <v>202</v>
      </c>
      <c r="C372" s="185"/>
      <c r="D372" s="185"/>
      <c r="E372" s="185"/>
      <c r="F372" s="227"/>
      <c r="G372" s="185"/>
      <c r="H372" s="185"/>
      <c r="I372" s="183"/>
      <c r="J372" s="169"/>
      <c r="K372" s="170"/>
      <c r="L372" s="184" t="s">
        <v>202</v>
      </c>
      <c r="M372" s="184"/>
      <c r="N372" s="185"/>
      <c r="O372" s="185"/>
      <c r="P372" s="227"/>
      <c r="Q372" s="185"/>
      <c r="R372" s="185"/>
      <c r="S372" s="183"/>
    </row>
    <row r="373" spans="1:19" ht="14.25" customHeight="1">
      <c r="A373" s="170"/>
      <c r="B373" s="186" t="s">
        <v>111</v>
      </c>
      <c r="C373" s="186"/>
      <c r="D373" s="187"/>
      <c r="E373" s="186"/>
      <c r="F373" s="197"/>
      <c r="G373" s="187"/>
      <c r="H373" s="187">
        <f>+'PRODUKSI 1'!H29</f>
        <v>4594855</v>
      </c>
      <c r="I373" s="188"/>
      <c r="J373" s="187"/>
      <c r="K373" s="170"/>
      <c r="L373" s="186" t="s">
        <v>111</v>
      </c>
      <c r="M373" s="186"/>
      <c r="N373" s="187"/>
      <c r="O373" s="186"/>
      <c r="P373" s="197"/>
      <c r="Q373" s="187"/>
      <c r="R373" s="187">
        <f>+'PRODUKSI 1'!H30</f>
        <v>4594855</v>
      </c>
      <c r="S373" s="188"/>
    </row>
    <row r="374" spans="1:19" ht="14.25" customHeight="1">
      <c r="A374" s="170"/>
      <c r="B374" s="186" t="s">
        <v>203</v>
      </c>
      <c r="C374" s="186"/>
      <c r="D374" s="186"/>
      <c r="E374" s="186"/>
      <c r="F374" s="197"/>
      <c r="G374" s="187"/>
      <c r="H374" s="187">
        <f>+'PRODUKSI 1'!I29</f>
        <v>100000</v>
      </c>
      <c r="I374" s="188"/>
      <c r="J374" s="209"/>
      <c r="K374" s="170"/>
      <c r="L374" s="186" t="s">
        <v>203</v>
      </c>
      <c r="M374" s="186"/>
      <c r="N374" s="186"/>
      <c r="O374" s="186"/>
      <c r="P374" s="197"/>
      <c r="Q374" s="187"/>
      <c r="R374" s="187">
        <f>+'PRODUKSI 1'!I30</f>
        <v>100000</v>
      </c>
      <c r="S374" s="188"/>
    </row>
    <row r="375" spans="1:19" ht="14.25" customHeight="1">
      <c r="A375" s="170"/>
      <c r="B375" s="186" t="s">
        <v>227</v>
      </c>
      <c r="C375" s="186"/>
      <c r="D375" s="186"/>
      <c r="E375" s="186"/>
      <c r="F375" s="197"/>
      <c r="G375" s="187"/>
      <c r="H375" s="187">
        <f>+'PRODUKSI 1'!J29</f>
        <v>100000</v>
      </c>
      <c r="I375" s="188"/>
      <c r="J375" s="209"/>
      <c r="K375" s="170"/>
      <c r="L375" s="186" t="s">
        <v>227</v>
      </c>
      <c r="M375" s="186"/>
      <c r="N375" s="186"/>
      <c r="O375" s="186"/>
      <c r="P375" s="197"/>
      <c r="Q375" s="187"/>
      <c r="R375" s="187">
        <f>+'PRODUKSI 1'!J30</f>
        <v>100000</v>
      </c>
      <c r="S375" s="188"/>
    </row>
    <row r="376" spans="1:19" ht="14.25" customHeight="1">
      <c r="A376" s="170"/>
      <c r="B376" s="186" t="s">
        <v>228</v>
      </c>
      <c r="C376" s="186"/>
      <c r="D376" s="186"/>
      <c r="E376" s="186"/>
      <c r="F376" s="197"/>
      <c r="G376" s="187"/>
      <c r="H376" s="187">
        <f>+'PRODUKSI 1'!K29</f>
        <v>0</v>
      </c>
      <c r="I376" s="188"/>
      <c r="J376" s="209"/>
      <c r="K376" s="170"/>
      <c r="L376" s="186" t="s">
        <v>228</v>
      </c>
      <c r="M376" s="186"/>
      <c r="N376" s="186"/>
      <c r="O376" s="186"/>
      <c r="P376" s="197"/>
      <c r="Q376" s="187"/>
      <c r="R376" s="187">
        <f>+'PRODUKSI 1'!K30</f>
        <v>0</v>
      </c>
      <c r="S376" s="188"/>
    </row>
    <row r="377" spans="1:19" ht="14.25" customHeight="1">
      <c r="A377" s="170"/>
      <c r="B377" s="186" t="s">
        <v>224</v>
      </c>
      <c r="C377" s="186"/>
      <c r="D377" s="186"/>
      <c r="E377" s="186"/>
      <c r="F377" s="197"/>
      <c r="G377" s="187"/>
      <c r="H377" s="187">
        <f>+'PRODUKSI 1'!AA29</f>
        <v>448215.69090000005</v>
      </c>
      <c r="I377" s="188"/>
      <c r="J377" s="209"/>
      <c r="K377" s="170"/>
      <c r="L377" s="186" t="s">
        <v>224</v>
      </c>
      <c r="M377" s="186"/>
      <c r="N377" s="186"/>
      <c r="O377" s="186"/>
      <c r="P377" s="197"/>
      <c r="Q377" s="187"/>
      <c r="R377" s="187">
        <f>+'PRODUKSI 1'!AA30</f>
        <v>448215.69090000005</v>
      </c>
      <c r="S377" s="188"/>
    </row>
    <row r="378" spans="1:19" ht="14.25" customHeight="1">
      <c r="A378" s="170"/>
      <c r="B378" s="186" t="s">
        <v>195</v>
      </c>
      <c r="C378" s="186"/>
      <c r="D378" s="187"/>
      <c r="E378" s="186"/>
      <c r="F378" s="197"/>
      <c r="G378" s="187"/>
      <c r="H378" s="187">
        <f>+'PRODUKSI 1'!S29</f>
        <v>100000</v>
      </c>
      <c r="I378" s="188"/>
      <c r="J378" s="187"/>
      <c r="K378" s="170"/>
      <c r="L378" s="186" t="s">
        <v>195</v>
      </c>
      <c r="M378" s="186"/>
      <c r="N378" s="187"/>
      <c r="O378" s="186"/>
      <c r="P378" s="197"/>
      <c r="Q378" s="187"/>
      <c r="R378" s="187">
        <f>+'PRODUKSI 1'!S30</f>
        <v>92000</v>
      </c>
      <c r="S378" s="188"/>
    </row>
    <row r="379" spans="1:19" ht="14.25" customHeight="1">
      <c r="A379" s="170"/>
      <c r="B379" s="220" t="s">
        <v>233</v>
      </c>
      <c r="C379" s="186"/>
      <c r="D379" s="187"/>
      <c r="E379" s="186"/>
      <c r="F379" s="197"/>
      <c r="G379" s="187"/>
      <c r="H379" s="187"/>
      <c r="I379" s="188"/>
      <c r="J379" s="209"/>
      <c r="K379" s="170"/>
      <c r="L379" s="220" t="s">
        <v>233</v>
      </c>
      <c r="M379" s="186"/>
      <c r="N379" s="187"/>
      <c r="O379" s="186"/>
      <c r="P379" s="197"/>
      <c r="Q379" s="187"/>
      <c r="R379" s="187"/>
      <c r="S379" s="188"/>
    </row>
    <row r="380" spans="1:19" ht="14.25" customHeight="1">
      <c r="A380" s="170"/>
      <c r="B380" s="186" t="s">
        <v>206</v>
      </c>
      <c r="C380" s="186"/>
      <c r="D380" s="212">
        <v>0</v>
      </c>
      <c r="E380" s="186" t="s">
        <v>207</v>
      </c>
      <c r="F380" s="197" t="s">
        <v>205</v>
      </c>
      <c r="G380" s="187">
        <v>25223</v>
      </c>
      <c r="H380" s="187">
        <v>0</v>
      </c>
      <c r="I380" s="188"/>
      <c r="J380" s="187"/>
      <c r="K380" s="170"/>
      <c r="L380" s="186" t="s">
        <v>206</v>
      </c>
      <c r="M380" s="186"/>
      <c r="N380" s="212">
        <v>0</v>
      </c>
      <c r="O380" s="186" t="s">
        <v>207</v>
      </c>
      <c r="P380" s="197" t="s">
        <v>205</v>
      </c>
      <c r="Q380" s="187">
        <v>25223</v>
      </c>
      <c r="R380" s="187">
        <v>0</v>
      </c>
      <c r="S380" s="188"/>
    </row>
    <row r="381" spans="1:19" ht="14.25" customHeight="1" thickBot="1">
      <c r="A381" s="170"/>
      <c r="B381" s="190" t="s">
        <v>208</v>
      </c>
      <c r="C381" s="190"/>
      <c r="D381" s="213">
        <v>0</v>
      </c>
      <c r="E381" s="190" t="s">
        <v>207</v>
      </c>
      <c r="F381" s="228" t="s">
        <v>205</v>
      </c>
      <c r="G381" s="192">
        <f>G380</f>
        <v>25223</v>
      </c>
      <c r="H381" s="192">
        <f>G381*D381</f>
        <v>0</v>
      </c>
      <c r="I381" s="188"/>
      <c r="J381" s="187"/>
      <c r="K381" s="170"/>
      <c r="L381" s="190" t="s">
        <v>208</v>
      </c>
      <c r="M381" s="190"/>
      <c r="N381" s="213">
        <v>10</v>
      </c>
      <c r="O381" s="190" t="s">
        <v>207</v>
      </c>
      <c r="P381" s="228" t="s">
        <v>205</v>
      </c>
      <c r="Q381" s="192">
        <f>Q380</f>
        <v>25223</v>
      </c>
      <c r="R381" s="192">
        <f>Q381*N381</f>
        <v>252230</v>
      </c>
      <c r="S381" s="188"/>
    </row>
    <row r="382" spans="1:19" ht="15.75" thickBot="1">
      <c r="A382" s="170"/>
      <c r="B382" s="190" t="s">
        <v>219</v>
      </c>
      <c r="C382" s="190"/>
      <c r="D382" s="213">
        <f>SUM(D380:D381)</f>
        <v>0</v>
      </c>
      <c r="E382" s="190"/>
      <c r="F382" s="228"/>
      <c r="G382" s="192"/>
      <c r="H382" s="192">
        <f>SUM(H373:H381)</f>
        <v>5343070.6908999998</v>
      </c>
      <c r="I382" s="188"/>
      <c r="J382" s="187"/>
      <c r="K382" s="170"/>
      <c r="L382" s="190" t="s">
        <v>219</v>
      </c>
      <c r="M382" s="190"/>
      <c r="N382" s="213">
        <f>SUM(N380:N381)</f>
        <v>10</v>
      </c>
      <c r="O382" s="190"/>
      <c r="P382" s="228"/>
      <c r="Q382" s="192"/>
      <c r="R382" s="192">
        <f>SUM(R373:R381)</f>
        <v>5587300.6908999998</v>
      </c>
      <c r="S382" s="188"/>
    </row>
    <row r="383" spans="1:19">
      <c r="A383" s="170"/>
      <c r="B383" s="196" t="s">
        <v>113</v>
      </c>
      <c r="C383" s="186"/>
      <c r="D383" s="186"/>
      <c r="E383" s="186"/>
      <c r="F383" s="197"/>
      <c r="G383" s="187"/>
      <c r="H383" s="187"/>
      <c r="I383" s="188"/>
      <c r="J383" s="209"/>
      <c r="K383" s="170"/>
      <c r="L383" s="196" t="s">
        <v>113</v>
      </c>
      <c r="M383" s="186"/>
      <c r="N383" s="186"/>
      <c r="O383" s="186"/>
      <c r="P383" s="197"/>
      <c r="Q383" s="187"/>
      <c r="R383" s="187"/>
      <c r="S383" s="188"/>
    </row>
    <row r="384" spans="1:19" ht="14.25" customHeight="1">
      <c r="A384" s="170"/>
      <c r="B384" s="186" t="s">
        <v>209</v>
      </c>
      <c r="C384" s="186"/>
      <c r="D384" s="197"/>
      <c r="E384" s="186"/>
      <c r="F384" s="197"/>
      <c r="G384" s="198" t="str">
        <f>+'PRODUKSI 1'!D29</f>
        <v>TK</v>
      </c>
      <c r="H384" s="187">
        <f>+'PRODUKSI 1'!AH29</f>
        <v>0</v>
      </c>
      <c r="I384" s="188"/>
      <c r="J384" s="209"/>
      <c r="K384" s="170"/>
      <c r="L384" s="186" t="s">
        <v>209</v>
      </c>
      <c r="M384" s="186"/>
      <c r="N384" s="198"/>
      <c r="O384" s="186"/>
      <c r="P384" s="197"/>
      <c r="Q384" s="198" t="str">
        <f>+'PRODUKSI 1'!D30</f>
        <v>K1</v>
      </c>
      <c r="R384" s="187">
        <f>+'PRODUKSI 1'!AH30</f>
        <v>0</v>
      </c>
      <c r="S384" s="188"/>
    </row>
    <row r="385" spans="1:19" ht="14.25" customHeight="1">
      <c r="A385" s="170"/>
      <c r="B385" s="186" t="s">
        <v>225</v>
      </c>
      <c r="C385" s="186"/>
      <c r="D385" s="197"/>
      <c r="E385" s="186"/>
      <c r="F385" s="197"/>
      <c r="G385" s="198"/>
      <c r="H385" s="187">
        <f>+'PRODUKSI 1'!AE29+'PRODUKSI 1'!AF29</f>
        <v>48772.11</v>
      </c>
      <c r="I385" s="188"/>
      <c r="J385" s="209"/>
      <c r="K385" s="170"/>
      <c r="L385" s="186" t="s">
        <v>225</v>
      </c>
      <c r="M385" s="186"/>
      <c r="N385" s="198"/>
      <c r="O385" s="186"/>
      <c r="P385" s="197"/>
      <c r="Q385" s="198"/>
      <c r="R385" s="187">
        <f>+'PRODUKSI 1'!AE30+'PRODUKSI 1'!AF30</f>
        <v>48772.11</v>
      </c>
      <c r="S385" s="188"/>
    </row>
    <row r="386" spans="1:19" ht="14.25" customHeight="1">
      <c r="A386" s="170"/>
      <c r="B386" s="186" t="s">
        <v>226</v>
      </c>
      <c r="C386" s="186"/>
      <c r="D386" s="197"/>
      <c r="E386" s="186"/>
      <c r="F386" s="197"/>
      <c r="G386" s="198"/>
      <c r="H386" s="187">
        <f>+'PRODUKSI 1'!AC29+'PRODUKSI 1'!AD29</f>
        <v>146316.33000000002</v>
      </c>
      <c r="I386" s="188"/>
      <c r="J386" s="209"/>
      <c r="K386" s="170"/>
      <c r="L386" s="186" t="s">
        <v>226</v>
      </c>
      <c r="M386" s="186"/>
      <c r="N386" s="198"/>
      <c r="O386" s="186"/>
      <c r="P386" s="197"/>
      <c r="Q386" s="198"/>
      <c r="R386" s="187">
        <f>+'PRODUKSI 1'!AC30+'PRODUKSI 1'!AD30</f>
        <v>146316.33000000002</v>
      </c>
      <c r="S386" s="188"/>
    </row>
    <row r="387" spans="1:19" ht="14.25" customHeight="1">
      <c r="A387" s="170"/>
      <c r="B387" s="186" t="s">
        <v>103</v>
      </c>
      <c r="C387" s="186"/>
      <c r="D387" s="186"/>
      <c r="E387" s="186"/>
      <c r="F387" s="197"/>
      <c r="G387" s="187"/>
      <c r="H387" s="187">
        <f>+H377</f>
        <v>448215.69090000005</v>
      </c>
      <c r="I387" s="188"/>
      <c r="J387" s="209"/>
      <c r="K387" s="170"/>
      <c r="L387" s="186" t="s">
        <v>103</v>
      </c>
      <c r="M387" s="186"/>
      <c r="N387" s="186"/>
      <c r="O387" s="186"/>
      <c r="P387" s="197"/>
      <c r="Q387" s="187"/>
      <c r="R387" s="187">
        <f>+R377</f>
        <v>448215.69090000005</v>
      </c>
      <c r="S387" s="188"/>
    </row>
    <row r="388" spans="1:19" ht="14.25" customHeight="1" thickBot="1">
      <c r="A388" s="170"/>
      <c r="B388" s="190" t="s">
        <v>211</v>
      </c>
      <c r="C388" s="190"/>
      <c r="D388" s="190"/>
      <c r="E388" s="190"/>
      <c r="F388" s="228"/>
      <c r="G388" s="192"/>
      <c r="H388" s="192">
        <f>SUM(H384:H387)</f>
        <v>643304.13089999999</v>
      </c>
      <c r="I388" s="188"/>
      <c r="J388" s="209"/>
      <c r="K388" s="170"/>
      <c r="L388" s="190" t="s">
        <v>211</v>
      </c>
      <c r="M388" s="190"/>
      <c r="N388" s="190"/>
      <c r="O388" s="190"/>
      <c r="P388" s="228"/>
      <c r="Q388" s="192"/>
      <c r="R388" s="192">
        <f>SUM(R384:R387)</f>
        <v>643304.13089999999</v>
      </c>
      <c r="S388" s="188"/>
    </row>
    <row r="389" spans="1:19" ht="15.75" thickBot="1">
      <c r="A389" s="170"/>
      <c r="B389" s="193" t="s">
        <v>220</v>
      </c>
      <c r="C389" s="193"/>
      <c r="D389" s="193"/>
      <c r="E389" s="193"/>
      <c r="F389" s="229"/>
      <c r="G389" s="195"/>
      <c r="H389" s="195">
        <f>SUM(H382-H388)</f>
        <v>4699766.5599999996</v>
      </c>
      <c r="I389" s="188"/>
      <c r="J389" s="209"/>
      <c r="K389" s="170"/>
      <c r="L389" s="193" t="s">
        <v>220</v>
      </c>
      <c r="M389" s="193"/>
      <c r="N389" s="193"/>
      <c r="O389" s="193"/>
      <c r="P389" s="229"/>
      <c r="Q389" s="195"/>
      <c r="R389" s="195">
        <f>SUM(R382-R388)</f>
        <v>4943996.5599999996</v>
      </c>
      <c r="S389" s="188"/>
    </row>
    <row r="390" spans="1:19">
      <c r="A390" s="170"/>
      <c r="B390" s="186" t="s">
        <v>230</v>
      </c>
      <c r="C390" s="186"/>
      <c r="D390" s="186"/>
      <c r="E390" s="186"/>
      <c r="F390" s="197"/>
      <c r="G390" s="187"/>
      <c r="H390" s="187">
        <v>10000</v>
      </c>
      <c r="I390" s="188"/>
      <c r="J390" s="209"/>
      <c r="K390" s="170"/>
      <c r="L390" s="186" t="s">
        <v>231</v>
      </c>
      <c r="M390" s="186"/>
      <c r="N390" s="186"/>
      <c r="O390" s="186"/>
      <c r="P390" s="197"/>
      <c r="Q390" s="187"/>
      <c r="R390" s="187">
        <v>10000</v>
      </c>
      <c r="S390" s="188"/>
    </row>
    <row r="391" spans="1:19" ht="15.75" thickBot="1">
      <c r="A391" s="170"/>
      <c r="B391" s="199"/>
      <c r="C391" s="190"/>
      <c r="D391" s="190"/>
      <c r="E391" s="190"/>
      <c r="F391" s="228"/>
      <c r="G391" s="192"/>
      <c r="H391" s="192"/>
      <c r="I391" s="188"/>
      <c r="J391" s="187"/>
      <c r="K391" s="170"/>
      <c r="L391" s="199"/>
      <c r="M391" s="190"/>
      <c r="N391" s="190"/>
      <c r="O391" s="190"/>
      <c r="P391" s="228"/>
      <c r="Q391" s="192"/>
      <c r="R391" s="192"/>
      <c r="S391" s="188"/>
    </row>
    <row r="392" spans="1:19" ht="15.75" thickBot="1">
      <c r="A392" s="170"/>
      <c r="B392" s="200" t="s">
        <v>212</v>
      </c>
      <c r="C392" s="200"/>
      <c r="D392" s="200"/>
      <c r="E392" s="200"/>
      <c r="F392" s="230"/>
      <c r="G392" s="201"/>
      <c r="H392" s="201">
        <f>+H389-H390</f>
        <v>4689766.5599999996</v>
      </c>
      <c r="I392" s="188"/>
      <c r="J392" s="187"/>
      <c r="K392" s="170"/>
      <c r="L392" s="200" t="s">
        <v>212</v>
      </c>
      <c r="M392" s="200"/>
      <c r="N392" s="200"/>
      <c r="O392" s="200"/>
      <c r="P392" s="230"/>
      <c r="Q392" s="201"/>
      <c r="R392" s="201">
        <f>+R389-R390</f>
        <v>4933996.5599999996</v>
      </c>
      <c r="S392" s="188"/>
    </row>
    <row r="393" spans="1:19" ht="15.75" thickTop="1">
      <c r="A393" s="170"/>
      <c r="B393" s="202" t="s">
        <v>213</v>
      </c>
      <c r="C393" s="186"/>
      <c r="D393" s="186"/>
      <c r="E393" s="186"/>
      <c r="F393" s="197"/>
      <c r="G393" s="296" t="s">
        <v>214</v>
      </c>
      <c r="H393" s="296"/>
      <c r="I393" s="188"/>
      <c r="J393" s="187"/>
      <c r="K393" s="170"/>
      <c r="L393" s="202" t="s">
        <v>213</v>
      </c>
      <c r="M393" s="186"/>
      <c r="N393" s="186"/>
      <c r="O393" s="186"/>
      <c r="P393" s="197"/>
      <c r="Q393" s="296" t="s">
        <v>214</v>
      </c>
      <c r="R393" s="296"/>
      <c r="S393" s="188"/>
    </row>
    <row r="394" spans="1:19" ht="12.75" customHeight="1">
      <c r="A394" s="170"/>
      <c r="B394" s="186"/>
      <c r="C394" s="186"/>
      <c r="D394" s="186"/>
      <c r="E394" s="186"/>
      <c r="F394" s="197"/>
      <c r="G394" s="187"/>
      <c r="H394" s="187"/>
      <c r="I394" s="188"/>
      <c r="J394" s="187"/>
      <c r="K394" s="170"/>
      <c r="L394" s="186"/>
      <c r="M394" s="186"/>
      <c r="N394" s="186"/>
      <c r="O394" s="186"/>
      <c r="P394" s="197"/>
      <c r="Q394" s="187"/>
      <c r="R394" s="187"/>
      <c r="S394" s="188"/>
    </row>
    <row r="395" spans="1:19" ht="12.75" customHeight="1">
      <c r="A395" s="170"/>
      <c r="B395" s="186"/>
      <c r="C395" s="186"/>
      <c r="D395" s="186"/>
      <c r="E395" s="186"/>
      <c r="F395" s="197"/>
      <c r="G395" s="187"/>
      <c r="H395" s="187"/>
      <c r="I395" s="188"/>
      <c r="J395" s="187"/>
      <c r="K395" s="170"/>
      <c r="L395" s="186"/>
      <c r="M395" s="186"/>
      <c r="N395" s="186"/>
      <c r="O395" s="186"/>
      <c r="P395" s="197"/>
      <c r="Q395" s="187"/>
      <c r="R395" s="187"/>
      <c r="S395" s="188"/>
    </row>
    <row r="396" spans="1:19" ht="12.75" customHeight="1">
      <c r="A396" s="170"/>
      <c r="B396" s="203" t="s">
        <v>215</v>
      </c>
      <c r="C396" s="186"/>
      <c r="D396" s="186"/>
      <c r="E396" s="186"/>
      <c r="F396" s="197"/>
      <c r="G396" s="297" t="s">
        <v>216</v>
      </c>
      <c r="H396" s="297"/>
      <c r="I396" s="188"/>
      <c r="J396" s="187"/>
      <c r="K396" s="170"/>
      <c r="L396" s="203" t="s">
        <v>215</v>
      </c>
      <c r="M396" s="186"/>
      <c r="N396" s="186"/>
      <c r="O396" s="186"/>
      <c r="P396" s="197"/>
      <c r="Q396" s="297" t="s">
        <v>216</v>
      </c>
      <c r="R396" s="297"/>
      <c r="S396" s="188"/>
    </row>
    <row r="397" spans="1:19" ht="7.5" customHeight="1">
      <c r="A397" s="204"/>
      <c r="B397" s="205"/>
      <c r="C397" s="206"/>
      <c r="D397" s="206"/>
      <c r="E397" s="206"/>
      <c r="F397" s="231"/>
      <c r="G397" s="207"/>
      <c r="H397" s="205"/>
      <c r="I397" s="208"/>
      <c r="J397" s="187"/>
      <c r="K397" s="204"/>
      <c r="L397" s="205"/>
      <c r="M397" s="206"/>
      <c r="N397" s="206"/>
      <c r="O397" s="206"/>
      <c r="P397" s="231"/>
      <c r="Q397" s="207"/>
      <c r="R397" s="205"/>
      <c r="S397" s="208"/>
    </row>
    <row r="399" spans="1:19">
      <c r="A399" s="166"/>
      <c r="B399" s="167"/>
      <c r="C399" s="167"/>
      <c r="D399" s="167"/>
      <c r="E399" s="167"/>
      <c r="F399" s="223"/>
      <c r="G399" s="167"/>
      <c r="H399" s="167"/>
      <c r="I399" s="168"/>
      <c r="J399" s="169"/>
      <c r="K399" s="166"/>
      <c r="L399" s="167"/>
      <c r="M399" s="167"/>
      <c r="N399" s="167"/>
      <c r="O399" s="167"/>
      <c r="P399" s="223"/>
      <c r="Q399" s="167"/>
      <c r="R399" s="167"/>
      <c r="S399" s="168"/>
    </row>
    <row r="400" spans="1:19">
      <c r="A400" s="170"/>
      <c r="B400" s="169"/>
      <c r="C400" s="169"/>
      <c r="D400" s="169"/>
      <c r="E400" s="169"/>
      <c r="F400" s="224"/>
      <c r="G400" s="169"/>
      <c r="H400" s="169"/>
      <c r="I400" s="171"/>
      <c r="J400" s="169"/>
      <c r="K400" s="170"/>
      <c r="L400" s="169"/>
      <c r="M400" s="169"/>
      <c r="N400" s="169"/>
      <c r="O400" s="169"/>
      <c r="P400" s="224"/>
      <c r="Q400" s="169"/>
      <c r="R400" s="169"/>
      <c r="S400" s="171"/>
    </row>
    <row r="401" spans="1:19">
      <c r="A401" s="170"/>
      <c r="B401" s="169"/>
      <c r="C401" s="169"/>
      <c r="D401" s="169"/>
      <c r="E401" s="169"/>
      <c r="F401" s="224"/>
      <c r="G401" s="169"/>
      <c r="H401" s="169"/>
      <c r="I401" s="171"/>
      <c r="J401" s="169"/>
      <c r="K401" s="170"/>
      <c r="L401" s="169"/>
      <c r="M401" s="169"/>
      <c r="N401" s="169"/>
      <c r="O401" s="169"/>
      <c r="P401" s="224"/>
      <c r="Q401" s="169"/>
      <c r="R401" s="169"/>
      <c r="S401" s="171"/>
    </row>
    <row r="402" spans="1:19">
      <c r="A402" s="170"/>
      <c r="B402" s="294" t="s">
        <v>196</v>
      </c>
      <c r="C402" s="294"/>
      <c r="D402" s="294"/>
      <c r="E402" s="294"/>
      <c r="F402" s="294"/>
      <c r="G402" s="294"/>
      <c r="H402" s="294"/>
      <c r="I402" s="295"/>
      <c r="J402" s="169"/>
      <c r="K402" s="170"/>
      <c r="L402" s="294" t="s">
        <v>196</v>
      </c>
      <c r="M402" s="294"/>
      <c r="N402" s="294"/>
      <c r="O402" s="294"/>
      <c r="P402" s="294"/>
      <c r="Q402" s="294"/>
      <c r="R402" s="294"/>
      <c r="S402" s="295"/>
    </row>
    <row r="403" spans="1:19">
      <c r="A403" s="172"/>
      <c r="B403" s="173" t="s">
        <v>197</v>
      </c>
      <c r="C403" s="174" t="s">
        <v>198</v>
      </c>
      <c r="D403" s="211">
        <v>23</v>
      </c>
      <c r="E403" s="173"/>
      <c r="F403" s="225"/>
      <c r="G403" s="173"/>
      <c r="H403" s="173"/>
      <c r="I403" s="176"/>
      <c r="J403" s="173"/>
      <c r="K403" s="172"/>
      <c r="L403" s="173" t="s">
        <v>197</v>
      </c>
      <c r="M403" s="174" t="s">
        <v>198</v>
      </c>
      <c r="N403" s="211">
        <v>24</v>
      </c>
      <c r="O403" s="175"/>
      <c r="P403" s="225"/>
      <c r="Q403" s="173"/>
      <c r="R403" s="173"/>
      <c r="S403" s="176"/>
    </row>
    <row r="404" spans="1:19">
      <c r="A404" s="172"/>
      <c r="B404" s="173" t="s">
        <v>199</v>
      </c>
      <c r="C404" s="174" t="s">
        <v>198</v>
      </c>
      <c r="D404" s="177" t="s">
        <v>229</v>
      </c>
      <c r="E404" s="173"/>
      <c r="F404" s="225"/>
      <c r="G404" s="173"/>
      <c r="H404" s="173"/>
      <c r="I404" s="176"/>
      <c r="J404" s="173"/>
      <c r="K404" s="172"/>
      <c r="L404" s="173" t="s">
        <v>199</v>
      </c>
      <c r="M404" s="174" t="s">
        <v>198</v>
      </c>
      <c r="N404" s="177" t="s">
        <v>229</v>
      </c>
      <c r="O404" s="179"/>
      <c r="P404" s="225"/>
      <c r="Q404" s="173"/>
      <c r="R404" s="173"/>
      <c r="S404" s="176"/>
    </row>
    <row r="405" spans="1:19">
      <c r="A405" s="172"/>
      <c r="B405" s="173" t="s">
        <v>200</v>
      </c>
      <c r="C405" s="174" t="s">
        <v>198</v>
      </c>
      <c r="D405" s="177" t="str">
        <f>+'PRODUKSI 1'!B31</f>
        <v>RAMA ANWARI</v>
      </c>
      <c r="E405" s="173"/>
      <c r="F405" s="225"/>
      <c r="G405" s="173"/>
      <c r="H405" s="173"/>
      <c r="I405" s="176"/>
      <c r="J405" s="173"/>
      <c r="K405" s="172"/>
      <c r="L405" s="173" t="s">
        <v>200</v>
      </c>
      <c r="M405" s="174" t="s">
        <v>198</v>
      </c>
      <c r="N405" s="178" t="str">
        <f>+'PRODUKSI 1'!B32</f>
        <v>ABDUL WAHAB</v>
      </c>
      <c r="O405" s="173"/>
      <c r="P405" s="225"/>
      <c r="Q405" s="173"/>
      <c r="R405" s="173"/>
      <c r="S405" s="176"/>
    </row>
    <row r="406" spans="1:19" ht="15.75" thickBot="1">
      <c r="A406" s="172"/>
      <c r="B406" s="173" t="s">
        <v>201</v>
      </c>
      <c r="C406" s="174" t="s">
        <v>198</v>
      </c>
      <c r="D406" s="177" t="str">
        <f>+'PRODUKSI 1'!C31</f>
        <v>OP. SLITER 2</v>
      </c>
      <c r="E406" s="173"/>
      <c r="F406" s="225"/>
      <c r="G406" s="173"/>
      <c r="H406" s="173"/>
      <c r="I406" s="176"/>
      <c r="J406" s="173"/>
      <c r="K406" s="172"/>
      <c r="L406" s="173" t="s">
        <v>201</v>
      </c>
      <c r="M406" s="174" t="s">
        <v>198</v>
      </c>
      <c r="N406" s="178" t="str">
        <f>+'PRODUKSI 1'!C32</f>
        <v>MOUNTING</v>
      </c>
      <c r="O406" s="179"/>
      <c r="P406" s="225"/>
      <c r="Q406" s="173"/>
      <c r="R406" s="173"/>
      <c r="S406" s="176"/>
    </row>
    <row r="407" spans="1:19" ht="10.5" customHeight="1" thickTop="1">
      <c r="A407" s="170"/>
      <c r="B407" s="182"/>
      <c r="C407" s="182"/>
      <c r="D407" s="182"/>
      <c r="E407" s="182"/>
      <c r="F407" s="226"/>
      <c r="G407" s="182"/>
      <c r="H407" s="182"/>
      <c r="I407" s="183"/>
      <c r="J407" s="169"/>
      <c r="K407" s="170"/>
      <c r="L407" s="182"/>
      <c r="M407" s="182"/>
      <c r="N407" s="182"/>
      <c r="O407" s="182"/>
      <c r="P407" s="226"/>
      <c r="Q407" s="182"/>
      <c r="R407" s="182"/>
      <c r="S407" s="183"/>
    </row>
    <row r="408" spans="1:19">
      <c r="A408" s="170"/>
      <c r="B408" s="184" t="s">
        <v>202</v>
      </c>
      <c r="C408" s="185"/>
      <c r="D408" s="185"/>
      <c r="E408" s="185"/>
      <c r="F408" s="227"/>
      <c r="G408" s="185"/>
      <c r="H408" s="185"/>
      <c r="I408" s="183"/>
      <c r="J408" s="169"/>
      <c r="K408" s="170"/>
      <c r="L408" s="184" t="s">
        <v>202</v>
      </c>
      <c r="M408" s="184"/>
      <c r="N408" s="185"/>
      <c r="O408" s="185"/>
      <c r="P408" s="227"/>
      <c r="Q408" s="185"/>
      <c r="R408" s="185"/>
      <c r="S408" s="183"/>
    </row>
    <row r="409" spans="1:19" ht="14.25" customHeight="1">
      <c r="A409" s="170"/>
      <c r="B409" s="186" t="s">
        <v>111</v>
      </c>
      <c r="C409" s="186"/>
      <c r="D409" s="187"/>
      <c r="E409" s="186"/>
      <c r="F409" s="197"/>
      <c r="G409" s="187"/>
      <c r="H409" s="187">
        <f>+'PRODUKSI 1'!H31</f>
        <v>4494855</v>
      </c>
      <c r="I409" s="188"/>
      <c r="J409" s="187"/>
      <c r="K409" s="170"/>
      <c r="L409" s="186" t="s">
        <v>111</v>
      </c>
      <c r="M409" s="186"/>
      <c r="N409" s="187"/>
      <c r="O409" s="186"/>
      <c r="P409" s="197"/>
      <c r="Q409" s="187"/>
      <c r="R409" s="187">
        <f>+'PRODUKSI 1'!H32</f>
        <v>4494855</v>
      </c>
      <c r="S409" s="188"/>
    </row>
    <row r="410" spans="1:19" ht="14.25" customHeight="1">
      <c r="A410" s="170"/>
      <c r="B410" s="186" t="s">
        <v>203</v>
      </c>
      <c r="C410" s="186"/>
      <c r="D410" s="186"/>
      <c r="E410" s="186"/>
      <c r="F410" s="197"/>
      <c r="G410" s="187"/>
      <c r="H410" s="187">
        <f>+'PRODUKSI 1'!I31</f>
        <v>100000</v>
      </c>
      <c r="I410" s="188"/>
      <c r="J410" s="209"/>
      <c r="K410" s="170"/>
      <c r="L410" s="186" t="s">
        <v>203</v>
      </c>
      <c r="M410" s="186"/>
      <c r="N410" s="186"/>
      <c r="O410" s="186"/>
      <c r="P410" s="197"/>
      <c r="Q410" s="187"/>
      <c r="R410" s="187">
        <f>+'PRODUKSI 1'!I32</f>
        <v>100000</v>
      </c>
      <c r="S410" s="188"/>
    </row>
    <row r="411" spans="1:19" ht="14.25" customHeight="1">
      <c r="A411" s="170"/>
      <c r="B411" s="186" t="s">
        <v>227</v>
      </c>
      <c r="C411" s="186"/>
      <c r="D411" s="186"/>
      <c r="E411" s="186"/>
      <c r="F411" s="197"/>
      <c r="G411" s="187"/>
      <c r="H411" s="187">
        <f>+'PRODUKSI 1'!J31</f>
        <v>100000</v>
      </c>
      <c r="I411" s="188"/>
      <c r="J411" s="209"/>
      <c r="K411" s="170"/>
      <c r="L411" s="186" t="s">
        <v>227</v>
      </c>
      <c r="M411" s="186"/>
      <c r="N411" s="186"/>
      <c r="O411" s="186"/>
      <c r="P411" s="197"/>
      <c r="Q411" s="187"/>
      <c r="R411" s="187">
        <f>+'PRODUKSI 1'!J32</f>
        <v>100000</v>
      </c>
      <c r="S411" s="188"/>
    </row>
    <row r="412" spans="1:19" ht="14.25" customHeight="1">
      <c r="A412" s="170"/>
      <c r="B412" s="186" t="s">
        <v>228</v>
      </c>
      <c r="C412" s="186"/>
      <c r="D412" s="186"/>
      <c r="E412" s="186"/>
      <c r="F412" s="197"/>
      <c r="G412" s="187"/>
      <c r="H412" s="187">
        <f>+'PRODUKSI 1'!K31</f>
        <v>0</v>
      </c>
      <c r="I412" s="188"/>
      <c r="J412" s="209"/>
      <c r="K412" s="170"/>
      <c r="L412" s="186" t="s">
        <v>228</v>
      </c>
      <c r="M412" s="186"/>
      <c r="N412" s="186"/>
      <c r="O412" s="186"/>
      <c r="P412" s="197"/>
      <c r="Q412" s="187"/>
      <c r="R412" s="187">
        <f>+'PRODUKSI 1'!K32</f>
        <v>0</v>
      </c>
      <c r="S412" s="188"/>
    </row>
    <row r="413" spans="1:19" ht="14.25" customHeight="1">
      <c r="A413" s="170"/>
      <c r="B413" s="186" t="s">
        <v>224</v>
      </c>
      <c r="C413" s="186"/>
      <c r="D413" s="186"/>
      <c r="E413" s="186"/>
      <c r="F413" s="197"/>
      <c r="G413" s="187"/>
      <c r="H413" s="187">
        <f>+'PRODUKSI 1'!AA31</f>
        <v>448215.69090000005</v>
      </c>
      <c r="I413" s="188"/>
      <c r="J413" s="209"/>
      <c r="K413" s="170"/>
      <c r="L413" s="186" t="s">
        <v>224</v>
      </c>
      <c r="M413" s="186"/>
      <c r="N413" s="186"/>
      <c r="O413" s="186"/>
      <c r="P413" s="197"/>
      <c r="Q413" s="187"/>
      <c r="R413" s="187">
        <f>+'PRODUKSI 1'!AA32</f>
        <v>448215.69090000005</v>
      </c>
      <c r="S413" s="188"/>
    </row>
    <row r="414" spans="1:19" ht="14.25" customHeight="1">
      <c r="A414" s="170"/>
      <c r="B414" s="186" t="s">
        <v>195</v>
      </c>
      <c r="C414" s="186"/>
      <c r="D414" s="187"/>
      <c r="E414" s="186"/>
      <c r="F414" s="197"/>
      <c r="G414" s="187"/>
      <c r="H414" s="187">
        <f>+'PRODUKSI 1'!S31</f>
        <v>100000</v>
      </c>
      <c r="I414" s="188"/>
      <c r="J414" s="187"/>
      <c r="K414" s="170"/>
      <c r="L414" s="186" t="s">
        <v>195</v>
      </c>
      <c r="M414" s="186"/>
      <c r="N414" s="187"/>
      <c r="O414" s="186"/>
      <c r="P414" s="197"/>
      <c r="Q414" s="187"/>
      <c r="R414" s="187">
        <f>+'PRODUKSI 1'!S32</f>
        <v>96000</v>
      </c>
      <c r="S414" s="188"/>
    </row>
    <row r="415" spans="1:19" ht="14.25" customHeight="1">
      <c r="A415" s="170"/>
      <c r="B415" s="220" t="s">
        <v>233</v>
      </c>
      <c r="C415" s="186"/>
      <c r="D415" s="187"/>
      <c r="E415" s="186"/>
      <c r="F415" s="197"/>
      <c r="G415" s="187"/>
      <c r="H415" s="187"/>
      <c r="I415" s="188"/>
      <c r="J415" s="209"/>
      <c r="K415" s="170"/>
      <c r="L415" s="220" t="s">
        <v>233</v>
      </c>
      <c r="M415" s="186"/>
      <c r="N415" s="187"/>
      <c r="O415" s="186"/>
      <c r="P415" s="197"/>
      <c r="Q415" s="187"/>
      <c r="R415" s="187"/>
      <c r="S415" s="188"/>
    </row>
    <row r="416" spans="1:19" ht="14.25" customHeight="1">
      <c r="A416" s="170"/>
      <c r="B416" s="186" t="s">
        <v>206</v>
      </c>
      <c r="C416" s="186"/>
      <c r="D416" s="212">
        <v>0</v>
      </c>
      <c r="E416" s="186" t="s">
        <v>207</v>
      </c>
      <c r="F416" s="197" t="s">
        <v>205</v>
      </c>
      <c r="G416" s="187">
        <v>24253</v>
      </c>
      <c r="H416" s="187">
        <v>0</v>
      </c>
      <c r="I416" s="188"/>
      <c r="J416" s="187"/>
      <c r="K416" s="170"/>
      <c r="L416" s="186" t="s">
        <v>206</v>
      </c>
      <c r="M416" s="186"/>
      <c r="N416" s="212">
        <v>0</v>
      </c>
      <c r="O416" s="186" t="s">
        <v>207</v>
      </c>
      <c r="P416" s="197" t="s">
        <v>205</v>
      </c>
      <c r="Q416" s="187">
        <v>24253</v>
      </c>
      <c r="R416" s="187">
        <v>0</v>
      </c>
      <c r="S416" s="188"/>
    </row>
    <row r="417" spans="1:19" ht="14.25" customHeight="1" thickBot="1">
      <c r="A417" s="170"/>
      <c r="B417" s="190" t="s">
        <v>208</v>
      </c>
      <c r="C417" s="190"/>
      <c r="D417" s="213">
        <v>0</v>
      </c>
      <c r="E417" s="190" t="s">
        <v>207</v>
      </c>
      <c r="F417" s="228" t="s">
        <v>205</v>
      </c>
      <c r="G417" s="192">
        <f>G416</f>
        <v>24253</v>
      </c>
      <c r="H417" s="192">
        <f>G417*D417</f>
        <v>0</v>
      </c>
      <c r="I417" s="188"/>
      <c r="J417" s="187"/>
      <c r="K417" s="170"/>
      <c r="L417" s="190" t="s">
        <v>208</v>
      </c>
      <c r="M417" s="190"/>
      <c r="N417" s="213">
        <v>0</v>
      </c>
      <c r="O417" s="190" t="s">
        <v>207</v>
      </c>
      <c r="P417" s="228" t="s">
        <v>205</v>
      </c>
      <c r="Q417" s="192">
        <f>Q416</f>
        <v>24253</v>
      </c>
      <c r="R417" s="192">
        <f>Q417*N417</f>
        <v>0</v>
      </c>
      <c r="S417" s="188"/>
    </row>
    <row r="418" spans="1:19" ht="15.75" thickBot="1">
      <c r="A418" s="170"/>
      <c r="B418" s="190" t="s">
        <v>219</v>
      </c>
      <c r="C418" s="190"/>
      <c r="D418" s="213">
        <f>SUM(D416:D417)</f>
        <v>0</v>
      </c>
      <c r="E418" s="190"/>
      <c r="F418" s="228"/>
      <c r="G418" s="192"/>
      <c r="H418" s="192">
        <f>SUM(H409:H417)</f>
        <v>5243070.6908999998</v>
      </c>
      <c r="I418" s="188"/>
      <c r="J418" s="187"/>
      <c r="K418" s="170"/>
      <c r="L418" s="190" t="s">
        <v>219</v>
      </c>
      <c r="M418" s="190"/>
      <c r="N418" s="213">
        <f>SUM(N416:N417)</f>
        <v>0</v>
      </c>
      <c r="O418" s="190"/>
      <c r="P418" s="228"/>
      <c r="Q418" s="192"/>
      <c r="R418" s="192">
        <f>SUM(R409:R417)</f>
        <v>5239070.6908999998</v>
      </c>
      <c r="S418" s="188"/>
    </row>
    <row r="419" spans="1:19">
      <c r="A419" s="170"/>
      <c r="B419" s="196" t="s">
        <v>113</v>
      </c>
      <c r="C419" s="186"/>
      <c r="D419" s="186"/>
      <c r="E419" s="186"/>
      <c r="F419" s="197"/>
      <c r="G419" s="187"/>
      <c r="H419" s="187"/>
      <c r="I419" s="188"/>
      <c r="J419" s="209"/>
      <c r="K419" s="170"/>
      <c r="L419" s="196" t="s">
        <v>113</v>
      </c>
      <c r="M419" s="186"/>
      <c r="N419" s="186"/>
      <c r="O419" s="186"/>
      <c r="P419" s="197"/>
      <c r="Q419" s="187"/>
      <c r="R419" s="187"/>
      <c r="S419" s="188"/>
    </row>
    <row r="420" spans="1:19" ht="14.25" customHeight="1">
      <c r="A420" s="170"/>
      <c r="B420" s="186" t="s">
        <v>209</v>
      </c>
      <c r="C420" s="186"/>
      <c r="D420" s="197"/>
      <c r="E420" s="186"/>
      <c r="F420" s="197"/>
      <c r="G420" s="198" t="str">
        <f>+'PRODUKSI 1'!D31</f>
        <v>TK</v>
      </c>
      <c r="H420" s="187">
        <f>+'PRODUKSI 1'!AH31</f>
        <v>0</v>
      </c>
      <c r="I420" s="188"/>
      <c r="J420" s="209"/>
      <c r="K420" s="170"/>
      <c r="L420" s="186" t="s">
        <v>209</v>
      </c>
      <c r="M420" s="186"/>
      <c r="N420" s="198"/>
      <c r="O420" s="186"/>
      <c r="P420" s="197"/>
      <c r="Q420" s="198" t="str">
        <f>+'PRODUKSI 1'!D32</f>
        <v>K1</v>
      </c>
      <c r="R420" s="187">
        <f>+'PRODUKSI 1'!AH32</f>
        <v>0</v>
      </c>
      <c r="S420" s="188"/>
    </row>
    <row r="421" spans="1:19" ht="14.25" customHeight="1">
      <c r="A421" s="170"/>
      <c r="B421" s="186" t="s">
        <v>225</v>
      </c>
      <c r="C421" s="186"/>
      <c r="D421" s="197"/>
      <c r="E421" s="186"/>
      <c r="F421" s="197"/>
      <c r="G421" s="198"/>
      <c r="H421" s="187">
        <f>+'PRODUKSI 1'!AE31+'PRODUKSI 1'!AF31</f>
        <v>48772.11</v>
      </c>
      <c r="I421" s="188"/>
      <c r="J421" s="209"/>
      <c r="K421" s="170"/>
      <c r="L421" s="186" t="s">
        <v>225</v>
      </c>
      <c r="M421" s="186"/>
      <c r="N421" s="198"/>
      <c r="O421" s="186"/>
      <c r="P421" s="197"/>
      <c r="Q421" s="198"/>
      <c r="R421" s="187">
        <f>+'PRODUKSI 1'!AE32+'PRODUKSI 1'!AF32</f>
        <v>48772.11</v>
      </c>
      <c r="S421" s="188"/>
    </row>
    <row r="422" spans="1:19" ht="14.25" customHeight="1">
      <c r="A422" s="170"/>
      <c r="B422" s="186" t="s">
        <v>226</v>
      </c>
      <c r="C422" s="186"/>
      <c r="D422" s="197"/>
      <c r="E422" s="186"/>
      <c r="F422" s="197"/>
      <c r="G422" s="198"/>
      <c r="H422" s="187">
        <f>+'PRODUKSI 1'!AC31+'PRODUKSI 1'!AD31</f>
        <v>146316.33000000002</v>
      </c>
      <c r="I422" s="188"/>
      <c r="J422" s="209"/>
      <c r="K422" s="170"/>
      <c r="L422" s="186" t="s">
        <v>226</v>
      </c>
      <c r="M422" s="186"/>
      <c r="N422" s="198"/>
      <c r="O422" s="186"/>
      <c r="P422" s="197"/>
      <c r="Q422" s="198"/>
      <c r="R422" s="187">
        <f>+'PRODUKSI 1'!AC32+'PRODUKSI 1'!AD32</f>
        <v>146316.33000000002</v>
      </c>
      <c r="S422" s="188"/>
    </row>
    <row r="423" spans="1:19" ht="14.25" customHeight="1">
      <c r="A423" s="170"/>
      <c r="B423" s="186" t="s">
        <v>103</v>
      </c>
      <c r="C423" s="186"/>
      <c r="D423" s="186"/>
      <c r="E423" s="186"/>
      <c r="F423" s="197"/>
      <c r="G423" s="187"/>
      <c r="H423" s="187">
        <f>+H413</f>
        <v>448215.69090000005</v>
      </c>
      <c r="I423" s="188"/>
      <c r="J423" s="209"/>
      <c r="K423" s="170"/>
      <c r="L423" s="186" t="s">
        <v>103</v>
      </c>
      <c r="M423" s="186"/>
      <c r="N423" s="186"/>
      <c r="O423" s="186"/>
      <c r="P423" s="197"/>
      <c r="Q423" s="187"/>
      <c r="R423" s="187">
        <f>+R413</f>
        <v>448215.69090000005</v>
      </c>
      <c r="S423" s="188"/>
    </row>
    <row r="424" spans="1:19" ht="14.25" customHeight="1" thickBot="1">
      <c r="A424" s="170"/>
      <c r="B424" s="190" t="s">
        <v>211</v>
      </c>
      <c r="C424" s="190"/>
      <c r="D424" s="190"/>
      <c r="E424" s="190"/>
      <c r="F424" s="228"/>
      <c r="G424" s="192"/>
      <c r="H424" s="192">
        <f>SUM(H420:H423)</f>
        <v>643304.13089999999</v>
      </c>
      <c r="I424" s="188"/>
      <c r="J424" s="209"/>
      <c r="K424" s="170"/>
      <c r="L424" s="190" t="s">
        <v>211</v>
      </c>
      <c r="M424" s="190"/>
      <c r="N424" s="190"/>
      <c r="O424" s="190"/>
      <c r="P424" s="228"/>
      <c r="Q424" s="192"/>
      <c r="R424" s="192">
        <f>SUM(R420:R423)</f>
        <v>643304.13089999999</v>
      </c>
      <c r="S424" s="188"/>
    </row>
    <row r="425" spans="1:19" ht="15.75" thickBot="1">
      <c r="A425" s="170"/>
      <c r="B425" s="193" t="s">
        <v>220</v>
      </c>
      <c r="C425" s="193"/>
      <c r="D425" s="193"/>
      <c r="E425" s="193"/>
      <c r="F425" s="229"/>
      <c r="G425" s="195"/>
      <c r="H425" s="195">
        <f>SUM(H418-H424)</f>
        <v>4599766.5599999996</v>
      </c>
      <c r="I425" s="188"/>
      <c r="J425" s="209"/>
      <c r="K425" s="170"/>
      <c r="L425" s="193" t="s">
        <v>220</v>
      </c>
      <c r="M425" s="193"/>
      <c r="N425" s="193"/>
      <c r="O425" s="193"/>
      <c r="P425" s="229"/>
      <c r="Q425" s="195"/>
      <c r="R425" s="195">
        <f>SUM(R418-R424)</f>
        <v>4595766.5599999996</v>
      </c>
      <c r="S425" s="188"/>
    </row>
    <row r="426" spans="1:19">
      <c r="A426" s="170"/>
      <c r="B426" s="186" t="s">
        <v>230</v>
      </c>
      <c r="C426" s="186"/>
      <c r="D426" s="186"/>
      <c r="E426" s="186"/>
      <c r="F426" s="197"/>
      <c r="G426" s="187"/>
      <c r="H426" s="187">
        <v>10000</v>
      </c>
      <c r="I426" s="188"/>
      <c r="J426" s="209"/>
      <c r="K426" s="170"/>
      <c r="L426" s="186" t="s">
        <v>231</v>
      </c>
      <c r="M426" s="186"/>
      <c r="N426" s="186"/>
      <c r="O426" s="186"/>
      <c r="P426" s="197"/>
      <c r="Q426" s="187"/>
      <c r="R426" s="187">
        <v>10000</v>
      </c>
      <c r="S426" s="188"/>
    </row>
    <row r="427" spans="1:19" ht="15.75" thickBot="1">
      <c r="A427" s="170"/>
      <c r="B427" s="199"/>
      <c r="C427" s="190"/>
      <c r="D427" s="190"/>
      <c r="E427" s="190"/>
      <c r="F427" s="228"/>
      <c r="G427" s="192"/>
      <c r="H427" s="192"/>
      <c r="I427" s="188"/>
      <c r="J427" s="187"/>
      <c r="K427" s="170"/>
      <c r="L427" s="199"/>
      <c r="M427" s="190"/>
      <c r="N427" s="190"/>
      <c r="O427" s="190"/>
      <c r="P427" s="228"/>
      <c r="Q427" s="192"/>
      <c r="R427" s="192"/>
      <c r="S427" s="188"/>
    </row>
    <row r="428" spans="1:19" ht="15.75" thickBot="1">
      <c r="A428" s="170"/>
      <c r="B428" s="200" t="s">
        <v>212</v>
      </c>
      <c r="C428" s="200"/>
      <c r="D428" s="200"/>
      <c r="E428" s="200"/>
      <c r="F428" s="230"/>
      <c r="G428" s="201"/>
      <c r="H428" s="201">
        <f>+H425-H426</f>
        <v>4589766.5599999996</v>
      </c>
      <c r="I428" s="188"/>
      <c r="J428" s="187"/>
      <c r="K428" s="170"/>
      <c r="L428" s="200" t="s">
        <v>212</v>
      </c>
      <c r="M428" s="200"/>
      <c r="N428" s="200"/>
      <c r="O428" s="200"/>
      <c r="P428" s="230"/>
      <c r="Q428" s="201"/>
      <c r="R428" s="201">
        <f>+R425-R426</f>
        <v>4585766.5599999996</v>
      </c>
      <c r="S428" s="188"/>
    </row>
    <row r="429" spans="1:19" ht="15.75" thickTop="1">
      <c r="A429" s="170"/>
      <c r="B429" s="202" t="s">
        <v>213</v>
      </c>
      <c r="C429" s="186"/>
      <c r="D429" s="186"/>
      <c r="E429" s="186"/>
      <c r="F429" s="197"/>
      <c r="G429" s="296" t="s">
        <v>214</v>
      </c>
      <c r="H429" s="296"/>
      <c r="I429" s="188"/>
      <c r="J429" s="187"/>
      <c r="K429" s="170"/>
      <c r="L429" s="202" t="s">
        <v>213</v>
      </c>
      <c r="M429" s="186"/>
      <c r="N429" s="186"/>
      <c r="O429" s="186"/>
      <c r="P429" s="197"/>
      <c r="Q429" s="296" t="s">
        <v>214</v>
      </c>
      <c r="R429" s="296"/>
      <c r="S429" s="188"/>
    </row>
    <row r="430" spans="1:19" ht="12.75" customHeight="1">
      <c r="A430" s="170"/>
      <c r="B430" s="186"/>
      <c r="C430" s="186"/>
      <c r="D430" s="186"/>
      <c r="E430" s="186"/>
      <c r="F430" s="197"/>
      <c r="G430" s="187"/>
      <c r="H430" s="187"/>
      <c r="I430" s="188"/>
      <c r="J430" s="187"/>
      <c r="K430" s="170"/>
      <c r="L430" s="186"/>
      <c r="M430" s="186"/>
      <c r="N430" s="186"/>
      <c r="O430" s="186"/>
      <c r="P430" s="197"/>
      <c r="Q430" s="187"/>
      <c r="R430" s="187"/>
      <c r="S430" s="188"/>
    </row>
    <row r="431" spans="1:19" ht="12.75" customHeight="1">
      <c r="A431" s="170"/>
      <c r="B431" s="186"/>
      <c r="C431" s="186"/>
      <c r="D431" s="186"/>
      <c r="E431" s="186"/>
      <c r="F431" s="197"/>
      <c r="G431" s="187"/>
      <c r="H431" s="187"/>
      <c r="I431" s="188"/>
      <c r="J431" s="187"/>
      <c r="K431" s="170"/>
      <c r="L431" s="186"/>
      <c r="M431" s="186"/>
      <c r="N431" s="186"/>
      <c r="O431" s="186"/>
      <c r="P431" s="197"/>
      <c r="Q431" s="187"/>
      <c r="R431" s="187"/>
      <c r="S431" s="188"/>
    </row>
    <row r="432" spans="1:19" ht="12.75" customHeight="1">
      <c r="A432" s="170"/>
      <c r="B432" s="203" t="s">
        <v>215</v>
      </c>
      <c r="C432" s="186"/>
      <c r="D432" s="186"/>
      <c r="E432" s="186"/>
      <c r="F432" s="197"/>
      <c r="G432" s="297" t="s">
        <v>216</v>
      </c>
      <c r="H432" s="297"/>
      <c r="I432" s="188"/>
      <c r="J432" s="187"/>
      <c r="K432" s="170"/>
      <c r="L432" s="203" t="s">
        <v>215</v>
      </c>
      <c r="M432" s="186"/>
      <c r="N432" s="186"/>
      <c r="O432" s="186"/>
      <c r="P432" s="197"/>
      <c r="Q432" s="297" t="s">
        <v>216</v>
      </c>
      <c r="R432" s="297"/>
      <c r="S432" s="188"/>
    </row>
    <row r="433" spans="1:19" ht="7.5" customHeight="1">
      <c r="A433" s="204"/>
      <c r="B433" s="205"/>
      <c r="C433" s="206"/>
      <c r="D433" s="206"/>
      <c r="E433" s="206"/>
      <c r="F433" s="231"/>
      <c r="G433" s="207"/>
      <c r="H433" s="205"/>
      <c r="I433" s="208"/>
      <c r="J433" s="187"/>
      <c r="K433" s="204"/>
      <c r="L433" s="205"/>
      <c r="M433" s="206"/>
      <c r="N433" s="206"/>
      <c r="O433" s="206"/>
      <c r="P433" s="231"/>
      <c r="Q433" s="207"/>
      <c r="R433" s="205"/>
      <c r="S433" s="208"/>
    </row>
    <row r="435" spans="1:19">
      <c r="A435" s="166"/>
      <c r="B435" s="167"/>
      <c r="C435" s="167"/>
      <c r="D435" s="167"/>
      <c r="E435" s="167"/>
      <c r="F435" s="223"/>
      <c r="G435" s="167"/>
      <c r="H435" s="167"/>
      <c r="I435" s="168"/>
      <c r="J435" s="169"/>
      <c r="K435" s="166"/>
      <c r="L435" s="167"/>
      <c r="M435" s="167"/>
      <c r="N435" s="167"/>
      <c r="O435" s="167"/>
      <c r="P435" s="223"/>
      <c r="Q435" s="167"/>
      <c r="R435" s="167"/>
      <c r="S435" s="168"/>
    </row>
    <row r="436" spans="1:19">
      <c r="A436" s="170"/>
      <c r="B436" s="169"/>
      <c r="C436" s="169"/>
      <c r="D436" s="169"/>
      <c r="E436" s="169"/>
      <c r="F436" s="224"/>
      <c r="G436" s="169"/>
      <c r="H436" s="169"/>
      <c r="I436" s="171"/>
      <c r="J436" s="169"/>
      <c r="K436" s="170"/>
      <c r="L436" s="169"/>
      <c r="M436" s="169"/>
      <c r="N436" s="169"/>
      <c r="O436" s="169"/>
      <c r="P436" s="224"/>
      <c r="Q436" s="169"/>
      <c r="R436" s="169"/>
      <c r="S436" s="171"/>
    </row>
    <row r="437" spans="1:19">
      <c r="A437" s="170"/>
      <c r="B437" s="169"/>
      <c r="C437" s="169"/>
      <c r="D437" s="169"/>
      <c r="E437" s="169"/>
      <c r="F437" s="224"/>
      <c r="G437" s="169"/>
      <c r="H437" s="169"/>
      <c r="I437" s="171"/>
      <c r="J437" s="169"/>
      <c r="K437" s="170"/>
      <c r="L437" s="169"/>
      <c r="M437" s="169"/>
      <c r="N437" s="169"/>
      <c r="O437" s="169"/>
      <c r="P437" s="224"/>
      <c r="Q437" s="169"/>
      <c r="R437" s="169"/>
      <c r="S437" s="171"/>
    </row>
    <row r="438" spans="1:19">
      <c r="A438" s="170"/>
      <c r="B438" s="294" t="s">
        <v>196</v>
      </c>
      <c r="C438" s="294"/>
      <c r="D438" s="294"/>
      <c r="E438" s="294"/>
      <c r="F438" s="294"/>
      <c r="G438" s="294"/>
      <c r="H438" s="294"/>
      <c r="I438" s="295"/>
      <c r="J438" s="169"/>
      <c r="K438" s="170"/>
      <c r="L438" s="294" t="s">
        <v>196</v>
      </c>
      <c r="M438" s="294"/>
      <c r="N438" s="294"/>
      <c r="O438" s="294"/>
      <c r="P438" s="294"/>
      <c r="Q438" s="294"/>
      <c r="R438" s="294"/>
      <c r="S438" s="295"/>
    </row>
    <row r="439" spans="1:19">
      <c r="A439" s="172"/>
      <c r="B439" s="173" t="s">
        <v>197</v>
      </c>
      <c r="C439" s="174" t="s">
        <v>198</v>
      </c>
      <c r="D439" s="211">
        <v>25</v>
      </c>
      <c r="E439" s="173"/>
      <c r="F439" s="225"/>
      <c r="G439" s="173"/>
      <c r="H439" s="173"/>
      <c r="I439" s="176"/>
      <c r="J439" s="173"/>
      <c r="K439" s="172"/>
      <c r="L439" s="173" t="s">
        <v>197</v>
      </c>
      <c r="M439" s="174" t="s">
        <v>198</v>
      </c>
      <c r="N439" s="211">
        <v>26</v>
      </c>
      <c r="O439" s="175"/>
      <c r="P439" s="225"/>
      <c r="Q439" s="173"/>
      <c r="R439" s="173"/>
      <c r="S439" s="176"/>
    </row>
    <row r="440" spans="1:19">
      <c r="A440" s="172"/>
      <c r="B440" s="173" t="s">
        <v>199</v>
      </c>
      <c r="C440" s="174" t="s">
        <v>198</v>
      </c>
      <c r="D440" s="177" t="s">
        <v>229</v>
      </c>
      <c r="E440" s="173"/>
      <c r="F440" s="225"/>
      <c r="G440" s="173"/>
      <c r="H440" s="173"/>
      <c r="I440" s="176"/>
      <c r="J440" s="173"/>
      <c r="K440" s="172"/>
      <c r="L440" s="173" t="s">
        <v>199</v>
      </c>
      <c r="M440" s="174" t="s">
        <v>198</v>
      </c>
      <c r="N440" s="177" t="s">
        <v>229</v>
      </c>
      <c r="O440" s="179"/>
      <c r="P440" s="225"/>
      <c r="Q440" s="173"/>
      <c r="R440" s="173"/>
      <c r="S440" s="176"/>
    </row>
    <row r="441" spans="1:19">
      <c r="A441" s="172"/>
      <c r="B441" s="173" t="s">
        <v>200</v>
      </c>
      <c r="C441" s="174" t="s">
        <v>198</v>
      </c>
      <c r="D441" s="177" t="str">
        <f>+'PRODUKSI 1'!B33</f>
        <v>JULIAWAN HADIYAT</v>
      </c>
      <c r="E441" s="173"/>
      <c r="F441" s="225"/>
      <c r="G441" s="173"/>
      <c r="H441" s="173"/>
      <c r="I441" s="176"/>
      <c r="J441" s="173"/>
      <c r="K441" s="172"/>
      <c r="L441" s="173" t="s">
        <v>200</v>
      </c>
      <c r="M441" s="174" t="s">
        <v>198</v>
      </c>
      <c r="N441" s="178" t="str">
        <f>+'PRODUKSI 1'!B34</f>
        <v xml:space="preserve">HENDI </v>
      </c>
      <c r="O441" s="173"/>
      <c r="P441" s="225"/>
      <c r="Q441" s="173"/>
      <c r="R441" s="173"/>
      <c r="S441" s="176"/>
    </row>
    <row r="442" spans="1:19" ht="15.75" thickBot="1">
      <c r="A442" s="172"/>
      <c r="B442" s="173" t="s">
        <v>201</v>
      </c>
      <c r="C442" s="174" t="s">
        <v>198</v>
      </c>
      <c r="D442" s="177" t="str">
        <f>+'PRODUKSI 1'!C33</f>
        <v>OP.SLOTER 2</v>
      </c>
      <c r="E442" s="173"/>
      <c r="F442" s="225"/>
      <c r="G442" s="173"/>
      <c r="H442" s="173"/>
      <c r="I442" s="176"/>
      <c r="J442" s="173"/>
      <c r="K442" s="172"/>
      <c r="L442" s="173" t="s">
        <v>201</v>
      </c>
      <c r="M442" s="174" t="s">
        <v>198</v>
      </c>
      <c r="N442" s="178" t="str">
        <f>+'PRODUKSI 1'!C34</f>
        <v>OP. SLOTER 2</v>
      </c>
      <c r="O442" s="179"/>
      <c r="P442" s="225"/>
      <c r="Q442" s="173"/>
      <c r="R442" s="173"/>
      <c r="S442" s="176"/>
    </row>
    <row r="443" spans="1:19" ht="10.5" customHeight="1" thickTop="1">
      <c r="A443" s="170"/>
      <c r="B443" s="182"/>
      <c r="C443" s="182"/>
      <c r="D443" s="182"/>
      <c r="E443" s="182"/>
      <c r="F443" s="226"/>
      <c r="G443" s="182"/>
      <c r="H443" s="182"/>
      <c r="I443" s="183"/>
      <c r="J443" s="169"/>
      <c r="K443" s="170"/>
      <c r="L443" s="182"/>
      <c r="M443" s="182"/>
      <c r="N443" s="182"/>
      <c r="O443" s="182"/>
      <c r="P443" s="226"/>
      <c r="Q443" s="182"/>
      <c r="R443" s="182"/>
      <c r="S443" s="183"/>
    </row>
    <row r="444" spans="1:19">
      <c r="A444" s="170"/>
      <c r="B444" s="184" t="s">
        <v>202</v>
      </c>
      <c r="C444" s="185"/>
      <c r="D444" s="185"/>
      <c r="E444" s="185"/>
      <c r="F444" s="227"/>
      <c r="G444" s="185"/>
      <c r="H444" s="185"/>
      <c r="I444" s="183"/>
      <c r="J444" s="169"/>
      <c r="K444" s="170"/>
      <c r="L444" s="184" t="s">
        <v>202</v>
      </c>
      <c r="M444" s="184"/>
      <c r="N444" s="185"/>
      <c r="O444" s="185"/>
      <c r="P444" s="227"/>
      <c r="Q444" s="185"/>
      <c r="R444" s="185"/>
      <c r="S444" s="183"/>
    </row>
    <row r="445" spans="1:19" ht="14.25" customHeight="1">
      <c r="A445" s="170"/>
      <c r="B445" s="186" t="s">
        <v>111</v>
      </c>
      <c r="C445" s="186"/>
      <c r="D445" s="187"/>
      <c r="E445" s="186"/>
      <c r="F445" s="197"/>
      <c r="G445" s="187"/>
      <c r="H445" s="187">
        <f>+'PRODUKSI 1'!H33</f>
        <v>4494855</v>
      </c>
      <c r="I445" s="188"/>
      <c r="J445" s="187"/>
      <c r="K445" s="170"/>
      <c r="L445" s="186" t="s">
        <v>111</v>
      </c>
      <c r="M445" s="186"/>
      <c r="N445" s="187"/>
      <c r="O445" s="186"/>
      <c r="P445" s="197"/>
      <c r="Q445" s="187"/>
      <c r="R445" s="187">
        <f>+'PRODUKSI 1'!H34</f>
        <v>4494855</v>
      </c>
      <c r="S445" s="188"/>
    </row>
    <row r="446" spans="1:19" ht="14.25" customHeight="1">
      <c r="A446" s="170"/>
      <c r="B446" s="186" t="s">
        <v>203</v>
      </c>
      <c r="C446" s="186"/>
      <c r="D446" s="186"/>
      <c r="E446" s="186"/>
      <c r="F446" s="197"/>
      <c r="G446" s="187"/>
      <c r="H446" s="187">
        <f>+'PRODUKSI 1'!I33</f>
        <v>80000</v>
      </c>
      <c r="I446" s="188"/>
      <c r="J446" s="209"/>
      <c r="K446" s="170"/>
      <c r="L446" s="186" t="s">
        <v>203</v>
      </c>
      <c r="M446" s="186"/>
      <c r="N446" s="186"/>
      <c r="O446" s="186"/>
      <c r="P446" s="197"/>
      <c r="Q446" s="187"/>
      <c r="R446" s="187">
        <f>+'PRODUKSI 1'!I34</f>
        <v>80000</v>
      </c>
      <c r="S446" s="188"/>
    </row>
    <row r="447" spans="1:19" ht="14.25" customHeight="1">
      <c r="A447" s="170"/>
      <c r="B447" s="186" t="s">
        <v>227</v>
      </c>
      <c r="C447" s="186"/>
      <c r="D447" s="186"/>
      <c r="E447" s="186"/>
      <c r="F447" s="197"/>
      <c r="G447" s="187"/>
      <c r="H447" s="187">
        <f>+'PRODUKSI 1'!J33</f>
        <v>100000</v>
      </c>
      <c r="I447" s="188"/>
      <c r="J447" s="209"/>
      <c r="K447" s="170"/>
      <c r="L447" s="186" t="s">
        <v>227</v>
      </c>
      <c r="M447" s="186"/>
      <c r="N447" s="186"/>
      <c r="O447" s="186"/>
      <c r="P447" s="197"/>
      <c r="Q447" s="187"/>
      <c r="R447" s="187">
        <f>+'PRODUKSI 1'!J34</f>
        <v>50000</v>
      </c>
      <c r="S447" s="188"/>
    </row>
    <row r="448" spans="1:19" ht="14.25" customHeight="1">
      <c r="A448" s="170"/>
      <c r="B448" s="186" t="s">
        <v>228</v>
      </c>
      <c r="C448" s="186"/>
      <c r="D448" s="186"/>
      <c r="E448" s="186"/>
      <c r="F448" s="197"/>
      <c r="G448" s="187"/>
      <c r="H448" s="187">
        <f>+'PRODUKSI 1'!K33</f>
        <v>0</v>
      </c>
      <c r="I448" s="188"/>
      <c r="J448" s="209"/>
      <c r="K448" s="170"/>
      <c r="L448" s="186" t="s">
        <v>228</v>
      </c>
      <c r="M448" s="186"/>
      <c r="N448" s="186"/>
      <c r="O448" s="186"/>
      <c r="P448" s="197"/>
      <c r="Q448" s="187"/>
      <c r="R448" s="187">
        <f>+'PRODUKSI 1'!K34</f>
        <v>0</v>
      </c>
      <c r="S448" s="188"/>
    </row>
    <row r="449" spans="1:19" ht="14.25" customHeight="1">
      <c r="A449" s="170"/>
      <c r="B449" s="186" t="s">
        <v>224</v>
      </c>
      <c r="C449" s="186"/>
      <c r="D449" s="186"/>
      <c r="E449" s="186"/>
      <c r="F449" s="197"/>
      <c r="G449" s="187"/>
      <c r="H449" s="187">
        <f>+'PRODUKSI 1'!AA33</f>
        <v>448215.69090000005</v>
      </c>
      <c r="I449" s="188"/>
      <c r="J449" s="209"/>
      <c r="K449" s="170"/>
      <c r="L449" s="186" t="s">
        <v>224</v>
      </c>
      <c r="M449" s="186"/>
      <c r="N449" s="186"/>
      <c r="O449" s="186"/>
      <c r="P449" s="197"/>
      <c r="Q449" s="187"/>
      <c r="R449" s="187">
        <f>+'PRODUKSI 1'!AA34</f>
        <v>448215.69090000005</v>
      </c>
      <c r="S449" s="188"/>
    </row>
    <row r="450" spans="1:19" ht="14.25" customHeight="1">
      <c r="A450" s="170"/>
      <c r="B450" s="186" t="s">
        <v>195</v>
      </c>
      <c r="C450" s="186"/>
      <c r="D450" s="187"/>
      <c r="E450" s="186"/>
      <c r="F450" s="197"/>
      <c r="G450" s="187"/>
      <c r="H450" s="187">
        <f>+'PRODUKSI 1'!S33</f>
        <v>100000</v>
      </c>
      <c r="I450" s="188"/>
      <c r="J450" s="187"/>
      <c r="K450" s="170"/>
      <c r="L450" s="186" t="s">
        <v>195</v>
      </c>
      <c r="M450" s="186"/>
      <c r="N450" s="187"/>
      <c r="O450" s="186"/>
      <c r="P450" s="197"/>
      <c r="Q450" s="187"/>
      <c r="R450" s="187">
        <f>+'PRODUKSI 1'!S34</f>
        <v>92000</v>
      </c>
      <c r="S450" s="188"/>
    </row>
    <row r="451" spans="1:19" ht="14.25" customHeight="1">
      <c r="A451" s="170"/>
      <c r="B451" s="220" t="s">
        <v>233</v>
      </c>
      <c r="C451" s="186"/>
      <c r="D451" s="187"/>
      <c r="E451" s="186"/>
      <c r="F451" s="197"/>
      <c r="G451" s="187"/>
      <c r="H451" s="187"/>
      <c r="I451" s="188"/>
      <c r="J451" s="209"/>
      <c r="K451" s="170"/>
      <c r="L451" s="220" t="s">
        <v>233</v>
      </c>
      <c r="M451" s="186"/>
      <c r="N451" s="187"/>
      <c r="O451" s="186"/>
      <c r="P451" s="197"/>
      <c r="Q451" s="187"/>
      <c r="R451" s="187"/>
      <c r="S451" s="188"/>
    </row>
    <row r="452" spans="1:19" ht="14.25" customHeight="1">
      <c r="A452" s="170"/>
      <c r="B452" s="186" t="s">
        <v>206</v>
      </c>
      <c r="C452" s="186"/>
      <c r="D452" s="212">
        <v>0</v>
      </c>
      <c r="E452" s="186" t="s">
        <v>207</v>
      </c>
      <c r="F452" s="197" t="s">
        <v>205</v>
      </c>
      <c r="G452" s="187">
        <v>24253</v>
      </c>
      <c r="H452" s="187">
        <v>0</v>
      </c>
      <c r="I452" s="188"/>
      <c r="J452" s="187"/>
      <c r="K452" s="170"/>
      <c r="L452" s="186" t="s">
        <v>206</v>
      </c>
      <c r="M452" s="186"/>
      <c r="N452" s="212">
        <v>0</v>
      </c>
      <c r="O452" s="186" t="s">
        <v>207</v>
      </c>
      <c r="P452" s="197" t="s">
        <v>205</v>
      </c>
      <c r="Q452" s="187">
        <v>24253</v>
      </c>
      <c r="R452" s="187">
        <v>0</v>
      </c>
      <c r="S452" s="188"/>
    </row>
    <row r="453" spans="1:19" ht="14.25" customHeight="1" thickBot="1">
      <c r="A453" s="170"/>
      <c r="B453" s="190" t="s">
        <v>208</v>
      </c>
      <c r="C453" s="190"/>
      <c r="D453" s="213">
        <v>0</v>
      </c>
      <c r="E453" s="190" t="s">
        <v>207</v>
      </c>
      <c r="F453" s="228" t="s">
        <v>205</v>
      </c>
      <c r="G453" s="192">
        <f>G452</f>
        <v>24253</v>
      </c>
      <c r="H453" s="192">
        <f>G453*D453</f>
        <v>0</v>
      </c>
      <c r="I453" s="188"/>
      <c r="J453" s="187"/>
      <c r="K453" s="170"/>
      <c r="L453" s="190" t="s">
        <v>208</v>
      </c>
      <c r="M453" s="190"/>
      <c r="N453" s="213">
        <v>10</v>
      </c>
      <c r="O453" s="190" t="s">
        <v>207</v>
      </c>
      <c r="P453" s="228" t="s">
        <v>205</v>
      </c>
      <c r="Q453" s="192">
        <f>Q452</f>
        <v>24253</v>
      </c>
      <c r="R453" s="192">
        <f>Q453*N453</f>
        <v>242530</v>
      </c>
      <c r="S453" s="188"/>
    </row>
    <row r="454" spans="1:19" ht="15.75" thickBot="1">
      <c r="A454" s="170"/>
      <c r="B454" s="190" t="s">
        <v>219</v>
      </c>
      <c r="C454" s="190"/>
      <c r="D454" s="213">
        <f>SUM(D452:D453)</f>
        <v>0</v>
      </c>
      <c r="E454" s="190"/>
      <c r="F454" s="228"/>
      <c r="G454" s="192"/>
      <c r="H454" s="192">
        <f>SUM(H445:H453)</f>
        <v>5223070.6908999998</v>
      </c>
      <c r="I454" s="188"/>
      <c r="J454" s="187"/>
      <c r="K454" s="170"/>
      <c r="L454" s="190" t="s">
        <v>219</v>
      </c>
      <c r="M454" s="190"/>
      <c r="N454" s="213">
        <f>SUM(N452:N453)</f>
        <v>10</v>
      </c>
      <c r="O454" s="190"/>
      <c r="P454" s="228"/>
      <c r="Q454" s="192"/>
      <c r="R454" s="192">
        <f>SUM(R445:R453)</f>
        <v>5407600.6908999998</v>
      </c>
      <c r="S454" s="188"/>
    </row>
    <row r="455" spans="1:19">
      <c r="A455" s="170"/>
      <c r="B455" s="196" t="s">
        <v>113</v>
      </c>
      <c r="C455" s="186"/>
      <c r="D455" s="186"/>
      <c r="E455" s="186"/>
      <c r="F455" s="197"/>
      <c r="G455" s="187"/>
      <c r="H455" s="187"/>
      <c r="I455" s="188"/>
      <c r="J455" s="209"/>
      <c r="K455" s="170"/>
      <c r="L455" s="196" t="s">
        <v>113</v>
      </c>
      <c r="M455" s="186"/>
      <c r="N455" s="186"/>
      <c r="O455" s="186"/>
      <c r="P455" s="197"/>
      <c r="Q455" s="187"/>
      <c r="R455" s="187"/>
      <c r="S455" s="188"/>
    </row>
    <row r="456" spans="1:19" ht="14.25" customHeight="1">
      <c r="A456" s="170"/>
      <c r="B456" s="186" t="s">
        <v>209</v>
      </c>
      <c r="C456" s="186"/>
      <c r="D456" s="197"/>
      <c r="E456" s="186"/>
      <c r="F456" s="197"/>
      <c r="G456" s="198" t="str">
        <f>+'PRODUKSI 1'!D33</f>
        <v>K</v>
      </c>
      <c r="H456" s="187">
        <f>+'PRODUKSI 1'!AH33</f>
        <v>0</v>
      </c>
      <c r="I456" s="188"/>
      <c r="J456" s="209"/>
      <c r="K456" s="170"/>
      <c r="L456" s="186" t="s">
        <v>209</v>
      </c>
      <c r="M456" s="186"/>
      <c r="N456" s="198"/>
      <c r="O456" s="186"/>
      <c r="P456" s="197"/>
      <c r="Q456" s="198" t="str">
        <f>+'PRODUKSI 1'!D34</f>
        <v>TK</v>
      </c>
      <c r="R456" s="187">
        <f>+'PRODUKSI 1'!AH34</f>
        <v>0</v>
      </c>
      <c r="S456" s="188"/>
    </row>
    <row r="457" spans="1:19" ht="14.25" customHeight="1">
      <c r="A457" s="170"/>
      <c r="B457" s="186" t="s">
        <v>225</v>
      </c>
      <c r="C457" s="186"/>
      <c r="D457" s="197"/>
      <c r="E457" s="186"/>
      <c r="F457" s="197"/>
      <c r="G457" s="198"/>
      <c r="H457" s="187">
        <f>+'PRODUKSI 1'!AE33+'PRODUKSI 1'!AF33</f>
        <v>48772.11</v>
      </c>
      <c r="I457" s="188"/>
      <c r="J457" s="209"/>
      <c r="K457" s="170"/>
      <c r="L457" s="186" t="s">
        <v>225</v>
      </c>
      <c r="M457" s="186"/>
      <c r="N457" s="198"/>
      <c r="O457" s="186"/>
      <c r="P457" s="197"/>
      <c r="Q457" s="198"/>
      <c r="R457" s="187">
        <f>+'PRODUKSI 1'!AE34+'PRODUKSI 1'!AF34</f>
        <v>48772.11</v>
      </c>
      <c r="S457" s="188"/>
    </row>
    <row r="458" spans="1:19" ht="14.25" customHeight="1">
      <c r="A458" s="170"/>
      <c r="B458" s="186" t="s">
        <v>226</v>
      </c>
      <c r="C458" s="186"/>
      <c r="D458" s="197"/>
      <c r="E458" s="186"/>
      <c r="F458" s="197"/>
      <c r="G458" s="198"/>
      <c r="H458" s="187">
        <f>+'PRODUKSI 1'!AC33+'PRODUKSI 1'!AD33</f>
        <v>146316.33000000002</v>
      </c>
      <c r="I458" s="188"/>
      <c r="J458" s="209"/>
      <c r="K458" s="170"/>
      <c r="L458" s="186" t="s">
        <v>226</v>
      </c>
      <c r="M458" s="186"/>
      <c r="N458" s="198"/>
      <c r="O458" s="186"/>
      <c r="P458" s="197"/>
      <c r="Q458" s="198"/>
      <c r="R458" s="187">
        <f>+'PRODUKSI 1'!AC34+'PRODUKSI 1'!AD34</f>
        <v>146316.33000000002</v>
      </c>
      <c r="S458" s="188"/>
    </row>
    <row r="459" spans="1:19" ht="14.25" customHeight="1">
      <c r="A459" s="170"/>
      <c r="B459" s="186" t="s">
        <v>103</v>
      </c>
      <c r="C459" s="186"/>
      <c r="D459" s="186"/>
      <c r="E459" s="186"/>
      <c r="F459" s="197"/>
      <c r="G459" s="187"/>
      <c r="H459" s="187">
        <f>+H449</f>
        <v>448215.69090000005</v>
      </c>
      <c r="I459" s="188"/>
      <c r="J459" s="209"/>
      <c r="K459" s="170"/>
      <c r="L459" s="186" t="s">
        <v>103</v>
      </c>
      <c r="M459" s="186"/>
      <c r="N459" s="186"/>
      <c r="O459" s="186"/>
      <c r="P459" s="197"/>
      <c r="Q459" s="187"/>
      <c r="R459" s="187">
        <f>+R449</f>
        <v>448215.69090000005</v>
      </c>
      <c r="S459" s="188"/>
    </row>
    <row r="460" spans="1:19" ht="14.25" customHeight="1" thickBot="1">
      <c r="A460" s="170"/>
      <c r="B460" s="190" t="s">
        <v>211</v>
      </c>
      <c r="C460" s="190"/>
      <c r="D460" s="190"/>
      <c r="E460" s="190"/>
      <c r="F460" s="228"/>
      <c r="G460" s="192"/>
      <c r="H460" s="192">
        <f>SUM(H456:H459)</f>
        <v>643304.13089999999</v>
      </c>
      <c r="I460" s="188"/>
      <c r="J460" s="209"/>
      <c r="K460" s="170"/>
      <c r="L460" s="190" t="s">
        <v>211</v>
      </c>
      <c r="M460" s="190"/>
      <c r="N460" s="190"/>
      <c r="O460" s="190"/>
      <c r="P460" s="228"/>
      <c r="Q460" s="192"/>
      <c r="R460" s="192">
        <f>SUM(R456:R459)</f>
        <v>643304.13089999999</v>
      </c>
      <c r="S460" s="188"/>
    </row>
    <row r="461" spans="1:19" ht="15.75" thickBot="1">
      <c r="A461" s="170"/>
      <c r="B461" s="193" t="s">
        <v>220</v>
      </c>
      <c r="C461" s="193"/>
      <c r="D461" s="193"/>
      <c r="E461" s="193"/>
      <c r="F461" s="229"/>
      <c r="G461" s="195"/>
      <c r="H461" s="195">
        <f>SUM(H454-H460)</f>
        <v>4579766.5599999996</v>
      </c>
      <c r="I461" s="188"/>
      <c r="J461" s="209"/>
      <c r="K461" s="170"/>
      <c r="L461" s="193" t="s">
        <v>220</v>
      </c>
      <c r="M461" s="193"/>
      <c r="N461" s="193"/>
      <c r="O461" s="193"/>
      <c r="P461" s="229"/>
      <c r="Q461" s="195"/>
      <c r="R461" s="195">
        <f>SUM(R454-R460)</f>
        <v>4764296.5599999996</v>
      </c>
      <c r="S461" s="188"/>
    </row>
    <row r="462" spans="1:19">
      <c r="A462" s="170"/>
      <c r="B462" s="186" t="s">
        <v>230</v>
      </c>
      <c r="C462" s="186"/>
      <c r="D462" s="186"/>
      <c r="E462" s="186"/>
      <c r="F462" s="197"/>
      <c r="G462" s="187"/>
      <c r="H462" s="187">
        <v>10000</v>
      </c>
      <c r="I462" s="188"/>
      <c r="J462" s="209"/>
      <c r="K462" s="170"/>
      <c r="L462" s="186" t="s">
        <v>231</v>
      </c>
      <c r="M462" s="186"/>
      <c r="N462" s="186"/>
      <c r="O462" s="186"/>
      <c r="P462" s="197"/>
      <c r="Q462" s="187"/>
      <c r="R462" s="187">
        <v>10000</v>
      </c>
      <c r="S462" s="188"/>
    </row>
    <row r="463" spans="1:19" ht="15.75" thickBot="1">
      <c r="A463" s="170"/>
      <c r="B463" s="199"/>
      <c r="C463" s="190"/>
      <c r="D463" s="190"/>
      <c r="E463" s="190"/>
      <c r="F463" s="228"/>
      <c r="G463" s="192"/>
      <c r="H463" s="192"/>
      <c r="I463" s="188"/>
      <c r="J463" s="187"/>
      <c r="K463" s="170"/>
      <c r="L463" s="199"/>
      <c r="M463" s="190"/>
      <c r="N463" s="190"/>
      <c r="O463" s="190"/>
      <c r="P463" s="228"/>
      <c r="Q463" s="192"/>
      <c r="R463" s="192"/>
      <c r="S463" s="188"/>
    </row>
    <row r="464" spans="1:19" ht="15.75" thickBot="1">
      <c r="A464" s="170"/>
      <c r="B464" s="200" t="s">
        <v>212</v>
      </c>
      <c r="C464" s="200"/>
      <c r="D464" s="200"/>
      <c r="E464" s="200"/>
      <c r="F464" s="230"/>
      <c r="G464" s="201"/>
      <c r="H464" s="201">
        <f>+H461-H462</f>
        <v>4569766.5599999996</v>
      </c>
      <c r="I464" s="188"/>
      <c r="J464" s="187"/>
      <c r="K464" s="170"/>
      <c r="L464" s="200" t="s">
        <v>212</v>
      </c>
      <c r="M464" s="200"/>
      <c r="N464" s="200"/>
      <c r="O464" s="200"/>
      <c r="P464" s="230"/>
      <c r="Q464" s="201"/>
      <c r="R464" s="201">
        <f>+R461-R462</f>
        <v>4754296.5599999996</v>
      </c>
      <c r="S464" s="188"/>
    </row>
    <row r="465" spans="1:19" ht="15.75" thickTop="1">
      <c r="A465" s="170"/>
      <c r="B465" s="202" t="s">
        <v>213</v>
      </c>
      <c r="C465" s="186"/>
      <c r="D465" s="186"/>
      <c r="E465" s="186"/>
      <c r="F465" s="197"/>
      <c r="G465" s="296" t="s">
        <v>214</v>
      </c>
      <c r="H465" s="296"/>
      <c r="I465" s="188"/>
      <c r="J465" s="187"/>
      <c r="K465" s="170"/>
      <c r="L465" s="202" t="s">
        <v>213</v>
      </c>
      <c r="M465" s="186"/>
      <c r="N465" s="186"/>
      <c r="O465" s="186"/>
      <c r="P465" s="197"/>
      <c r="Q465" s="296" t="s">
        <v>214</v>
      </c>
      <c r="R465" s="296"/>
      <c r="S465" s="188"/>
    </row>
    <row r="466" spans="1:19" ht="12.75" customHeight="1">
      <c r="A466" s="170"/>
      <c r="B466" s="186"/>
      <c r="C466" s="186"/>
      <c r="D466" s="186"/>
      <c r="E466" s="186"/>
      <c r="F466" s="197"/>
      <c r="G466" s="187"/>
      <c r="H466" s="187"/>
      <c r="I466" s="188"/>
      <c r="J466" s="187"/>
      <c r="K466" s="170"/>
      <c r="L466" s="186"/>
      <c r="M466" s="186"/>
      <c r="N466" s="186"/>
      <c r="O466" s="186"/>
      <c r="P466" s="197"/>
      <c r="Q466" s="187"/>
      <c r="R466" s="187"/>
      <c r="S466" s="188"/>
    </row>
    <row r="467" spans="1:19" ht="12.75" customHeight="1">
      <c r="A467" s="170"/>
      <c r="B467" s="186"/>
      <c r="C467" s="186"/>
      <c r="D467" s="186"/>
      <c r="E467" s="186"/>
      <c r="F467" s="197"/>
      <c r="G467" s="187"/>
      <c r="H467" s="187"/>
      <c r="I467" s="188"/>
      <c r="J467" s="187"/>
      <c r="K467" s="170"/>
      <c r="L467" s="186"/>
      <c r="M467" s="186"/>
      <c r="N467" s="186"/>
      <c r="O467" s="186"/>
      <c r="P467" s="197"/>
      <c r="Q467" s="187"/>
      <c r="R467" s="187"/>
      <c r="S467" s="188"/>
    </row>
    <row r="468" spans="1:19" ht="12.75" customHeight="1">
      <c r="A468" s="170"/>
      <c r="B468" s="203" t="s">
        <v>215</v>
      </c>
      <c r="C468" s="186"/>
      <c r="D468" s="186"/>
      <c r="E468" s="186"/>
      <c r="F468" s="197"/>
      <c r="G468" s="297" t="s">
        <v>216</v>
      </c>
      <c r="H468" s="297"/>
      <c r="I468" s="188"/>
      <c r="J468" s="187"/>
      <c r="K468" s="170"/>
      <c r="L468" s="203" t="s">
        <v>215</v>
      </c>
      <c r="M468" s="186"/>
      <c r="N468" s="186"/>
      <c r="O468" s="186"/>
      <c r="P468" s="197"/>
      <c r="Q468" s="297" t="s">
        <v>216</v>
      </c>
      <c r="R468" s="297"/>
      <c r="S468" s="188"/>
    </row>
    <row r="469" spans="1:19" ht="7.5" customHeight="1">
      <c r="A469" s="204"/>
      <c r="B469" s="205"/>
      <c r="C469" s="206"/>
      <c r="D469" s="206"/>
      <c r="E469" s="206"/>
      <c r="F469" s="231"/>
      <c r="G469" s="207"/>
      <c r="H469" s="205"/>
      <c r="I469" s="208"/>
      <c r="J469" s="187"/>
      <c r="K469" s="204"/>
      <c r="L469" s="205"/>
      <c r="M469" s="206"/>
      <c r="N469" s="206"/>
      <c r="O469" s="206"/>
      <c r="P469" s="231"/>
      <c r="Q469" s="207"/>
      <c r="R469" s="205"/>
      <c r="S469" s="208"/>
    </row>
    <row r="471" spans="1:19">
      <c r="A471" s="166"/>
      <c r="B471" s="167"/>
      <c r="C471" s="167"/>
      <c r="D471" s="167"/>
      <c r="E471" s="167"/>
      <c r="F471" s="223"/>
      <c r="G471" s="167"/>
      <c r="H471" s="167"/>
      <c r="I471" s="168"/>
      <c r="J471" s="169"/>
      <c r="K471" s="166"/>
      <c r="L471" s="167"/>
      <c r="M471" s="167"/>
      <c r="N471" s="167"/>
      <c r="O471" s="167"/>
      <c r="P471" s="223"/>
      <c r="Q471" s="167"/>
      <c r="R471" s="167"/>
      <c r="S471" s="168"/>
    </row>
    <row r="472" spans="1:19">
      <c r="A472" s="170"/>
      <c r="B472" s="169"/>
      <c r="C472" s="169"/>
      <c r="D472" s="169"/>
      <c r="E472" s="169"/>
      <c r="F472" s="224"/>
      <c r="G472" s="169"/>
      <c r="H472" s="169"/>
      <c r="I472" s="171"/>
      <c r="J472" s="169"/>
      <c r="K472" s="170"/>
      <c r="L472" s="169"/>
      <c r="M472" s="169"/>
      <c r="N472" s="169"/>
      <c r="O472" s="169"/>
      <c r="P472" s="224"/>
      <c r="Q472" s="169"/>
      <c r="R472" s="169"/>
      <c r="S472" s="171"/>
    </row>
    <row r="473" spans="1:19">
      <c r="A473" s="170"/>
      <c r="B473" s="169"/>
      <c r="C473" s="169"/>
      <c r="D473" s="169"/>
      <c r="E473" s="169"/>
      <c r="F473" s="224"/>
      <c r="G473" s="169"/>
      <c r="H473" s="169"/>
      <c r="I473" s="171"/>
      <c r="J473" s="169"/>
      <c r="K473" s="170"/>
      <c r="L473" s="169"/>
      <c r="M473" s="169"/>
      <c r="N473" s="169"/>
      <c r="O473" s="169"/>
      <c r="P473" s="224"/>
      <c r="Q473" s="169"/>
      <c r="R473" s="169"/>
      <c r="S473" s="171"/>
    </row>
    <row r="474" spans="1:19">
      <c r="A474" s="170"/>
      <c r="B474" s="294" t="s">
        <v>196</v>
      </c>
      <c r="C474" s="294"/>
      <c r="D474" s="294"/>
      <c r="E474" s="294"/>
      <c r="F474" s="294"/>
      <c r="G474" s="294"/>
      <c r="H474" s="294"/>
      <c r="I474" s="295"/>
      <c r="J474" s="169"/>
      <c r="K474" s="170"/>
      <c r="L474" s="294" t="s">
        <v>196</v>
      </c>
      <c r="M474" s="294"/>
      <c r="N474" s="294"/>
      <c r="O474" s="294"/>
      <c r="P474" s="294"/>
      <c r="Q474" s="294"/>
      <c r="R474" s="294"/>
      <c r="S474" s="295"/>
    </row>
    <row r="475" spans="1:19">
      <c r="A475" s="172"/>
      <c r="B475" s="173" t="s">
        <v>197</v>
      </c>
      <c r="C475" s="174" t="s">
        <v>198</v>
      </c>
      <c r="D475" s="211">
        <v>27</v>
      </c>
      <c r="E475" s="173"/>
      <c r="F475" s="225"/>
      <c r="G475" s="173"/>
      <c r="H475" s="173"/>
      <c r="I475" s="176"/>
      <c r="J475" s="173"/>
      <c r="K475" s="172"/>
      <c r="L475" s="173" t="s">
        <v>197</v>
      </c>
      <c r="M475" s="174" t="s">
        <v>198</v>
      </c>
      <c r="N475" s="211">
        <v>28</v>
      </c>
      <c r="O475" s="175"/>
      <c r="P475" s="225"/>
      <c r="Q475" s="173"/>
      <c r="R475" s="173"/>
      <c r="S475" s="176"/>
    </row>
    <row r="476" spans="1:19">
      <c r="A476" s="172"/>
      <c r="B476" s="173" t="s">
        <v>199</v>
      </c>
      <c r="C476" s="174" t="s">
        <v>198</v>
      </c>
      <c r="D476" s="177" t="s">
        <v>229</v>
      </c>
      <c r="E476" s="173"/>
      <c r="F476" s="225"/>
      <c r="G476" s="173"/>
      <c r="H476" s="173"/>
      <c r="I476" s="176"/>
      <c r="J476" s="173"/>
      <c r="K476" s="172"/>
      <c r="L476" s="173" t="s">
        <v>199</v>
      </c>
      <c r="M476" s="174" t="s">
        <v>198</v>
      </c>
      <c r="N476" s="177" t="s">
        <v>229</v>
      </c>
      <c r="O476" s="179"/>
      <c r="P476" s="225"/>
      <c r="Q476" s="173"/>
      <c r="R476" s="173"/>
      <c r="S476" s="176"/>
    </row>
    <row r="477" spans="1:19">
      <c r="A477" s="172"/>
      <c r="B477" s="173" t="s">
        <v>200</v>
      </c>
      <c r="C477" s="174" t="s">
        <v>198</v>
      </c>
      <c r="D477" s="177" t="str">
        <f>+'PRODUKSI 1'!B35</f>
        <v>ANDRI GUNAWAN</v>
      </c>
      <c r="E477" s="173"/>
      <c r="F477" s="225"/>
      <c r="G477" s="173"/>
      <c r="H477" s="173"/>
      <c r="I477" s="176"/>
      <c r="J477" s="173"/>
      <c r="K477" s="172"/>
      <c r="L477" s="173" t="s">
        <v>200</v>
      </c>
      <c r="M477" s="174" t="s">
        <v>198</v>
      </c>
      <c r="N477" s="178" t="str">
        <f>+'PRODUKSI 1'!B36</f>
        <v>AHMAD GHOZALI</v>
      </c>
      <c r="O477" s="173"/>
      <c r="P477" s="225"/>
      <c r="Q477" s="173"/>
      <c r="R477" s="173"/>
      <c r="S477" s="176"/>
    </row>
    <row r="478" spans="1:19" ht="15.75" thickBot="1">
      <c r="A478" s="172"/>
      <c r="B478" s="173" t="s">
        <v>201</v>
      </c>
      <c r="C478" s="174" t="s">
        <v>198</v>
      </c>
      <c r="D478" s="177" t="str">
        <f>+'PRODUKSI 1'!C35</f>
        <v>OP. PRINTER 4</v>
      </c>
      <c r="E478" s="173"/>
      <c r="F478" s="225"/>
      <c r="G478" s="173"/>
      <c r="H478" s="173"/>
      <c r="I478" s="176"/>
      <c r="J478" s="173"/>
      <c r="K478" s="172"/>
      <c r="L478" s="173" t="s">
        <v>201</v>
      </c>
      <c r="M478" s="174" t="s">
        <v>198</v>
      </c>
      <c r="N478" s="178" t="str">
        <f>+'PRODUKSI 1'!C36</f>
        <v>OP. PRINTER 3</v>
      </c>
      <c r="O478" s="179"/>
      <c r="P478" s="225"/>
      <c r="Q478" s="173"/>
      <c r="R478" s="173"/>
      <c r="S478" s="176"/>
    </row>
    <row r="479" spans="1:19" ht="10.5" customHeight="1" thickTop="1">
      <c r="A479" s="170"/>
      <c r="B479" s="182"/>
      <c r="C479" s="182"/>
      <c r="D479" s="182"/>
      <c r="E479" s="182"/>
      <c r="F479" s="226"/>
      <c r="G479" s="182"/>
      <c r="H479" s="182"/>
      <c r="I479" s="183"/>
      <c r="J479" s="169"/>
      <c r="K479" s="170"/>
      <c r="L479" s="182"/>
      <c r="M479" s="182"/>
      <c r="N479" s="182"/>
      <c r="O479" s="182"/>
      <c r="P479" s="226"/>
      <c r="Q479" s="182"/>
      <c r="R479" s="182"/>
      <c r="S479" s="183"/>
    </row>
    <row r="480" spans="1:19">
      <c r="A480" s="170"/>
      <c r="B480" s="184" t="s">
        <v>202</v>
      </c>
      <c r="C480" s="185"/>
      <c r="D480" s="185"/>
      <c r="E480" s="185"/>
      <c r="F480" s="227"/>
      <c r="G480" s="185"/>
      <c r="H480" s="185"/>
      <c r="I480" s="183"/>
      <c r="J480" s="169"/>
      <c r="K480" s="170"/>
      <c r="L480" s="184" t="s">
        <v>202</v>
      </c>
      <c r="M480" s="184"/>
      <c r="N480" s="185"/>
      <c r="O480" s="185"/>
      <c r="P480" s="227"/>
      <c r="Q480" s="185"/>
      <c r="R480" s="185"/>
      <c r="S480" s="183"/>
    </row>
    <row r="481" spans="1:19" ht="14.25" customHeight="1">
      <c r="A481" s="170"/>
      <c r="B481" s="186" t="s">
        <v>111</v>
      </c>
      <c r="C481" s="186"/>
      <c r="D481" s="187"/>
      <c r="E481" s="186"/>
      <c r="F481" s="197"/>
      <c r="G481" s="187"/>
      <c r="H481" s="187">
        <f>+'PRODUKSI 1'!H35</f>
        <v>4494855</v>
      </c>
      <c r="I481" s="188"/>
      <c r="J481" s="187"/>
      <c r="K481" s="170"/>
      <c r="L481" s="186" t="s">
        <v>111</v>
      </c>
      <c r="M481" s="186"/>
      <c r="N481" s="187"/>
      <c r="O481" s="186"/>
      <c r="P481" s="197"/>
      <c r="Q481" s="187"/>
      <c r="R481" s="187">
        <f>+'PRODUKSI 1'!H36</f>
        <v>4494855</v>
      </c>
      <c r="S481" s="188"/>
    </row>
    <row r="482" spans="1:19" ht="14.25" customHeight="1">
      <c r="A482" s="170"/>
      <c r="B482" s="186" t="s">
        <v>203</v>
      </c>
      <c r="C482" s="186"/>
      <c r="D482" s="186"/>
      <c r="E482" s="186"/>
      <c r="F482" s="197"/>
      <c r="G482" s="187"/>
      <c r="H482" s="187">
        <f>+'PRODUKSI 1'!I35</f>
        <v>100000</v>
      </c>
      <c r="I482" s="188"/>
      <c r="J482" s="209"/>
      <c r="K482" s="170"/>
      <c r="L482" s="186" t="s">
        <v>203</v>
      </c>
      <c r="M482" s="186"/>
      <c r="N482" s="186"/>
      <c r="O482" s="186"/>
      <c r="P482" s="197"/>
      <c r="Q482" s="187"/>
      <c r="R482" s="187">
        <f>+'PRODUKSI 1'!I36</f>
        <v>100000</v>
      </c>
      <c r="S482" s="188"/>
    </row>
    <row r="483" spans="1:19" ht="14.25" customHeight="1">
      <c r="A483" s="170"/>
      <c r="B483" s="186" t="s">
        <v>227</v>
      </c>
      <c r="C483" s="186"/>
      <c r="D483" s="186"/>
      <c r="E483" s="186"/>
      <c r="F483" s="197"/>
      <c r="G483" s="187"/>
      <c r="H483" s="187">
        <f>+'PRODUKSI 1'!J35</f>
        <v>100000</v>
      </c>
      <c r="I483" s="188"/>
      <c r="J483" s="209"/>
      <c r="K483" s="170"/>
      <c r="L483" s="186" t="s">
        <v>227</v>
      </c>
      <c r="M483" s="186"/>
      <c r="N483" s="186"/>
      <c r="O483" s="186"/>
      <c r="P483" s="197"/>
      <c r="Q483" s="187"/>
      <c r="R483" s="187">
        <f>+'PRODUKSI 1'!J36</f>
        <v>100000</v>
      </c>
      <c r="S483" s="188"/>
    </row>
    <row r="484" spans="1:19" ht="14.25" customHeight="1">
      <c r="A484" s="170"/>
      <c r="B484" s="186" t="s">
        <v>228</v>
      </c>
      <c r="C484" s="186"/>
      <c r="D484" s="186"/>
      <c r="E484" s="186"/>
      <c r="F484" s="197"/>
      <c r="G484" s="187"/>
      <c r="H484" s="187">
        <f>+'PRODUKSI 1'!K35</f>
        <v>0</v>
      </c>
      <c r="I484" s="188"/>
      <c r="J484" s="209"/>
      <c r="K484" s="170"/>
      <c r="L484" s="186" t="s">
        <v>228</v>
      </c>
      <c r="M484" s="186"/>
      <c r="N484" s="186"/>
      <c r="O484" s="186"/>
      <c r="P484" s="197"/>
      <c r="Q484" s="187"/>
      <c r="R484" s="187">
        <f>+'PRODUKSI 1'!K36</f>
        <v>0</v>
      </c>
      <c r="S484" s="188"/>
    </row>
    <row r="485" spans="1:19" ht="14.25" customHeight="1">
      <c r="A485" s="170"/>
      <c r="B485" s="186" t="s">
        <v>224</v>
      </c>
      <c r="C485" s="186"/>
      <c r="D485" s="186"/>
      <c r="E485" s="186"/>
      <c r="F485" s="197"/>
      <c r="G485" s="187"/>
      <c r="H485" s="187">
        <f>+'PRODUKSI 1'!AA35</f>
        <v>448215.69090000005</v>
      </c>
      <c r="I485" s="188"/>
      <c r="J485" s="209"/>
      <c r="K485" s="170"/>
      <c r="L485" s="186" t="s">
        <v>224</v>
      </c>
      <c r="M485" s="186"/>
      <c r="N485" s="186"/>
      <c r="O485" s="186"/>
      <c r="P485" s="197"/>
      <c r="Q485" s="187"/>
      <c r="R485" s="187">
        <f>+'PRODUKSI 1'!AA36</f>
        <v>448215.69090000005</v>
      </c>
      <c r="S485" s="188"/>
    </row>
    <row r="486" spans="1:19" ht="14.25" customHeight="1">
      <c r="A486" s="170"/>
      <c r="B486" s="186" t="s">
        <v>195</v>
      </c>
      <c r="C486" s="186"/>
      <c r="D486" s="187"/>
      <c r="E486" s="186"/>
      <c r="F486" s="197"/>
      <c r="G486" s="187"/>
      <c r="H486" s="187">
        <f>+'PRODUKSI 1'!S35</f>
        <v>96000</v>
      </c>
      <c r="I486" s="188"/>
      <c r="J486" s="187"/>
      <c r="K486" s="170"/>
      <c r="L486" s="186" t="s">
        <v>195</v>
      </c>
      <c r="M486" s="186"/>
      <c r="N486" s="187"/>
      <c r="O486" s="186"/>
      <c r="P486" s="197"/>
      <c r="Q486" s="187"/>
      <c r="R486" s="187">
        <f>+'PRODUKSI 1'!S36</f>
        <v>52000</v>
      </c>
      <c r="S486" s="188"/>
    </row>
    <row r="487" spans="1:19" ht="14.25" customHeight="1">
      <c r="A487" s="170"/>
      <c r="B487" s="220" t="s">
        <v>233</v>
      </c>
      <c r="C487" s="186"/>
      <c r="D487" s="187"/>
      <c r="E487" s="186"/>
      <c r="F487" s="197"/>
      <c r="G487" s="187"/>
      <c r="H487" s="187"/>
      <c r="I487" s="188"/>
      <c r="J487" s="209"/>
      <c r="K487" s="170"/>
      <c r="L487" s="220" t="s">
        <v>233</v>
      </c>
      <c r="M487" s="186"/>
      <c r="N487" s="187"/>
      <c r="O487" s="186"/>
      <c r="P487" s="197"/>
      <c r="Q487" s="187"/>
      <c r="R487" s="187"/>
      <c r="S487" s="188"/>
    </row>
    <row r="488" spans="1:19" ht="14.25" customHeight="1">
      <c r="A488" s="170"/>
      <c r="B488" s="186" t="s">
        <v>206</v>
      </c>
      <c r="C488" s="186"/>
      <c r="D488" s="212">
        <v>0</v>
      </c>
      <c r="E488" s="186" t="s">
        <v>207</v>
      </c>
      <c r="F488" s="197" t="s">
        <v>205</v>
      </c>
      <c r="G488" s="187">
        <v>24253</v>
      </c>
      <c r="H488" s="187">
        <v>0</v>
      </c>
      <c r="I488" s="188"/>
      <c r="J488" s="187"/>
      <c r="K488" s="170"/>
      <c r="L488" s="186" t="s">
        <v>206</v>
      </c>
      <c r="M488" s="186"/>
      <c r="N488" s="212">
        <v>0</v>
      </c>
      <c r="O488" s="186" t="s">
        <v>207</v>
      </c>
      <c r="P488" s="197" t="s">
        <v>205</v>
      </c>
      <c r="Q488" s="187">
        <v>24253</v>
      </c>
      <c r="R488" s="187">
        <v>0</v>
      </c>
      <c r="S488" s="188"/>
    </row>
    <row r="489" spans="1:19" ht="14.25" customHeight="1" thickBot="1">
      <c r="A489" s="170"/>
      <c r="B489" s="190" t="s">
        <v>208</v>
      </c>
      <c r="C489" s="190"/>
      <c r="D489" s="213">
        <v>10</v>
      </c>
      <c r="E489" s="190" t="s">
        <v>207</v>
      </c>
      <c r="F489" s="228" t="s">
        <v>205</v>
      </c>
      <c r="G489" s="192">
        <f>G488</f>
        <v>24253</v>
      </c>
      <c r="H489" s="192">
        <f>G489*D489</f>
        <v>242530</v>
      </c>
      <c r="I489" s="188"/>
      <c r="J489" s="187"/>
      <c r="K489" s="170"/>
      <c r="L489" s="190" t="s">
        <v>208</v>
      </c>
      <c r="M489" s="190"/>
      <c r="N489" s="213">
        <v>0</v>
      </c>
      <c r="O489" s="190" t="s">
        <v>207</v>
      </c>
      <c r="P489" s="228" t="s">
        <v>205</v>
      </c>
      <c r="Q489" s="192">
        <f>Q488</f>
        <v>24253</v>
      </c>
      <c r="R489" s="192">
        <f>Q489*N489</f>
        <v>0</v>
      </c>
      <c r="S489" s="188"/>
    </row>
    <row r="490" spans="1:19" ht="15.75" thickBot="1">
      <c r="A490" s="170"/>
      <c r="B490" s="190" t="s">
        <v>219</v>
      </c>
      <c r="C490" s="190"/>
      <c r="D490" s="213">
        <f>SUM(D488:D489)</f>
        <v>10</v>
      </c>
      <c r="E490" s="190"/>
      <c r="F490" s="228"/>
      <c r="G490" s="192"/>
      <c r="H490" s="192">
        <f>SUM(H481:H489)</f>
        <v>5481600.6908999998</v>
      </c>
      <c r="I490" s="188"/>
      <c r="J490" s="187"/>
      <c r="K490" s="170"/>
      <c r="L490" s="190" t="s">
        <v>219</v>
      </c>
      <c r="M490" s="190"/>
      <c r="N490" s="213">
        <f>SUM(N488:N489)</f>
        <v>0</v>
      </c>
      <c r="O490" s="190"/>
      <c r="P490" s="228"/>
      <c r="Q490" s="192"/>
      <c r="R490" s="192">
        <f>SUM(R481:R489)</f>
        <v>5195070.6908999998</v>
      </c>
      <c r="S490" s="188"/>
    </row>
    <row r="491" spans="1:19">
      <c r="A491" s="170"/>
      <c r="B491" s="196" t="s">
        <v>113</v>
      </c>
      <c r="C491" s="186"/>
      <c r="D491" s="186"/>
      <c r="E491" s="186"/>
      <c r="F491" s="197"/>
      <c r="G491" s="187"/>
      <c r="H491" s="187"/>
      <c r="I491" s="188"/>
      <c r="J491" s="209"/>
      <c r="K491" s="170"/>
      <c r="L491" s="196" t="s">
        <v>113</v>
      </c>
      <c r="M491" s="186"/>
      <c r="N491" s="186"/>
      <c r="O491" s="186"/>
      <c r="P491" s="197"/>
      <c r="Q491" s="187"/>
      <c r="R491" s="187"/>
      <c r="S491" s="188"/>
    </row>
    <row r="492" spans="1:19" ht="14.25" customHeight="1">
      <c r="A492" s="170"/>
      <c r="B492" s="186" t="s">
        <v>209</v>
      </c>
      <c r="C492" s="186"/>
      <c r="D492" s="197"/>
      <c r="E492" s="186"/>
      <c r="F492" s="197"/>
      <c r="G492" s="198" t="str">
        <f>+'PRODUKSI 1'!D35</f>
        <v>K1</v>
      </c>
      <c r="H492" s="187">
        <f>+'PRODUKSI 1'!AH35</f>
        <v>0</v>
      </c>
      <c r="I492" s="188"/>
      <c r="J492" s="209"/>
      <c r="K492" s="170"/>
      <c r="L492" s="186" t="s">
        <v>209</v>
      </c>
      <c r="M492" s="186"/>
      <c r="N492" s="198"/>
      <c r="O492" s="186"/>
      <c r="P492" s="197"/>
      <c r="Q492" s="198" t="str">
        <f>+'PRODUKSI 1'!D36</f>
        <v>TK</v>
      </c>
      <c r="R492" s="187">
        <f>+'PRODUKSI 1'!AH36</f>
        <v>0</v>
      </c>
      <c r="S492" s="188"/>
    </row>
    <row r="493" spans="1:19" ht="14.25" customHeight="1">
      <c r="A493" s="170"/>
      <c r="B493" s="186" t="s">
        <v>225</v>
      </c>
      <c r="C493" s="186"/>
      <c r="D493" s="197"/>
      <c r="E493" s="186"/>
      <c r="F493" s="197"/>
      <c r="G493" s="198"/>
      <c r="H493" s="187">
        <f>+'PRODUKSI 1'!AE35+'PRODUKSI 1'!AF35</f>
        <v>48772.11</v>
      </c>
      <c r="I493" s="188"/>
      <c r="J493" s="209"/>
      <c r="K493" s="170"/>
      <c r="L493" s="186" t="s">
        <v>225</v>
      </c>
      <c r="M493" s="186"/>
      <c r="N493" s="198"/>
      <c r="O493" s="186"/>
      <c r="P493" s="197"/>
      <c r="Q493" s="198"/>
      <c r="R493" s="187">
        <f>+'PRODUKSI 1'!AE36+'PRODUKSI 1'!AF36</f>
        <v>48772.11</v>
      </c>
      <c r="S493" s="188"/>
    </row>
    <row r="494" spans="1:19" ht="14.25" customHeight="1">
      <c r="A494" s="170"/>
      <c r="B494" s="186" t="s">
        <v>226</v>
      </c>
      <c r="C494" s="186"/>
      <c r="D494" s="197"/>
      <c r="E494" s="186"/>
      <c r="F494" s="197"/>
      <c r="G494" s="198"/>
      <c r="H494" s="187">
        <f>+'PRODUKSI 1'!AC35+'PRODUKSI 1'!AD35</f>
        <v>146316.33000000002</v>
      </c>
      <c r="I494" s="188"/>
      <c r="J494" s="209"/>
      <c r="K494" s="170"/>
      <c r="L494" s="186" t="s">
        <v>226</v>
      </c>
      <c r="M494" s="186"/>
      <c r="N494" s="198"/>
      <c r="O494" s="186"/>
      <c r="P494" s="197"/>
      <c r="Q494" s="198"/>
      <c r="R494" s="187">
        <f>+'PRODUKSI 1'!AC36+'PRODUKSI 1'!AD36</f>
        <v>146316.33000000002</v>
      </c>
      <c r="S494" s="188"/>
    </row>
    <row r="495" spans="1:19" ht="14.25" customHeight="1">
      <c r="A495" s="170"/>
      <c r="B495" s="186" t="s">
        <v>103</v>
      </c>
      <c r="C495" s="186"/>
      <c r="D495" s="186"/>
      <c r="E495" s="186"/>
      <c r="F495" s="197"/>
      <c r="G495" s="187"/>
      <c r="H495" s="187">
        <f>+H485</f>
        <v>448215.69090000005</v>
      </c>
      <c r="I495" s="188"/>
      <c r="J495" s="209"/>
      <c r="K495" s="170"/>
      <c r="L495" s="186" t="s">
        <v>103</v>
      </c>
      <c r="M495" s="186"/>
      <c r="N495" s="186"/>
      <c r="O495" s="186"/>
      <c r="P495" s="197"/>
      <c r="Q495" s="187"/>
      <c r="R495" s="187">
        <f>+R485</f>
        <v>448215.69090000005</v>
      </c>
      <c r="S495" s="188"/>
    </row>
    <row r="496" spans="1:19" ht="14.25" customHeight="1" thickBot="1">
      <c r="A496" s="170"/>
      <c r="B496" s="190" t="s">
        <v>211</v>
      </c>
      <c r="C496" s="190"/>
      <c r="D496" s="190"/>
      <c r="E496" s="190"/>
      <c r="F496" s="228"/>
      <c r="G496" s="192"/>
      <c r="H496" s="192">
        <f>SUM(H492:H495)</f>
        <v>643304.13089999999</v>
      </c>
      <c r="I496" s="188"/>
      <c r="J496" s="209"/>
      <c r="K496" s="170"/>
      <c r="L496" s="190" t="s">
        <v>211</v>
      </c>
      <c r="M496" s="190"/>
      <c r="N496" s="190"/>
      <c r="O496" s="190"/>
      <c r="P496" s="228"/>
      <c r="Q496" s="192"/>
      <c r="R496" s="192">
        <f>SUM(R492:R495)</f>
        <v>643304.13089999999</v>
      </c>
      <c r="S496" s="188"/>
    </row>
    <row r="497" spans="1:19" ht="15.75" thickBot="1">
      <c r="A497" s="170"/>
      <c r="B497" s="193" t="s">
        <v>220</v>
      </c>
      <c r="C497" s="193"/>
      <c r="D497" s="193"/>
      <c r="E497" s="193"/>
      <c r="F497" s="229"/>
      <c r="G497" s="195"/>
      <c r="H497" s="195">
        <f>SUM(H490-H496)</f>
        <v>4838296.5599999996</v>
      </c>
      <c r="I497" s="188"/>
      <c r="J497" s="209"/>
      <c r="K497" s="170"/>
      <c r="L497" s="193" t="s">
        <v>220</v>
      </c>
      <c r="M497" s="193"/>
      <c r="N497" s="193"/>
      <c r="O497" s="193"/>
      <c r="P497" s="229"/>
      <c r="Q497" s="195"/>
      <c r="R497" s="195">
        <f>SUM(R490-R496)</f>
        <v>4551766.5599999996</v>
      </c>
      <c r="S497" s="188"/>
    </row>
    <row r="498" spans="1:19">
      <c r="A498" s="170"/>
      <c r="B498" s="186" t="s">
        <v>231</v>
      </c>
      <c r="C498" s="186"/>
      <c r="D498" s="186"/>
      <c r="E498" s="186"/>
      <c r="F498" s="197"/>
      <c r="G498" s="187"/>
      <c r="H498" s="187">
        <v>10000</v>
      </c>
      <c r="I498" s="188"/>
      <c r="J498" s="209"/>
      <c r="K498" s="170"/>
      <c r="L498" s="186" t="s">
        <v>231</v>
      </c>
      <c r="M498" s="186"/>
      <c r="N498" s="186"/>
      <c r="O498" s="186"/>
      <c r="P498" s="197"/>
      <c r="Q498" s="187"/>
      <c r="R498" s="187">
        <v>10000</v>
      </c>
      <c r="S498" s="188"/>
    </row>
    <row r="499" spans="1:19" ht="15.75" thickBot="1">
      <c r="A499" s="170"/>
      <c r="B499" s="199"/>
      <c r="C499" s="190"/>
      <c r="D499" s="190"/>
      <c r="E499" s="190"/>
      <c r="F499" s="228"/>
      <c r="G499" s="192"/>
      <c r="H499" s="192"/>
      <c r="I499" s="188"/>
      <c r="J499" s="187"/>
      <c r="K499" s="170"/>
      <c r="L499" s="199"/>
      <c r="M499" s="190"/>
      <c r="N499" s="190"/>
      <c r="O499" s="190"/>
      <c r="P499" s="228"/>
      <c r="Q499" s="192"/>
      <c r="R499" s="192"/>
      <c r="S499" s="188"/>
    </row>
    <row r="500" spans="1:19" ht="15.75" thickBot="1">
      <c r="A500" s="170"/>
      <c r="B500" s="200" t="s">
        <v>212</v>
      </c>
      <c r="C500" s="200"/>
      <c r="D500" s="200"/>
      <c r="E500" s="200"/>
      <c r="F500" s="230"/>
      <c r="G500" s="201"/>
      <c r="H500" s="201">
        <f>+H497-H498</f>
        <v>4828296.5599999996</v>
      </c>
      <c r="I500" s="188"/>
      <c r="J500" s="187"/>
      <c r="K500" s="170"/>
      <c r="L500" s="200" t="s">
        <v>212</v>
      </c>
      <c r="M500" s="200"/>
      <c r="N500" s="200"/>
      <c r="O500" s="200"/>
      <c r="P500" s="230"/>
      <c r="Q500" s="201"/>
      <c r="R500" s="201">
        <f>+R497-R498</f>
        <v>4541766.5599999996</v>
      </c>
      <c r="S500" s="188"/>
    </row>
    <row r="501" spans="1:19" ht="15.75" thickTop="1">
      <c r="A501" s="170"/>
      <c r="B501" s="202" t="s">
        <v>213</v>
      </c>
      <c r="C501" s="186"/>
      <c r="D501" s="186"/>
      <c r="E501" s="186"/>
      <c r="F501" s="197"/>
      <c r="G501" s="296" t="s">
        <v>214</v>
      </c>
      <c r="H501" s="296"/>
      <c r="I501" s="188"/>
      <c r="J501" s="187"/>
      <c r="K501" s="170"/>
      <c r="L501" s="202" t="s">
        <v>213</v>
      </c>
      <c r="M501" s="186"/>
      <c r="N501" s="186"/>
      <c r="O501" s="186"/>
      <c r="P501" s="197"/>
      <c r="Q501" s="296" t="s">
        <v>214</v>
      </c>
      <c r="R501" s="296"/>
      <c r="S501" s="188"/>
    </row>
    <row r="502" spans="1:19" ht="12.75" customHeight="1">
      <c r="A502" s="170"/>
      <c r="B502" s="186"/>
      <c r="C502" s="186"/>
      <c r="D502" s="186"/>
      <c r="E502" s="186"/>
      <c r="F502" s="197"/>
      <c r="G502" s="187"/>
      <c r="H502" s="187"/>
      <c r="I502" s="188"/>
      <c r="J502" s="187"/>
      <c r="K502" s="170"/>
      <c r="L502" s="186"/>
      <c r="M502" s="186"/>
      <c r="N502" s="186"/>
      <c r="O502" s="186"/>
      <c r="P502" s="197"/>
      <c r="Q502" s="187"/>
      <c r="R502" s="187"/>
      <c r="S502" s="188"/>
    </row>
    <row r="503" spans="1:19" ht="12.75" customHeight="1">
      <c r="A503" s="170"/>
      <c r="B503" s="186"/>
      <c r="C503" s="186"/>
      <c r="D503" s="186"/>
      <c r="E503" s="186"/>
      <c r="F503" s="197"/>
      <c r="G503" s="187"/>
      <c r="H503" s="187"/>
      <c r="I503" s="188"/>
      <c r="J503" s="187"/>
      <c r="K503" s="170"/>
      <c r="L503" s="186"/>
      <c r="M503" s="186"/>
      <c r="N503" s="186"/>
      <c r="O503" s="186"/>
      <c r="P503" s="197"/>
      <c r="Q503" s="187"/>
      <c r="R503" s="187"/>
      <c r="S503" s="188"/>
    </row>
    <row r="504" spans="1:19" ht="12.75" customHeight="1">
      <c r="A504" s="170"/>
      <c r="B504" s="203" t="s">
        <v>215</v>
      </c>
      <c r="C504" s="186"/>
      <c r="D504" s="186"/>
      <c r="E504" s="186"/>
      <c r="F504" s="197"/>
      <c r="G504" s="297" t="s">
        <v>216</v>
      </c>
      <c r="H504" s="297"/>
      <c r="I504" s="188"/>
      <c r="J504" s="187"/>
      <c r="K504" s="170"/>
      <c r="L504" s="203" t="s">
        <v>215</v>
      </c>
      <c r="M504" s="186"/>
      <c r="N504" s="186"/>
      <c r="O504" s="186"/>
      <c r="P504" s="197"/>
      <c r="Q504" s="297" t="s">
        <v>216</v>
      </c>
      <c r="R504" s="297"/>
      <c r="S504" s="188"/>
    </row>
    <row r="505" spans="1:19" ht="7.5" customHeight="1">
      <c r="A505" s="204"/>
      <c r="B505" s="205"/>
      <c r="C505" s="206"/>
      <c r="D505" s="206"/>
      <c r="E505" s="206"/>
      <c r="F505" s="231"/>
      <c r="G505" s="207"/>
      <c r="H505" s="205"/>
      <c r="I505" s="208"/>
      <c r="J505" s="187"/>
      <c r="K505" s="204"/>
      <c r="L505" s="205"/>
      <c r="M505" s="206"/>
      <c r="N505" s="206"/>
      <c r="O505" s="206"/>
      <c r="P505" s="231"/>
      <c r="Q505" s="207"/>
      <c r="R505" s="205"/>
      <c r="S505" s="208"/>
    </row>
    <row r="507" spans="1:19">
      <c r="A507" s="166"/>
      <c r="B507" s="167"/>
      <c r="C507" s="167"/>
      <c r="D507" s="167"/>
      <c r="E507" s="167"/>
      <c r="F507" s="223"/>
      <c r="G507" s="167"/>
      <c r="H507" s="167"/>
      <c r="I507" s="168"/>
      <c r="J507" s="169"/>
      <c r="K507" s="166"/>
      <c r="L507" s="167"/>
      <c r="M507" s="167"/>
      <c r="N507" s="167"/>
      <c r="O507" s="167"/>
      <c r="P507" s="223"/>
      <c r="Q507" s="167"/>
      <c r="R507" s="167"/>
      <c r="S507" s="168"/>
    </row>
    <row r="508" spans="1:19">
      <c r="A508" s="170"/>
      <c r="B508" s="169"/>
      <c r="C508" s="169"/>
      <c r="D508" s="169"/>
      <c r="E508" s="169"/>
      <c r="F508" s="224"/>
      <c r="G508" s="169"/>
      <c r="H508" s="169"/>
      <c r="I508" s="171"/>
      <c r="J508" s="169"/>
      <c r="K508" s="170"/>
      <c r="L508" s="169"/>
      <c r="M508" s="169"/>
      <c r="N508" s="169"/>
      <c r="O508" s="169"/>
      <c r="P508" s="224"/>
      <c r="Q508" s="169"/>
      <c r="R508" s="169"/>
      <c r="S508" s="171"/>
    </row>
    <row r="509" spans="1:19">
      <c r="A509" s="170"/>
      <c r="B509" s="169"/>
      <c r="C509" s="169"/>
      <c r="D509" s="169"/>
      <c r="E509" s="169"/>
      <c r="F509" s="224"/>
      <c r="G509" s="169"/>
      <c r="H509" s="169"/>
      <c r="I509" s="171"/>
      <c r="J509" s="169"/>
      <c r="K509" s="170"/>
      <c r="L509" s="169"/>
      <c r="M509" s="169"/>
      <c r="N509" s="169"/>
      <c r="O509" s="169"/>
      <c r="P509" s="224"/>
      <c r="Q509" s="169"/>
      <c r="R509" s="169"/>
      <c r="S509" s="171"/>
    </row>
    <row r="510" spans="1:19">
      <c r="A510" s="170"/>
      <c r="B510" s="294" t="s">
        <v>196</v>
      </c>
      <c r="C510" s="294"/>
      <c r="D510" s="294"/>
      <c r="E510" s="294"/>
      <c r="F510" s="294"/>
      <c r="G510" s="294"/>
      <c r="H510" s="294"/>
      <c r="I510" s="295"/>
      <c r="J510" s="169"/>
      <c r="K510" s="170"/>
      <c r="L510" s="294" t="s">
        <v>196</v>
      </c>
      <c r="M510" s="294"/>
      <c r="N510" s="294"/>
      <c r="O510" s="294"/>
      <c r="P510" s="294"/>
      <c r="Q510" s="294"/>
      <c r="R510" s="294"/>
      <c r="S510" s="295"/>
    </row>
    <row r="511" spans="1:19">
      <c r="A511" s="172"/>
      <c r="B511" s="173" t="s">
        <v>197</v>
      </c>
      <c r="C511" s="174" t="s">
        <v>198</v>
      </c>
      <c r="D511" s="211">
        <v>29</v>
      </c>
      <c r="E511" s="173"/>
      <c r="F511" s="225"/>
      <c r="G511" s="173"/>
      <c r="H511" s="173"/>
      <c r="I511" s="176"/>
      <c r="J511" s="173"/>
      <c r="K511" s="172"/>
      <c r="L511" s="173" t="s">
        <v>197</v>
      </c>
      <c r="M511" s="174" t="s">
        <v>198</v>
      </c>
      <c r="N511" s="211">
        <v>30</v>
      </c>
      <c r="O511" s="175"/>
      <c r="P511" s="225"/>
      <c r="Q511" s="173"/>
      <c r="R511" s="173"/>
      <c r="S511" s="176"/>
    </row>
    <row r="512" spans="1:19">
      <c r="A512" s="172"/>
      <c r="B512" s="173" t="s">
        <v>199</v>
      </c>
      <c r="C512" s="174" t="s">
        <v>198</v>
      </c>
      <c r="D512" s="177" t="s">
        <v>229</v>
      </c>
      <c r="E512" s="173"/>
      <c r="F512" s="225"/>
      <c r="G512" s="173"/>
      <c r="H512" s="173"/>
      <c r="I512" s="176"/>
      <c r="J512" s="173"/>
      <c r="K512" s="172"/>
      <c r="L512" s="173" t="s">
        <v>199</v>
      </c>
      <c r="M512" s="174" t="s">
        <v>198</v>
      </c>
      <c r="N512" s="177" t="s">
        <v>229</v>
      </c>
      <c r="O512" s="179"/>
      <c r="P512" s="225"/>
      <c r="Q512" s="173"/>
      <c r="R512" s="173"/>
      <c r="S512" s="176"/>
    </row>
    <row r="513" spans="1:19">
      <c r="A513" s="172"/>
      <c r="B513" s="173" t="s">
        <v>200</v>
      </c>
      <c r="C513" s="174" t="s">
        <v>198</v>
      </c>
      <c r="D513" s="177" t="str">
        <f>+'PRODUKSI 1'!B37</f>
        <v>MOCHAMAD ZAKARIA</v>
      </c>
      <c r="E513" s="173"/>
      <c r="F513" s="225"/>
      <c r="G513" s="173"/>
      <c r="H513" s="173"/>
      <c r="I513" s="176"/>
      <c r="J513" s="173"/>
      <c r="K513" s="172"/>
      <c r="L513" s="173" t="s">
        <v>200</v>
      </c>
      <c r="M513" s="174" t="s">
        <v>198</v>
      </c>
      <c r="N513" s="178" t="str">
        <f>+'PRODUKSI 1'!B38</f>
        <v>SANDI SAPUTRA</v>
      </c>
      <c r="O513" s="173"/>
      <c r="P513" s="225"/>
      <c r="Q513" s="173"/>
      <c r="R513" s="173"/>
      <c r="S513" s="176"/>
    </row>
    <row r="514" spans="1:19" ht="15.75" thickBot="1">
      <c r="A514" s="172"/>
      <c r="B514" s="173" t="s">
        <v>201</v>
      </c>
      <c r="C514" s="174" t="s">
        <v>198</v>
      </c>
      <c r="D514" s="177" t="str">
        <f>+'PRODUKSI 1'!C37</f>
        <v>OP. PRINTER 3</v>
      </c>
      <c r="E514" s="173"/>
      <c r="F514" s="225"/>
      <c r="G514" s="173"/>
      <c r="H514" s="173"/>
      <c r="I514" s="176"/>
      <c r="J514" s="173"/>
      <c r="K514" s="172"/>
      <c r="L514" s="173" t="s">
        <v>201</v>
      </c>
      <c r="M514" s="174" t="s">
        <v>198</v>
      </c>
      <c r="N514" s="178" t="str">
        <f>+'PRODUKSI 1'!C38</f>
        <v>OP. PRINTER 4</v>
      </c>
      <c r="O514" s="179"/>
      <c r="P514" s="225"/>
      <c r="Q514" s="173"/>
      <c r="R514" s="173"/>
      <c r="S514" s="176"/>
    </row>
    <row r="515" spans="1:19" ht="10.5" customHeight="1" thickTop="1">
      <c r="A515" s="170"/>
      <c r="B515" s="182"/>
      <c r="C515" s="182"/>
      <c r="D515" s="182"/>
      <c r="E515" s="182"/>
      <c r="F515" s="226"/>
      <c r="G515" s="182"/>
      <c r="H515" s="182"/>
      <c r="I515" s="183"/>
      <c r="J515" s="169"/>
      <c r="K515" s="170"/>
      <c r="L515" s="182"/>
      <c r="M515" s="182"/>
      <c r="N515" s="182"/>
      <c r="O515" s="182"/>
      <c r="P515" s="226"/>
      <c r="Q515" s="182"/>
      <c r="R515" s="182"/>
      <c r="S515" s="183"/>
    </row>
    <row r="516" spans="1:19">
      <c r="A516" s="170"/>
      <c r="B516" s="184" t="s">
        <v>202</v>
      </c>
      <c r="C516" s="185"/>
      <c r="D516" s="185"/>
      <c r="E516" s="185"/>
      <c r="F516" s="227"/>
      <c r="G516" s="185"/>
      <c r="H516" s="185"/>
      <c r="I516" s="183"/>
      <c r="J516" s="169"/>
      <c r="K516" s="170"/>
      <c r="L516" s="184" t="s">
        <v>202</v>
      </c>
      <c r="M516" s="184"/>
      <c r="N516" s="185"/>
      <c r="O516" s="185"/>
      <c r="P516" s="227"/>
      <c r="Q516" s="185"/>
      <c r="R516" s="185"/>
      <c r="S516" s="183"/>
    </row>
    <row r="517" spans="1:19" ht="14.25" customHeight="1">
      <c r="A517" s="170"/>
      <c r="B517" s="186" t="s">
        <v>111</v>
      </c>
      <c r="C517" s="186"/>
      <c r="D517" s="187"/>
      <c r="E517" s="186"/>
      <c r="F517" s="197"/>
      <c r="G517" s="187"/>
      <c r="H517" s="187">
        <f>+'PRODUKSI 1'!H37</f>
        <v>4494855</v>
      </c>
      <c r="I517" s="188"/>
      <c r="J517" s="187"/>
      <c r="K517" s="170"/>
      <c r="L517" s="186" t="s">
        <v>111</v>
      </c>
      <c r="M517" s="186"/>
      <c r="N517" s="187"/>
      <c r="O517" s="186"/>
      <c r="P517" s="197"/>
      <c r="Q517" s="187"/>
      <c r="R517" s="187">
        <f>+'PRODUKSI 1'!H38</f>
        <v>4494855</v>
      </c>
      <c r="S517" s="188"/>
    </row>
    <row r="518" spans="1:19" ht="14.25" customHeight="1">
      <c r="A518" s="170"/>
      <c r="B518" s="186" t="s">
        <v>203</v>
      </c>
      <c r="C518" s="186"/>
      <c r="D518" s="186"/>
      <c r="E518" s="186"/>
      <c r="F518" s="197"/>
      <c r="G518" s="187"/>
      <c r="H518" s="187">
        <f>+'PRODUKSI 1'!I37</f>
        <v>100000</v>
      </c>
      <c r="I518" s="188"/>
      <c r="J518" s="209"/>
      <c r="K518" s="170"/>
      <c r="L518" s="186" t="s">
        <v>203</v>
      </c>
      <c r="M518" s="186"/>
      <c r="N518" s="186"/>
      <c r="O518" s="186"/>
      <c r="P518" s="197"/>
      <c r="Q518" s="187"/>
      <c r="R518" s="187">
        <f>+'PRODUKSI 1'!I38</f>
        <v>100000</v>
      </c>
      <c r="S518" s="188"/>
    </row>
    <row r="519" spans="1:19" ht="14.25" customHeight="1">
      <c r="A519" s="170"/>
      <c r="B519" s="186" t="s">
        <v>227</v>
      </c>
      <c r="C519" s="186"/>
      <c r="D519" s="186"/>
      <c r="E519" s="186"/>
      <c r="F519" s="197"/>
      <c r="G519" s="187"/>
      <c r="H519" s="187">
        <f>+'PRODUKSI 1'!J37</f>
        <v>100000</v>
      </c>
      <c r="I519" s="188"/>
      <c r="J519" s="209"/>
      <c r="K519" s="170"/>
      <c r="L519" s="186" t="s">
        <v>227</v>
      </c>
      <c r="M519" s="186"/>
      <c r="N519" s="186"/>
      <c r="O519" s="186"/>
      <c r="P519" s="197"/>
      <c r="Q519" s="187"/>
      <c r="R519" s="187">
        <f>+'PRODUKSI 1'!J38</f>
        <v>100000</v>
      </c>
      <c r="S519" s="188"/>
    </row>
    <row r="520" spans="1:19" ht="14.25" customHeight="1">
      <c r="A520" s="170"/>
      <c r="B520" s="186" t="s">
        <v>228</v>
      </c>
      <c r="C520" s="186"/>
      <c r="D520" s="186"/>
      <c r="E520" s="186"/>
      <c r="F520" s="197"/>
      <c r="G520" s="187"/>
      <c r="H520" s="187">
        <f>+'PRODUKSI 1'!K37</f>
        <v>0</v>
      </c>
      <c r="I520" s="188"/>
      <c r="J520" s="209"/>
      <c r="K520" s="170"/>
      <c r="L520" s="186" t="s">
        <v>228</v>
      </c>
      <c r="M520" s="186"/>
      <c r="N520" s="186"/>
      <c r="O520" s="186"/>
      <c r="P520" s="197"/>
      <c r="Q520" s="187"/>
      <c r="R520" s="187">
        <f>+'PRODUKSI 1'!K38</f>
        <v>0</v>
      </c>
      <c r="S520" s="188"/>
    </row>
    <row r="521" spans="1:19" ht="14.25" customHeight="1">
      <c r="A521" s="170"/>
      <c r="B521" s="186" t="s">
        <v>224</v>
      </c>
      <c r="C521" s="186"/>
      <c r="D521" s="186"/>
      <c r="E521" s="186"/>
      <c r="F521" s="197"/>
      <c r="G521" s="187"/>
      <c r="H521" s="187">
        <f>+'PRODUKSI 1'!AA37</f>
        <v>448215.69090000005</v>
      </c>
      <c r="I521" s="188"/>
      <c r="J521" s="209"/>
      <c r="K521" s="170"/>
      <c r="L521" s="186" t="s">
        <v>224</v>
      </c>
      <c r="M521" s="186"/>
      <c r="N521" s="186"/>
      <c r="O521" s="186"/>
      <c r="P521" s="197"/>
      <c r="Q521" s="187"/>
      <c r="R521" s="187">
        <f>+'PRODUKSI 1'!AA38</f>
        <v>448215.69090000005</v>
      </c>
      <c r="S521" s="188"/>
    </row>
    <row r="522" spans="1:19" ht="14.25" customHeight="1">
      <c r="A522" s="170"/>
      <c r="B522" s="186" t="s">
        <v>195</v>
      </c>
      <c r="C522" s="186"/>
      <c r="D522" s="187"/>
      <c r="E522" s="186"/>
      <c r="F522" s="197"/>
      <c r="G522" s="187"/>
      <c r="H522" s="187">
        <f>+'PRODUKSI 1'!S37</f>
        <v>96000</v>
      </c>
      <c r="I522" s="188"/>
      <c r="J522" s="187"/>
      <c r="K522" s="170"/>
      <c r="L522" s="186" t="s">
        <v>195</v>
      </c>
      <c r="M522" s="186"/>
      <c r="N522" s="187"/>
      <c r="O522" s="186"/>
      <c r="P522" s="197"/>
      <c r="Q522" s="187"/>
      <c r="R522" s="187">
        <f>+'PRODUKSI 1'!S38</f>
        <v>96000</v>
      </c>
      <c r="S522" s="188"/>
    </row>
    <row r="523" spans="1:19" ht="14.25" customHeight="1">
      <c r="A523" s="170"/>
      <c r="B523" s="220" t="s">
        <v>233</v>
      </c>
      <c r="C523" s="186"/>
      <c r="D523" s="187"/>
      <c r="E523" s="186"/>
      <c r="F523" s="197"/>
      <c r="G523" s="187"/>
      <c r="H523" s="187"/>
      <c r="I523" s="188"/>
      <c r="J523" s="209"/>
      <c r="K523" s="170"/>
      <c r="L523" s="220" t="s">
        <v>233</v>
      </c>
      <c r="M523" s="186"/>
      <c r="N523" s="187"/>
      <c r="O523" s="186"/>
      <c r="P523" s="197"/>
      <c r="Q523" s="187"/>
      <c r="R523" s="187"/>
      <c r="S523" s="188"/>
    </row>
    <row r="524" spans="1:19" ht="14.25" customHeight="1">
      <c r="A524" s="170"/>
      <c r="B524" s="186" t="s">
        <v>206</v>
      </c>
      <c r="C524" s="186"/>
      <c r="D524" s="212">
        <v>0</v>
      </c>
      <c r="E524" s="186" t="s">
        <v>207</v>
      </c>
      <c r="F524" s="197" t="s">
        <v>205</v>
      </c>
      <c r="G524" s="187">
        <v>23768</v>
      </c>
      <c r="H524" s="187">
        <v>0</v>
      </c>
      <c r="I524" s="188"/>
      <c r="J524" s="187"/>
      <c r="K524" s="170"/>
      <c r="L524" s="186" t="s">
        <v>206</v>
      </c>
      <c r="M524" s="186"/>
      <c r="N524" s="212">
        <v>0</v>
      </c>
      <c r="O524" s="186" t="s">
        <v>207</v>
      </c>
      <c r="P524" s="197" t="s">
        <v>205</v>
      </c>
      <c r="Q524" s="187">
        <v>23768</v>
      </c>
      <c r="R524" s="187">
        <v>0</v>
      </c>
      <c r="S524" s="188"/>
    </row>
    <row r="525" spans="1:19" ht="14.25" customHeight="1" thickBot="1">
      <c r="A525" s="170"/>
      <c r="B525" s="190" t="s">
        <v>208</v>
      </c>
      <c r="C525" s="190"/>
      <c r="D525" s="213">
        <v>0</v>
      </c>
      <c r="E525" s="190" t="s">
        <v>207</v>
      </c>
      <c r="F525" s="228" t="s">
        <v>205</v>
      </c>
      <c r="G525" s="192">
        <f>G524</f>
        <v>23768</v>
      </c>
      <c r="H525" s="192">
        <f>G525*D525</f>
        <v>0</v>
      </c>
      <c r="I525" s="188"/>
      <c r="J525" s="187"/>
      <c r="K525" s="170"/>
      <c r="L525" s="190" t="s">
        <v>208</v>
      </c>
      <c r="M525" s="190"/>
      <c r="N525" s="213">
        <v>0</v>
      </c>
      <c r="O525" s="190" t="s">
        <v>207</v>
      </c>
      <c r="P525" s="228" t="s">
        <v>205</v>
      </c>
      <c r="Q525" s="192">
        <f>Q524</f>
        <v>23768</v>
      </c>
      <c r="R525" s="192">
        <f>Q525*N525</f>
        <v>0</v>
      </c>
      <c r="S525" s="188"/>
    </row>
    <row r="526" spans="1:19" ht="15.75" thickBot="1">
      <c r="A526" s="170"/>
      <c r="B526" s="190" t="s">
        <v>219</v>
      </c>
      <c r="C526" s="190"/>
      <c r="D526" s="213">
        <f>SUM(D524:D525)</f>
        <v>0</v>
      </c>
      <c r="E526" s="190"/>
      <c r="F526" s="228"/>
      <c r="G526" s="192"/>
      <c r="H526" s="192">
        <f>SUM(H517:H525)</f>
        <v>5239070.6908999998</v>
      </c>
      <c r="I526" s="188"/>
      <c r="J526" s="187"/>
      <c r="K526" s="170"/>
      <c r="L526" s="190" t="s">
        <v>219</v>
      </c>
      <c r="M526" s="190"/>
      <c r="N526" s="213">
        <f>SUM(N524:N525)</f>
        <v>0</v>
      </c>
      <c r="O526" s="190"/>
      <c r="P526" s="228"/>
      <c r="Q526" s="192"/>
      <c r="R526" s="192">
        <f>SUM(R517:R525)</f>
        <v>5239070.6908999998</v>
      </c>
      <c r="S526" s="188"/>
    </row>
    <row r="527" spans="1:19">
      <c r="A527" s="170"/>
      <c r="B527" s="196" t="s">
        <v>113</v>
      </c>
      <c r="C527" s="186"/>
      <c r="D527" s="186"/>
      <c r="E527" s="186"/>
      <c r="F527" s="197"/>
      <c r="G527" s="187"/>
      <c r="H527" s="187"/>
      <c r="I527" s="188"/>
      <c r="J527" s="209"/>
      <c r="K527" s="170"/>
      <c r="L527" s="196" t="s">
        <v>113</v>
      </c>
      <c r="M527" s="186"/>
      <c r="N527" s="186"/>
      <c r="O527" s="186"/>
      <c r="P527" s="197"/>
      <c r="Q527" s="187"/>
      <c r="R527" s="187"/>
      <c r="S527" s="188"/>
    </row>
    <row r="528" spans="1:19" ht="14.25" customHeight="1">
      <c r="A528" s="170"/>
      <c r="B528" s="186" t="s">
        <v>209</v>
      </c>
      <c r="C528" s="186"/>
      <c r="D528" s="197"/>
      <c r="E528" s="186"/>
      <c r="F528" s="197"/>
      <c r="G528" s="198" t="str">
        <f>+'PRODUKSI 1'!D37</f>
        <v>K1</v>
      </c>
      <c r="H528" s="187">
        <f>+'PRODUKSI 1'!AH37</f>
        <v>0</v>
      </c>
      <c r="I528" s="188"/>
      <c r="J528" s="209"/>
      <c r="K528" s="170"/>
      <c r="L528" s="186" t="s">
        <v>209</v>
      </c>
      <c r="M528" s="186"/>
      <c r="N528" s="198"/>
      <c r="O528" s="186"/>
      <c r="P528" s="197"/>
      <c r="Q528" s="198" t="str">
        <f>+'PRODUKSI 1'!D38</f>
        <v>TK</v>
      </c>
      <c r="R528" s="187">
        <f>+'PRODUKSI 1'!AH38</f>
        <v>0</v>
      </c>
      <c r="S528" s="188"/>
    </row>
    <row r="529" spans="1:19" ht="14.25" customHeight="1">
      <c r="A529" s="170"/>
      <c r="B529" s="186" t="s">
        <v>225</v>
      </c>
      <c r="C529" s="186"/>
      <c r="D529" s="197"/>
      <c r="E529" s="186"/>
      <c r="F529" s="197"/>
      <c r="G529" s="198"/>
      <c r="H529" s="187">
        <f>+'PRODUKSI 1'!AE37+'PRODUKSI 1'!AF37</f>
        <v>97544.22</v>
      </c>
      <c r="I529" s="188"/>
      <c r="J529" s="209"/>
      <c r="K529" s="170"/>
      <c r="L529" s="186" t="s">
        <v>225</v>
      </c>
      <c r="M529" s="186"/>
      <c r="N529" s="198"/>
      <c r="O529" s="186"/>
      <c r="P529" s="197"/>
      <c r="Q529" s="198"/>
      <c r="R529" s="187">
        <f>+'PRODUKSI 1'!AE38+'PRODUKSI 1'!AF38</f>
        <v>97544.11</v>
      </c>
      <c r="S529" s="188"/>
    </row>
    <row r="530" spans="1:19" ht="14.25" customHeight="1">
      <c r="A530" s="170"/>
      <c r="B530" s="186" t="s">
        <v>226</v>
      </c>
      <c r="C530" s="186"/>
      <c r="D530" s="197"/>
      <c r="E530" s="186"/>
      <c r="F530" s="197"/>
      <c r="G530" s="198"/>
      <c r="H530" s="187">
        <f>+'PRODUKSI 1'!AC37+'PRODUKSI 1'!AD37</f>
        <v>146316.33000000002</v>
      </c>
      <c r="I530" s="188"/>
      <c r="J530" s="209"/>
      <c r="K530" s="170"/>
      <c r="L530" s="186" t="s">
        <v>226</v>
      </c>
      <c r="M530" s="186"/>
      <c r="N530" s="198"/>
      <c r="O530" s="186"/>
      <c r="P530" s="197"/>
      <c r="Q530" s="198"/>
      <c r="R530" s="187">
        <f>+'PRODUKSI 1'!AC38+'PRODUKSI 1'!AD38</f>
        <v>146316.33000000002</v>
      </c>
      <c r="S530" s="188"/>
    </row>
    <row r="531" spans="1:19" ht="14.25" customHeight="1">
      <c r="A531" s="170"/>
      <c r="B531" s="186" t="s">
        <v>103</v>
      </c>
      <c r="C531" s="186"/>
      <c r="D531" s="186"/>
      <c r="E531" s="186"/>
      <c r="F531" s="197"/>
      <c r="G531" s="187"/>
      <c r="H531" s="187">
        <f>+H521</f>
        <v>448215.69090000005</v>
      </c>
      <c r="I531" s="188"/>
      <c r="J531" s="209"/>
      <c r="K531" s="170"/>
      <c r="L531" s="186" t="s">
        <v>103</v>
      </c>
      <c r="M531" s="186"/>
      <c r="N531" s="186"/>
      <c r="O531" s="186"/>
      <c r="P531" s="197"/>
      <c r="Q531" s="187"/>
      <c r="R531" s="187">
        <f>+R521</f>
        <v>448215.69090000005</v>
      </c>
      <c r="S531" s="188"/>
    </row>
    <row r="532" spans="1:19" ht="14.25" customHeight="1" thickBot="1">
      <c r="A532" s="170"/>
      <c r="B532" s="190" t="s">
        <v>211</v>
      </c>
      <c r="C532" s="190"/>
      <c r="D532" s="190"/>
      <c r="E532" s="190"/>
      <c r="F532" s="228"/>
      <c r="G532" s="192"/>
      <c r="H532" s="192">
        <f>SUM(H528:H531)</f>
        <v>692076.24090000009</v>
      </c>
      <c r="I532" s="188"/>
      <c r="J532" s="209"/>
      <c r="K532" s="170"/>
      <c r="L532" s="190" t="s">
        <v>211</v>
      </c>
      <c r="M532" s="190"/>
      <c r="N532" s="190"/>
      <c r="O532" s="190"/>
      <c r="P532" s="228"/>
      <c r="Q532" s="192"/>
      <c r="R532" s="192">
        <f>SUM(R528:R531)</f>
        <v>692076.13089999999</v>
      </c>
      <c r="S532" s="188"/>
    </row>
    <row r="533" spans="1:19" ht="15.75" thickBot="1">
      <c r="A533" s="170"/>
      <c r="B533" s="193" t="s">
        <v>220</v>
      </c>
      <c r="C533" s="193"/>
      <c r="D533" s="193"/>
      <c r="E533" s="193"/>
      <c r="F533" s="229"/>
      <c r="G533" s="195"/>
      <c r="H533" s="195">
        <f>SUM(H526-H532)</f>
        <v>4546994.4499999993</v>
      </c>
      <c r="I533" s="188"/>
      <c r="J533" s="209"/>
      <c r="K533" s="170"/>
      <c r="L533" s="193" t="s">
        <v>220</v>
      </c>
      <c r="M533" s="193"/>
      <c r="N533" s="193"/>
      <c r="O533" s="193"/>
      <c r="P533" s="229"/>
      <c r="Q533" s="195"/>
      <c r="R533" s="195">
        <f>SUM(R526-R532)</f>
        <v>4546994.5599999996</v>
      </c>
      <c r="S533" s="188"/>
    </row>
    <row r="534" spans="1:19">
      <c r="A534" s="170"/>
      <c r="B534" s="186" t="s">
        <v>230</v>
      </c>
      <c r="C534" s="186"/>
      <c r="D534" s="186"/>
      <c r="E534" s="186"/>
      <c r="F534" s="197"/>
      <c r="G534" s="187"/>
      <c r="H534" s="187">
        <v>10000</v>
      </c>
      <c r="I534" s="188"/>
      <c r="J534" s="209"/>
      <c r="K534" s="170"/>
      <c r="L534" s="186" t="s">
        <v>230</v>
      </c>
      <c r="M534" s="186"/>
      <c r="N534" s="186"/>
      <c r="O534" s="186"/>
      <c r="P534" s="197"/>
      <c r="Q534" s="187"/>
      <c r="R534" s="187">
        <v>10000</v>
      </c>
      <c r="S534" s="188"/>
    </row>
    <row r="535" spans="1:19" ht="15.75" thickBot="1">
      <c r="A535" s="170"/>
      <c r="B535" s="199"/>
      <c r="C535" s="190"/>
      <c r="D535" s="190"/>
      <c r="E535" s="190"/>
      <c r="F535" s="228"/>
      <c r="G535" s="192"/>
      <c r="H535" s="192"/>
      <c r="I535" s="188"/>
      <c r="J535" s="187"/>
      <c r="K535" s="170"/>
      <c r="L535" s="199"/>
      <c r="M535" s="190"/>
      <c r="N535" s="190"/>
      <c r="O535" s="190"/>
      <c r="P535" s="228"/>
      <c r="Q535" s="192"/>
      <c r="R535" s="192"/>
      <c r="S535" s="188"/>
    </row>
    <row r="536" spans="1:19" ht="15.75" thickBot="1">
      <c r="A536" s="170"/>
      <c r="B536" s="200" t="s">
        <v>212</v>
      </c>
      <c r="C536" s="200"/>
      <c r="D536" s="200"/>
      <c r="E536" s="200"/>
      <c r="F536" s="230"/>
      <c r="G536" s="201"/>
      <c r="H536" s="201">
        <f>+H533-H534</f>
        <v>4536994.4499999993</v>
      </c>
      <c r="I536" s="188"/>
      <c r="J536" s="187"/>
      <c r="K536" s="170"/>
      <c r="L536" s="200" t="s">
        <v>212</v>
      </c>
      <c r="M536" s="200"/>
      <c r="N536" s="200"/>
      <c r="O536" s="200"/>
      <c r="P536" s="230"/>
      <c r="Q536" s="201"/>
      <c r="R536" s="201">
        <f>+R533-R534</f>
        <v>4536994.5599999996</v>
      </c>
      <c r="S536" s="188"/>
    </row>
    <row r="537" spans="1:19" ht="15.75" thickTop="1">
      <c r="A537" s="170"/>
      <c r="B537" s="202" t="s">
        <v>213</v>
      </c>
      <c r="C537" s="186"/>
      <c r="D537" s="186"/>
      <c r="E537" s="186"/>
      <c r="F537" s="197"/>
      <c r="G537" s="296" t="s">
        <v>214</v>
      </c>
      <c r="H537" s="296"/>
      <c r="I537" s="188"/>
      <c r="J537" s="187"/>
      <c r="K537" s="170"/>
      <c r="L537" s="202" t="s">
        <v>213</v>
      </c>
      <c r="M537" s="186"/>
      <c r="N537" s="186"/>
      <c r="O537" s="186"/>
      <c r="P537" s="197"/>
      <c r="Q537" s="296" t="s">
        <v>214</v>
      </c>
      <c r="R537" s="296"/>
      <c r="S537" s="188"/>
    </row>
    <row r="538" spans="1:19" ht="12.75" customHeight="1">
      <c r="A538" s="170"/>
      <c r="B538" s="186"/>
      <c r="C538" s="186"/>
      <c r="D538" s="186"/>
      <c r="E538" s="186"/>
      <c r="F538" s="197"/>
      <c r="G538" s="187"/>
      <c r="H538" s="187"/>
      <c r="I538" s="188"/>
      <c r="J538" s="187"/>
      <c r="K538" s="170"/>
      <c r="L538" s="186"/>
      <c r="M538" s="186"/>
      <c r="N538" s="186"/>
      <c r="O538" s="186"/>
      <c r="P538" s="197"/>
      <c r="Q538" s="187"/>
      <c r="R538" s="187"/>
      <c r="S538" s="188"/>
    </row>
    <row r="539" spans="1:19" ht="12.75" customHeight="1">
      <c r="A539" s="170"/>
      <c r="B539" s="186"/>
      <c r="C539" s="186"/>
      <c r="D539" s="186"/>
      <c r="E539" s="186"/>
      <c r="F539" s="197"/>
      <c r="G539" s="187"/>
      <c r="H539" s="187"/>
      <c r="I539" s="188"/>
      <c r="J539" s="187"/>
      <c r="K539" s="170"/>
      <c r="L539" s="186"/>
      <c r="M539" s="186"/>
      <c r="N539" s="186"/>
      <c r="O539" s="186"/>
      <c r="P539" s="197"/>
      <c r="Q539" s="187"/>
      <c r="R539" s="187"/>
      <c r="S539" s="188"/>
    </row>
    <row r="540" spans="1:19" ht="12.75" customHeight="1">
      <c r="A540" s="170"/>
      <c r="B540" s="203" t="s">
        <v>215</v>
      </c>
      <c r="C540" s="186"/>
      <c r="D540" s="186"/>
      <c r="E540" s="186"/>
      <c r="F540" s="197"/>
      <c r="G540" s="297" t="s">
        <v>216</v>
      </c>
      <c r="H540" s="297"/>
      <c r="I540" s="188"/>
      <c r="J540" s="187"/>
      <c r="K540" s="170"/>
      <c r="L540" s="203" t="s">
        <v>215</v>
      </c>
      <c r="M540" s="186"/>
      <c r="N540" s="186"/>
      <c r="O540" s="186"/>
      <c r="P540" s="197"/>
      <c r="Q540" s="297" t="s">
        <v>216</v>
      </c>
      <c r="R540" s="297"/>
      <c r="S540" s="188"/>
    </row>
    <row r="541" spans="1:19" ht="7.5" customHeight="1">
      <c r="A541" s="204"/>
      <c r="B541" s="205"/>
      <c r="C541" s="206"/>
      <c r="D541" s="206"/>
      <c r="E541" s="206"/>
      <c r="F541" s="231"/>
      <c r="G541" s="207"/>
      <c r="H541" s="205"/>
      <c r="I541" s="208"/>
      <c r="J541" s="187"/>
      <c r="K541" s="204"/>
      <c r="L541" s="205"/>
      <c r="M541" s="206"/>
      <c r="N541" s="206"/>
      <c r="O541" s="206"/>
      <c r="P541" s="231"/>
      <c r="Q541" s="207"/>
      <c r="R541" s="205"/>
      <c r="S541" s="208"/>
    </row>
    <row r="543" spans="1:19">
      <c r="A543" s="166"/>
      <c r="B543" s="167"/>
      <c r="C543" s="167"/>
      <c r="D543" s="167"/>
      <c r="E543" s="167"/>
      <c r="F543" s="223"/>
      <c r="G543" s="167"/>
      <c r="H543" s="167"/>
      <c r="I543" s="168"/>
      <c r="J543" s="169"/>
      <c r="K543" s="166"/>
      <c r="L543" s="167"/>
      <c r="M543" s="167"/>
      <c r="N543" s="167"/>
      <c r="O543" s="167"/>
      <c r="P543" s="223"/>
      <c r="Q543" s="167"/>
      <c r="R543" s="167"/>
      <c r="S543" s="168"/>
    </row>
    <row r="544" spans="1:19">
      <c r="A544" s="170"/>
      <c r="B544" s="169"/>
      <c r="C544" s="169"/>
      <c r="D544" s="169"/>
      <c r="E544" s="169"/>
      <c r="F544" s="224"/>
      <c r="G544" s="169"/>
      <c r="H544" s="169"/>
      <c r="I544" s="171"/>
      <c r="J544" s="169"/>
      <c r="K544" s="170"/>
      <c r="L544" s="169"/>
      <c r="M544" s="169"/>
      <c r="N544" s="169"/>
      <c r="O544" s="169"/>
      <c r="P544" s="224"/>
      <c r="Q544" s="169"/>
      <c r="R544" s="169"/>
      <c r="S544" s="171"/>
    </row>
    <row r="545" spans="1:19">
      <c r="A545" s="170"/>
      <c r="B545" s="169"/>
      <c r="C545" s="169"/>
      <c r="D545" s="169"/>
      <c r="E545" s="169"/>
      <c r="F545" s="224"/>
      <c r="G545" s="169"/>
      <c r="H545" s="169"/>
      <c r="I545" s="171"/>
      <c r="J545" s="169"/>
      <c r="K545" s="170"/>
      <c r="L545" s="169"/>
      <c r="M545" s="169"/>
      <c r="N545" s="169"/>
      <c r="O545" s="169"/>
      <c r="P545" s="224"/>
      <c r="Q545" s="169"/>
      <c r="R545" s="169"/>
      <c r="S545" s="171"/>
    </row>
    <row r="546" spans="1:19">
      <c r="A546" s="170"/>
      <c r="B546" s="294" t="s">
        <v>196</v>
      </c>
      <c r="C546" s="294"/>
      <c r="D546" s="294"/>
      <c r="E546" s="294"/>
      <c r="F546" s="294"/>
      <c r="G546" s="294"/>
      <c r="H546" s="294"/>
      <c r="I546" s="295"/>
      <c r="J546" s="169"/>
      <c r="K546" s="170"/>
      <c r="L546" s="294" t="s">
        <v>196</v>
      </c>
      <c r="M546" s="294"/>
      <c r="N546" s="294"/>
      <c r="O546" s="294"/>
      <c r="P546" s="294"/>
      <c r="Q546" s="294"/>
      <c r="R546" s="294"/>
      <c r="S546" s="295"/>
    </row>
    <row r="547" spans="1:19">
      <c r="A547" s="172"/>
      <c r="B547" s="173" t="s">
        <v>197</v>
      </c>
      <c r="C547" s="174" t="s">
        <v>198</v>
      </c>
      <c r="D547" s="211">
        <v>31</v>
      </c>
      <c r="E547" s="173"/>
      <c r="F547" s="225"/>
      <c r="G547" s="173"/>
      <c r="H547" s="173"/>
      <c r="I547" s="176"/>
      <c r="J547" s="173"/>
      <c r="K547" s="172"/>
      <c r="L547" s="173" t="s">
        <v>197</v>
      </c>
      <c r="M547" s="174" t="s">
        <v>198</v>
      </c>
      <c r="N547" s="211">
        <v>32</v>
      </c>
      <c r="O547" s="175"/>
      <c r="P547" s="225"/>
      <c r="Q547" s="173"/>
      <c r="R547" s="173"/>
      <c r="S547" s="176"/>
    </row>
    <row r="548" spans="1:19">
      <c r="A548" s="172"/>
      <c r="B548" s="173" t="s">
        <v>199</v>
      </c>
      <c r="C548" s="174" t="s">
        <v>198</v>
      </c>
      <c r="D548" s="177" t="s">
        <v>229</v>
      </c>
      <c r="E548" s="173"/>
      <c r="F548" s="225"/>
      <c r="G548" s="173"/>
      <c r="H548" s="173"/>
      <c r="I548" s="176"/>
      <c r="J548" s="173"/>
      <c r="K548" s="172"/>
      <c r="L548" s="173" t="s">
        <v>199</v>
      </c>
      <c r="M548" s="174" t="s">
        <v>198</v>
      </c>
      <c r="N548" s="177" t="s">
        <v>229</v>
      </c>
      <c r="O548" s="179"/>
      <c r="P548" s="225"/>
      <c r="Q548" s="173"/>
      <c r="R548" s="173"/>
      <c r="S548" s="176"/>
    </row>
    <row r="549" spans="1:19">
      <c r="A549" s="172"/>
      <c r="B549" s="173" t="s">
        <v>200</v>
      </c>
      <c r="C549" s="174" t="s">
        <v>198</v>
      </c>
      <c r="D549" s="177" t="str">
        <f>+'PRODUKSI 1'!B39</f>
        <v>SUKRONI</v>
      </c>
      <c r="E549" s="173"/>
      <c r="F549" s="225"/>
      <c r="G549" s="173"/>
      <c r="H549" s="173"/>
      <c r="I549" s="176"/>
      <c r="J549" s="173"/>
      <c r="K549" s="172"/>
      <c r="L549" s="173" t="s">
        <v>200</v>
      </c>
      <c r="M549" s="174" t="s">
        <v>198</v>
      </c>
      <c r="N549" s="178" t="str">
        <f>+'PRODUKSI 1'!B40</f>
        <v>MULYADI</v>
      </c>
      <c r="O549" s="173"/>
      <c r="P549" s="225"/>
      <c r="Q549" s="173"/>
      <c r="R549" s="173"/>
      <c r="S549" s="176"/>
    </row>
    <row r="550" spans="1:19" ht="15.75" thickBot="1">
      <c r="A550" s="172"/>
      <c r="B550" s="173" t="s">
        <v>201</v>
      </c>
      <c r="C550" s="174" t="s">
        <v>198</v>
      </c>
      <c r="D550" s="177" t="str">
        <f>+'PRODUKSI 1'!C39</f>
        <v>OP. PRINTER 1</v>
      </c>
      <c r="E550" s="173"/>
      <c r="F550" s="225"/>
      <c r="G550" s="173"/>
      <c r="H550" s="173"/>
      <c r="I550" s="176"/>
      <c r="J550" s="173"/>
      <c r="K550" s="172"/>
      <c r="L550" s="173" t="s">
        <v>201</v>
      </c>
      <c r="M550" s="174" t="s">
        <v>198</v>
      </c>
      <c r="N550" s="178" t="str">
        <f>+'PRODUKSI 1'!C40</f>
        <v>OP. SLITER 2</v>
      </c>
      <c r="O550" s="179"/>
      <c r="P550" s="225"/>
      <c r="Q550" s="173"/>
      <c r="R550" s="173"/>
      <c r="S550" s="176"/>
    </row>
    <row r="551" spans="1:19" ht="10.5" customHeight="1" thickTop="1">
      <c r="A551" s="170"/>
      <c r="B551" s="182"/>
      <c r="C551" s="182"/>
      <c r="D551" s="182"/>
      <c r="E551" s="182"/>
      <c r="F551" s="226"/>
      <c r="G551" s="182"/>
      <c r="H551" s="182"/>
      <c r="I551" s="183"/>
      <c r="J551" s="169"/>
      <c r="K551" s="170"/>
      <c r="L551" s="182"/>
      <c r="M551" s="182"/>
      <c r="N551" s="182"/>
      <c r="O551" s="182"/>
      <c r="P551" s="226"/>
      <c r="Q551" s="182"/>
      <c r="R551" s="182"/>
      <c r="S551" s="183"/>
    </row>
    <row r="552" spans="1:19">
      <c r="A552" s="170"/>
      <c r="B552" s="184" t="s">
        <v>202</v>
      </c>
      <c r="C552" s="185"/>
      <c r="D552" s="185"/>
      <c r="E552" s="185"/>
      <c r="F552" s="227"/>
      <c r="G552" s="185"/>
      <c r="H552" s="185"/>
      <c r="I552" s="183"/>
      <c r="J552" s="169"/>
      <c r="K552" s="170"/>
      <c r="L552" s="184" t="s">
        <v>202</v>
      </c>
      <c r="M552" s="184"/>
      <c r="N552" s="185"/>
      <c r="O552" s="185"/>
      <c r="P552" s="227"/>
      <c r="Q552" s="185"/>
      <c r="R552" s="185"/>
      <c r="S552" s="183"/>
    </row>
    <row r="553" spans="1:19" ht="14.25" customHeight="1">
      <c r="A553" s="170"/>
      <c r="B553" s="186" t="s">
        <v>111</v>
      </c>
      <c r="C553" s="186"/>
      <c r="D553" s="187"/>
      <c r="E553" s="186"/>
      <c r="F553" s="197"/>
      <c r="G553" s="187"/>
      <c r="H553" s="187">
        <f>+'PRODUKSI 1'!H39</f>
        <v>4494855</v>
      </c>
      <c r="I553" s="188"/>
      <c r="J553" s="187"/>
      <c r="K553" s="170"/>
      <c r="L553" s="186" t="s">
        <v>111</v>
      </c>
      <c r="M553" s="186"/>
      <c r="N553" s="187"/>
      <c r="O553" s="186"/>
      <c r="P553" s="197"/>
      <c r="Q553" s="187"/>
      <c r="R553" s="187">
        <f>+'PRODUKSI 1'!H40</f>
        <v>4494855</v>
      </c>
      <c r="S553" s="188"/>
    </row>
    <row r="554" spans="1:19" ht="14.25" customHeight="1">
      <c r="A554" s="170"/>
      <c r="B554" s="186" t="s">
        <v>203</v>
      </c>
      <c r="C554" s="186"/>
      <c r="D554" s="186"/>
      <c r="E554" s="186"/>
      <c r="F554" s="197"/>
      <c r="G554" s="187"/>
      <c r="H554" s="187">
        <f>+'PRODUKSI 1'!I39</f>
        <v>100000</v>
      </c>
      <c r="I554" s="188"/>
      <c r="J554" s="209"/>
      <c r="K554" s="170"/>
      <c r="L554" s="186" t="s">
        <v>203</v>
      </c>
      <c r="M554" s="186"/>
      <c r="N554" s="186"/>
      <c r="O554" s="186"/>
      <c r="P554" s="197"/>
      <c r="Q554" s="187"/>
      <c r="R554" s="187">
        <f>+'PRODUKSI 1'!I40</f>
        <v>0</v>
      </c>
      <c r="S554" s="188"/>
    </row>
    <row r="555" spans="1:19" ht="14.25" customHeight="1">
      <c r="A555" s="170"/>
      <c r="B555" s="186" t="s">
        <v>227</v>
      </c>
      <c r="C555" s="186"/>
      <c r="D555" s="186"/>
      <c r="E555" s="186"/>
      <c r="F555" s="197"/>
      <c r="G555" s="187"/>
      <c r="H555" s="187">
        <f>+'PRODUKSI 1'!J39</f>
        <v>100000</v>
      </c>
      <c r="I555" s="188"/>
      <c r="J555" s="209"/>
      <c r="K555" s="170"/>
      <c r="L555" s="186" t="s">
        <v>227</v>
      </c>
      <c r="M555" s="186"/>
      <c r="N555" s="186"/>
      <c r="O555" s="186"/>
      <c r="P555" s="197"/>
      <c r="Q555" s="187"/>
      <c r="R555" s="187">
        <f>+'PRODUKSI 1'!J40</f>
        <v>0</v>
      </c>
      <c r="S555" s="188"/>
    </row>
    <row r="556" spans="1:19" ht="14.25" customHeight="1">
      <c r="A556" s="170"/>
      <c r="B556" s="186" t="s">
        <v>228</v>
      </c>
      <c r="C556" s="186"/>
      <c r="D556" s="186"/>
      <c r="E556" s="186"/>
      <c r="F556" s="197"/>
      <c r="G556" s="187"/>
      <c r="H556" s="187">
        <f>+'PRODUKSI 1'!K39</f>
        <v>0</v>
      </c>
      <c r="I556" s="188"/>
      <c r="J556" s="209"/>
      <c r="K556" s="170"/>
      <c r="L556" s="186" t="s">
        <v>228</v>
      </c>
      <c r="M556" s="186"/>
      <c r="N556" s="186"/>
      <c r="O556" s="186"/>
      <c r="P556" s="197"/>
      <c r="Q556" s="187"/>
      <c r="R556" s="187">
        <f>+'PRODUKSI 1'!K40</f>
        <v>0</v>
      </c>
      <c r="S556" s="188"/>
    </row>
    <row r="557" spans="1:19" ht="14.25" customHeight="1">
      <c r="A557" s="170"/>
      <c r="B557" s="186" t="s">
        <v>224</v>
      </c>
      <c r="C557" s="186"/>
      <c r="D557" s="186"/>
      <c r="E557" s="186"/>
      <c r="F557" s="197"/>
      <c r="G557" s="187"/>
      <c r="H557" s="187">
        <f>+'PRODUKSI 1'!AA39</f>
        <v>448215.69090000005</v>
      </c>
      <c r="I557" s="188"/>
      <c r="J557" s="209"/>
      <c r="K557" s="170"/>
      <c r="L557" s="186" t="s">
        <v>224</v>
      </c>
      <c r="M557" s="186"/>
      <c r="N557" s="186"/>
      <c r="O557" s="186"/>
      <c r="P557" s="197"/>
      <c r="Q557" s="187"/>
      <c r="R557" s="187">
        <f>+'PRODUKSI 1'!AA40</f>
        <v>448215.69090000005</v>
      </c>
      <c r="S557" s="188"/>
    </row>
    <row r="558" spans="1:19" ht="14.25" customHeight="1">
      <c r="A558" s="170"/>
      <c r="B558" s="186" t="s">
        <v>195</v>
      </c>
      <c r="C558" s="186"/>
      <c r="D558" s="187"/>
      <c r="E558" s="186"/>
      <c r="F558" s="197"/>
      <c r="G558" s="187"/>
      <c r="H558" s="187">
        <f>+'PRODUKSI 1'!S39</f>
        <v>100000</v>
      </c>
      <c r="I558" s="188"/>
      <c r="J558" s="187"/>
      <c r="K558" s="170"/>
      <c r="L558" s="186" t="s">
        <v>195</v>
      </c>
      <c r="M558" s="186"/>
      <c r="N558" s="187"/>
      <c r="O558" s="186"/>
      <c r="P558" s="197"/>
      <c r="Q558" s="187"/>
      <c r="R558" s="187">
        <f>+'PRODUKSI 1'!S40</f>
        <v>100000</v>
      </c>
      <c r="S558" s="188"/>
    </row>
    <row r="559" spans="1:19" ht="14.25" customHeight="1">
      <c r="A559" s="170"/>
      <c r="B559" s="220" t="s">
        <v>233</v>
      </c>
      <c r="C559" s="186"/>
      <c r="D559" s="187"/>
      <c r="E559" s="186"/>
      <c r="F559" s="197"/>
      <c r="G559" s="187"/>
      <c r="H559" s="187"/>
      <c r="I559" s="188"/>
      <c r="J559" s="209"/>
      <c r="K559" s="170"/>
      <c r="L559" s="220" t="s">
        <v>233</v>
      </c>
      <c r="M559" s="186"/>
      <c r="N559" s="187"/>
      <c r="O559" s="186"/>
      <c r="P559" s="197"/>
      <c r="Q559" s="187"/>
      <c r="R559" s="187"/>
      <c r="S559" s="188"/>
    </row>
    <row r="560" spans="1:19" ht="14.25" customHeight="1">
      <c r="A560" s="170"/>
      <c r="B560" s="186" t="s">
        <v>206</v>
      </c>
      <c r="C560" s="186"/>
      <c r="D560" s="212">
        <v>0</v>
      </c>
      <c r="E560" s="186" t="s">
        <v>207</v>
      </c>
      <c r="F560" s="197" t="s">
        <v>205</v>
      </c>
      <c r="G560" s="187">
        <v>23768</v>
      </c>
      <c r="H560" s="187">
        <v>0</v>
      </c>
      <c r="I560" s="188"/>
      <c r="J560" s="187"/>
      <c r="K560" s="170"/>
      <c r="L560" s="186" t="s">
        <v>206</v>
      </c>
      <c r="M560" s="186"/>
      <c r="N560" s="212">
        <v>0</v>
      </c>
      <c r="O560" s="186" t="s">
        <v>207</v>
      </c>
      <c r="P560" s="197" t="s">
        <v>205</v>
      </c>
      <c r="Q560" s="187">
        <v>23768</v>
      </c>
      <c r="R560" s="187">
        <v>0</v>
      </c>
      <c r="S560" s="188"/>
    </row>
    <row r="561" spans="1:19" ht="14.25" customHeight="1" thickBot="1">
      <c r="A561" s="170"/>
      <c r="B561" s="190" t="s">
        <v>208</v>
      </c>
      <c r="C561" s="190"/>
      <c r="D561" s="213">
        <v>0</v>
      </c>
      <c r="E561" s="190" t="s">
        <v>207</v>
      </c>
      <c r="F561" s="228" t="s">
        <v>205</v>
      </c>
      <c r="G561" s="192">
        <f>G560</f>
        <v>23768</v>
      </c>
      <c r="H561" s="192">
        <f>G561*D561</f>
        <v>0</v>
      </c>
      <c r="I561" s="188"/>
      <c r="J561" s="187"/>
      <c r="K561" s="170"/>
      <c r="L561" s="190" t="s">
        <v>208</v>
      </c>
      <c r="M561" s="190"/>
      <c r="N561" s="213">
        <v>0</v>
      </c>
      <c r="O561" s="190" t="s">
        <v>207</v>
      </c>
      <c r="P561" s="228" t="s">
        <v>205</v>
      </c>
      <c r="Q561" s="192">
        <f>Q560</f>
        <v>23768</v>
      </c>
      <c r="R561" s="192">
        <f>Q561*N561</f>
        <v>0</v>
      </c>
      <c r="S561" s="188"/>
    </row>
    <row r="562" spans="1:19" ht="15.75" thickBot="1">
      <c r="A562" s="170"/>
      <c r="B562" s="190" t="s">
        <v>219</v>
      </c>
      <c r="C562" s="190"/>
      <c r="D562" s="213">
        <f>SUM(D560:D561)</f>
        <v>0</v>
      </c>
      <c r="E562" s="190"/>
      <c r="F562" s="228"/>
      <c r="G562" s="192"/>
      <c r="H562" s="192">
        <f>SUM(H553:H561)</f>
        <v>5243070.6908999998</v>
      </c>
      <c r="I562" s="188"/>
      <c r="J562" s="187"/>
      <c r="K562" s="170"/>
      <c r="L562" s="190" t="s">
        <v>219</v>
      </c>
      <c r="M562" s="190"/>
      <c r="N562" s="213">
        <f>SUM(N560:N561)</f>
        <v>0</v>
      </c>
      <c r="O562" s="190"/>
      <c r="P562" s="228"/>
      <c r="Q562" s="192"/>
      <c r="R562" s="192">
        <f>SUM(R553:R561)</f>
        <v>5043070.6908999998</v>
      </c>
      <c r="S562" s="188"/>
    </row>
    <row r="563" spans="1:19">
      <c r="A563" s="170"/>
      <c r="B563" s="196" t="s">
        <v>113</v>
      </c>
      <c r="C563" s="186"/>
      <c r="D563" s="186"/>
      <c r="E563" s="186"/>
      <c r="F563" s="197"/>
      <c r="G563" s="187"/>
      <c r="H563" s="187"/>
      <c r="I563" s="188"/>
      <c r="J563" s="209"/>
      <c r="K563" s="170"/>
      <c r="L563" s="196" t="s">
        <v>113</v>
      </c>
      <c r="M563" s="186"/>
      <c r="N563" s="186"/>
      <c r="O563" s="186"/>
      <c r="P563" s="197"/>
      <c r="Q563" s="187"/>
      <c r="R563" s="187"/>
      <c r="S563" s="188"/>
    </row>
    <row r="564" spans="1:19" ht="14.25" customHeight="1">
      <c r="A564" s="170"/>
      <c r="B564" s="186" t="s">
        <v>209</v>
      </c>
      <c r="C564" s="186"/>
      <c r="D564" s="197"/>
      <c r="E564" s="186"/>
      <c r="F564" s="197"/>
      <c r="G564" s="198" t="str">
        <f>+'PRODUKSI 1'!D39</f>
        <v>TK</v>
      </c>
      <c r="H564" s="187">
        <f>+'PRODUKSI 1'!AH39</f>
        <v>0</v>
      </c>
      <c r="I564" s="188"/>
      <c r="J564" s="209"/>
      <c r="K564" s="170"/>
      <c r="L564" s="186" t="s">
        <v>209</v>
      </c>
      <c r="M564" s="186"/>
      <c r="N564" s="198"/>
      <c r="O564" s="186"/>
      <c r="P564" s="197"/>
      <c r="Q564" s="198" t="str">
        <f>+'PRODUKSI 1'!D40</f>
        <v>K1</v>
      </c>
      <c r="R564" s="187">
        <f>+'PRODUKSI 1'!AH40</f>
        <v>0</v>
      </c>
      <c r="S564" s="188"/>
    </row>
    <row r="565" spans="1:19" ht="14.25" customHeight="1">
      <c r="A565" s="170"/>
      <c r="B565" s="186" t="s">
        <v>225</v>
      </c>
      <c r="C565" s="186"/>
      <c r="D565" s="197"/>
      <c r="E565" s="186"/>
      <c r="F565" s="197"/>
      <c r="G565" s="198"/>
      <c r="H565" s="187">
        <f>+'PRODUKSI 1'!AE39+'PRODUKSI 1'!AF39</f>
        <v>48772.11</v>
      </c>
      <c r="I565" s="188"/>
      <c r="J565" s="209"/>
      <c r="K565" s="170"/>
      <c r="L565" s="186" t="s">
        <v>225</v>
      </c>
      <c r="M565" s="186"/>
      <c r="N565" s="198"/>
      <c r="O565" s="186"/>
      <c r="P565" s="197"/>
      <c r="Q565" s="198"/>
      <c r="R565" s="187">
        <f>+'PRODUKSI 1'!AE40+'PRODUKSI 1'!AF40</f>
        <v>48772.11</v>
      </c>
      <c r="S565" s="188"/>
    </row>
    <row r="566" spans="1:19" ht="14.25" customHeight="1">
      <c r="A566" s="170"/>
      <c r="B566" s="186" t="s">
        <v>226</v>
      </c>
      <c r="C566" s="186"/>
      <c r="D566" s="197"/>
      <c r="E566" s="186"/>
      <c r="F566" s="197"/>
      <c r="G566" s="198"/>
      <c r="H566" s="187">
        <f>+'PRODUKSI 1'!AC39+'PRODUKSI 1'!AD39</f>
        <v>146316.33000000002</v>
      </c>
      <c r="I566" s="188"/>
      <c r="J566" s="209"/>
      <c r="K566" s="170"/>
      <c r="L566" s="186" t="s">
        <v>226</v>
      </c>
      <c r="M566" s="186"/>
      <c r="N566" s="198"/>
      <c r="O566" s="186"/>
      <c r="P566" s="197"/>
      <c r="Q566" s="198"/>
      <c r="R566" s="187">
        <f>+'PRODUKSI 1'!AC40+'PRODUKSI 1'!AD40</f>
        <v>146316.33000000002</v>
      </c>
      <c r="S566" s="188"/>
    </row>
    <row r="567" spans="1:19" ht="14.25" customHeight="1">
      <c r="A567" s="170"/>
      <c r="B567" s="186" t="s">
        <v>103</v>
      </c>
      <c r="C567" s="186"/>
      <c r="D567" s="186"/>
      <c r="E567" s="186"/>
      <c r="F567" s="197"/>
      <c r="G567" s="187"/>
      <c r="H567" s="187">
        <f>+H557</f>
        <v>448215.69090000005</v>
      </c>
      <c r="I567" s="188"/>
      <c r="J567" s="209"/>
      <c r="K567" s="170"/>
      <c r="L567" s="186" t="s">
        <v>103</v>
      </c>
      <c r="M567" s="186"/>
      <c r="N567" s="186"/>
      <c r="O567" s="186"/>
      <c r="P567" s="197"/>
      <c r="Q567" s="187"/>
      <c r="R567" s="187">
        <f>+R557</f>
        <v>448215.69090000005</v>
      </c>
      <c r="S567" s="188"/>
    </row>
    <row r="568" spans="1:19" ht="14.25" customHeight="1" thickBot="1">
      <c r="A568" s="170"/>
      <c r="B568" s="190" t="s">
        <v>211</v>
      </c>
      <c r="C568" s="190"/>
      <c r="D568" s="190"/>
      <c r="E568" s="190"/>
      <c r="F568" s="228"/>
      <c r="G568" s="192"/>
      <c r="H568" s="192">
        <f>SUM(H564:H567)</f>
        <v>643304.13089999999</v>
      </c>
      <c r="I568" s="188"/>
      <c r="J568" s="209"/>
      <c r="K568" s="170"/>
      <c r="L568" s="190" t="s">
        <v>211</v>
      </c>
      <c r="M568" s="190"/>
      <c r="N568" s="190"/>
      <c r="O568" s="190"/>
      <c r="P568" s="228"/>
      <c r="Q568" s="192"/>
      <c r="R568" s="192">
        <f>SUM(R564:R567)</f>
        <v>643304.13089999999</v>
      </c>
      <c r="S568" s="188"/>
    </row>
    <row r="569" spans="1:19" ht="15.75" thickBot="1">
      <c r="A569" s="170"/>
      <c r="B569" s="193" t="s">
        <v>220</v>
      </c>
      <c r="C569" s="193"/>
      <c r="D569" s="193"/>
      <c r="E569" s="193"/>
      <c r="F569" s="229"/>
      <c r="G569" s="195"/>
      <c r="H569" s="195">
        <f>SUM(H562-H568)</f>
        <v>4599766.5599999996</v>
      </c>
      <c r="I569" s="188"/>
      <c r="J569" s="209"/>
      <c r="K569" s="170"/>
      <c r="L569" s="193" t="s">
        <v>220</v>
      </c>
      <c r="M569" s="193"/>
      <c r="N569" s="193"/>
      <c r="O569" s="193"/>
      <c r="P569" s="229"/>
      <c r="Q569" s="195"/>
      <c r="R569" s="195">
        <f>SUM(R562-R568)</f>
        <v>4399766.5599999996</v>
      </c>
      <c r="S569" s="188"/>
    </row>
    <row r="570" spans="1:19">
      <c r="A570" s="170"/>
      <c r="B570" s="186" t="s">
        <v>230</v>
      </c>
      <c r="C570" s="186"/>
      <c r="D570" s="186"/>
      <c r="E570" s="186"/>
      <c r="F570" s="197"/>
      <c r="G570" s="187"/>
      <c r="H570" s="187">
        <v>10000</v>
      </c>
      <c r="I570" s="188"/>
      <c r="J570" s="209"/>
      <c r="K570" s="170"/>
      <c r="L570" s="186" t="s">
        <v>230</v>
      </c>
      <c r="M570" s="186"/>
      <c r="N570" s="186"/>
      <c r="O570" s="186"/>
      <c r="P570" s="197"/>
      <c r="Q570" s="187"/>
      <c r="R570" s="187">
        <v>10000</v>
      </c>
      <c r="S570" s="188"/>
    </row>
    <row r="571" spans="1:19" ht="15.75" thickBot="1">
      <c r="A571" s="170"/>
      <c r="B571" s="199"/>
      <c r="C571" s="190"/>
      <c r="D571" s="190"/>
      <c r="E571" s="190"/>
      <c r="F571" s="228"/>
      <c r="G571" s="192"/>
      <c r="H571" s="192"/>
      <c r="I571" s="188"/>
      <c r="J571" s="187"/>
      <c r="K571" s="170"/>
      <c r="L571" s="199"/>
      <c r="M571" s="190"/>
      <c r="N571" s="190"/>
      <c r="O571" s="190"/>
      <c r="P571" s="228"/>
      <c r="Q571" s="192"/>
      <c r="R571" s="192"/>
      <c r="S571" s="188"/>
    </row>
    <row r="572" spans="1:19" ht="15.75" thickBot="1">
      <c r="A572" s="170"/>
      <c r="B572" s="200" t="s">
        <v>212</v>
      </c>
      <c r="C572" s="200"/>
      <c r="D572" s="200"/>
      <c r="E572" s="200"/>
      <c r="F572" s="230"/>
      <c r="G572" s="201"/>
      <c r="H572" s="201">
        <f>+H569-H570</f>
        <v>4589766.5599999996</v>
      </c>
      <c r="I572" s="188"/>
      <c r="J572" s="187"/>
      <c r="K572" s="170"/>
      <c r="L572" s="200" t="s">
        <v>212</v>
      </c>
      <c r="M572" s="200"/>
      <c r="N572" s="200"/>
      <c r="O572" s="200"/>
      <c r="P572" s="230"/>
      <c r="Q572" s="201"/>
      <c r="R572" s="201">
        <f>+R569-R570</f>
        <v>4389766.5599999996</v>
      </c>
      <c r="S572" s="188"/>
    </row>
    <row r="573" spans="1:19" ht="15.75" thickTop="1">
      <c r="A573" s="170"/>
      <c r="B573" s="202" t="s">
        <v>213</v>
      </c>
      <c r="C573" s="186"/>
      <c r="D573" s="186"/>
      <c r="E573" s="186"/>
      <c r="F573" s="197"/>
      <c r="G573" s="296" t="s">
        <v>214</v>
      </c>
      <c r="H573" s="296"/>
      <c r="I573" s="188"/>
      <c r="J573" s="187"/>
      <c r="K573" s="170"/>
      <c r="L573" s="202" t="s">
        <v>213</v>
      </c>
      <c r="M573" s="186"/>
      <c r="N573" s="186"/>
      <c r="O573" s="186"/>
      <c r="P573" s="197"/>
      <c r="Q573" s="296" t="s">
        <v>214</v>
      </c>
      <c r="R573" s="296"/>
      <c r="S573" s="188"/>
    </row>
    <row r="574" spans="1:19" ht="12.75" customHeight="1">
      <c r="A574" s="170"/>
      <c r="B574" s="186"/>
      <c r="C574" s="186"/>
      <c r="D574" s="186"/>
      <c r="E574" s="186"/>
      <c r="F574" s="197"/>
      <c r="G574" s="187"/>
      <c r="H574" s="187"/>
      <c r="I574" s="188"/>
      <c r="J574" s="187"/>
      <c r="K574" s="170"/>
      <c r="L574" s="186"/>
      <c r="M574" s="186"/>
      <c r="N574" s="186"/>
      <c r="O574" s="186"/>
      <c r="P574" s="197"/>
      <c r="Q574" s="187"/>
      <c r="R574" s="187"/>
      <c r="S574" s="188"/>
    </row>
    <row r="575" spans="1:19" ht="12.75" customHeight="1">
      <c r="A575" s="170"/>
      <c r="B575" s="186"/>
      <c r="C575" s="186"/>
      <c r="D575" s="186"/>
      <c r="E575" s="186"/>
      <c r="F575" s="197"/>
      <c r="G575" s="187"/>
      <c r="H575" s="187"/>
      <c r="I575" s="188"/>
      <c r="J575" s="187"/>
      <c r="K575" s="170"/>
      <c r="L575" s="186"/>
      <c r="M575" s="186"/>
      <c r="N575" s="186"/>
      <c r="O575" s="186"/>
      <c r="P575" s="197"/>
      <c r="Q575" s="187"/>
      <c r="R575" s="187"/>
      <c r="S575" s="188"/>
    </row>
    <row r="576" spans="1:19" ht="12.75" customHeight="1">
      <c r="A576" s="170"/>
      <c r="B576" s="203" t="s">
        <v>215</v>
      </c>
      <c r="C576" s="186"/>
      <c r="D576" s="186"/>
      <c r="E576" s="186"/>
      <c r="F576" s="197"/>
      <c r="G576" s="297" t="s">
        <v>216</v>
      </c>
      <c r="H576" s="297"/>
      <c r="I576" s="188"/>
      <c r="J576" s="187"/>
      <c r="K576" s="170"/>
      <c r="L576" s="203" t="s">
        <v>215</v>
      </c>
      <c r="M576" s="186"/>
      <c r="N576" s="186"/>
      <c r="O576" s="186"/>
      <c r="P576" s="197"/>
      <c r="Q576" s="297" t="s">
        <v>216</v>
      </c>
      <c r="R576" s="297"/>
      <c r="S576" s="188"/>
    </row>
    <row r="577" spans="1:19" ht="7.5" customHeight="1">
      <c r="A577" s="204"/>
      <c r="B577" s="205"/>
      <c r="C577" s="206"/>
      <c r="D577" s="206"/>
      <c r="E577" s="206"/>
      <c r="F577" s="231"/>
      <c r="G577" s="207"/>
      <c r="H577" s="205"/>
      <c r="I577" s="208"/>
      <c r="J577" s="187"/>
      <c r="K577" s="204"/>
      <c r="L577" s="205"/>
      <c r="M577" s="206"/>
      <c r="N577" s="206"/>
      <c r="O577" s="206"/>
      <c r="P577" s="231"/>
      <c r="Q577" s="207"/>
      <c r="R577" s="205"/>
      <c r="S577" s="208"/>
    </row>
    <row r="579" spans="1:19">
      <c r="A579" s="166"/>
      <c r="B579" s="167"/>
      <c r="C579" s="167"/>
      <c r="D579" s="167"/>
      <c r="E579" s="167"/>
      <c r="F579" s="223"/>
      <c r="G579" s="167"/>
      <c r="H579" s="167"/>
      <c r="I579" s="168"/>
      <c r="J579" s="169"/>
      <c r="K579" s="166"/>
      <c r="L579" s="167"/>
      <c r="M579" s="167"/>
      <c r="N579" s="167"/>
      <c r="O579" s="167"/>
      <c r="P579" s="223"/>
      <c r="Q579" s="167"/>
      <c r="R579" s="167"/>
      <c r="S579" s="168"/>
    </row>
    <row r="580" spans="1:19">
      <c r="A580" s="170"/>
      <c r="B580" s="169"/>
      <c r="C580" s="169"/>
      <c r="D580" s="169"/>
      <c r="E580" s="169"/>
      <c r="F580" s="224"/>
      <c r="G580" s="169"/>
      <c r="H580" s="169"/>
      <c r="I580" s="171"/>
      <c r="J580" s="169"/>
      <c r="K580" s="170"/>
      <c r="L580" s="169"/>
      <c r="M580" s="169"/>
      <c r="N580" s="169"/>
      <c r="O580" s="169"/>
      <c r="P580" s="224"/>
      <c r="Q580" s="169"/>
      <c r="R580" s="169"/>
      <c r="S580" s="171"/>
    </row>
    <row r="581" spans="1:19">
      <c r="A581" s="170"/>
      <c r="B581" s="169"/>
      <c r="C581" s="169"/>
      <c r="D581" s="169"/>
      <c r="E581" s="169"/>
      <c r="F581" s="224"/>
      <c r="G581" s="169"/>
      <c r="H581" s="169"/>
      <c r="I581" s="171"/>
      <c r="J581" s="169"/>
      <c r="K581" s="170"/>
      <c r="L581" s="169"/>
      <c r="M581" s="169"/>
      <c r="N581" s="169"/>
      <c r="O581" s="169"/>
      <c r="P581" s="224"/>
      <c r="Q581" s="169"/>
      <c r="R581" s="169"/>
      <c r="S581" s="171"/>
    </row>
    <row r="582" spans="1:19">
      <c r="A582" s="170"/>
      <c r="B582" s="294" t="s">
        <v>196</v>
      </c>
      <c r="C582" s="294"/>
      <c r="D582" s="294"/>
      <c r="E582" s="294"/>
      <c r="F582" s="294"/>
      <c r="G582" s="294"/>
      <c r="H582" s="294"/>
      <c r="I582" s="295"/>
      <c r="J582" s="169"/>
      <c r="K582" s="170"/>
      <c r="L582" s="294" t="s">
        <v>196</v>
      </c>
      <c r="M582" s="294"/>
      <c r="N582" s="294"/>
      <c r="O582" s="294"/>
      <c r="P582" s="294"/>
      <c r="Q582" s="294"/>
      <c r="R582" s="294"/>
      <c r="S582" s="295"/>
    </row>
    <row r="583" spans="1:19">
      <c r="A583" s="172"/>
      <c r="B583" s="173" t="s">
        <v>197</v>
      </c>
      <c r="C583" s="174" t="s">
        <v>198</v>
      </c>
      <c r="D583" s="211">
        <v>33</v>
      </c>
      <c r="E583" s="173"/>
      <c r="F583" s="225"/>
      <c r="G583" s="173"/>
      <c r="H583" s="173"/>
      <c r="I583" s="176"/>
      <c r="J583" s="173"/>
      <c r="K583" s="172"/>
      <c r="L583" s="173" t="s">
        <v>197</v>
      </c>
      <c r="M583" s="174" t="s">
        <v>198</v>
      </c>
      <c r="N583" s="211">
        <v>34</v>
      </c>
      <c r="O583" s="175"/>
      <c r="P583" s="225"/>
      <c r="Q583" s="173"/>
      <c r="R583" s="173"/>
      <c r="S583" s="176"/>
    </row>
    <row r="584" spans="1:19">
      <c r="A584" s="172"/>
      <c r="B584" s="173" t="s">
        <v>199</v>
      </c>
      <c r="C584" s="174" t="s">
        <v>198</v>
      </c>
      <c r="D584" s="177" t="s">
        <v>229</v>
      </c>
      <c r="E584" s="173"/>
      <c r="F584" s="225"/>
      <c r="G584" s="173"/>
      <c r="H584" s="173"/>
      <c r="I584" s="176"/>
      <c r="J584" s="173"/>
      <c r="K584" s="172"/>
      <c r="L584" s="173" t="s">
        <v>199</v>
      </c>
      <c r="M584" s="174" t="s">
        <v>198</v>
      </c>
      <c r="N584" s="177" t="s">
        <v>229</v>
      </c>
      <c r="O584" s="179"/>
      <c r="P584" s="225"/>
      <c r="Q584" s="173"/>
      <c r="R584" s="173"/>
      <c r="S584" s="176"/>
    </row>
    <row r="585" spans="1:19">
      <c r="A585" s="172"/>
      <c r="B585" s="173" t="s">
        <v>200</v>
      </c>
      <c r="C585" s="174" t="s">
        <v>198</v>
      </c>
      <c r="D585" s="177" t="str">
        <f>+'PRODUKSI 1'!B41</f>
        <v>MUHAMAD ZAKARIA TRI PRATAMA</v>
      </c>
      <c r="E585" s="173"/>
      <c r="F585" s="225"/>
      <c r="G585" s="173"/>
      <c r="H585" s="173"/>
      <c r="I585" s="176"/>
      <c r="J585" s="173"/>
      <c r="K585" s="172"/>
      <c r="L585" s="173" t="s">
        <v>200</v>
      </c>
      <c r="M585" s="174" t="s">
        <v>198</v>
      </c>
      <c r="N585" s="178" t="str">
        <f>+'PRODUKSI 1'!B42</f>
        <v>ABDUL ROCHMAN RAFLI</v>
      </c>
      <c r="O585" s="173"/>
      <c r="P585" s="225"/>
      <c r="Q585" s="173"/>
      <c r="R585" s="173"/>
      <c r="S585" s="176"/>
    </row>
    <row r="586" spans="1:19" ht="15.75" thickBot="1">
      <c r="A586" s="172"/>
      <c r="B586" s="173" t="s">
        <v>201</v>
      </c>
      <c r="C586" s="174" t="s">
        <v>198</v>
      </c>
      <c r="D586" s="177" t="str">
        <f>+'PRODUKSI 1'!C41</f>
        <v>PRINTER 2</v>
      </c>
      <c r="E586" s="173"/>
      <c r="F586" s="225"/>
      <c r="G586" s="173"/>
      <c r="H586" s="173"/>
      <c r="I586" s="176"/>
      <c r="J586" s="173"/>
      <c r="K586" s="172"/>
      <c r="L586" s="173" t="s">
        <v>201</v>
      </c>
      <c r="M586" s="174" t="s">
        <v>198</v>
      </c>
      <c r="N586" s="178" t="str">
        <f>+'PRODUKSI 1'!C42</f>
        <v>SLITER</v>
      </c>
      <c r="O586" s="179"/>
      <c r="P586" s="225"/>
      <c r="Q586" s="173"/>
      <c r="R586" s="173"/>
      <c r="S586" s="176"/>
    </row>
    <row r="587" spans="1:19" ht="10.5" customHeight="1" thickTop="1">
      <c r="A587" s="170"/>
      <c r="B587" s="182"/>
      <c r="C587" s="182"/>
      <c r="D587" s="182"/>
      <c r="E587" s="182"/>
      <c r="F587" s="226"/>
      <c r="G587" s="182"/>
      <c r="H587" s="182"/>
      <c r="I587" s="183"/>
      <c r="J587" s="169"/>
      <c r="K587" s="170"/>
      <c r="L587" s="182"/>
      <c r="M587" s="182"/>
      <c r="N587" s="182"/>
      <c r="O587" s="182"/>
      <c r="P587" s="226"/>
      <c r="Q587" s="182"/>
      <c r="R587" s="182"/>
      <c r="S587" s="183"/>
    </row>
    <row r="588" spans="1:19">
      <c r="A588" s="170"/>
      <c r="B588" s="184" t="s">
        <v>202</v>
      </c>
      <c r="C588" s="185"/>
      <c r="D588" s="185"/>
      <c r="E588" s="185"/>
      <c r="F588" s="227"/>
      <c r="G588" s="185"/>
      <c r="H588" s="185"/>
      <c r="I588" s="183"/>
      <c r="J588" s="169"/>
      <c r="K588" s="170"/>
      <c r="L588" s="184" t="s">
        <v>202</v>
      </c>
      <c r="M588" s="184"/>
      <c r="N588" s="185"/>
      <c r="O588" s="185"/>
      <c r="P588" s="227"/>
      <c r="Q588" s="185"/>
      <c r="R588" s="185"/>
      <c r="S588" s="183"/>
    </row>
    <row r="589" spans="1:19" ht="14.25" customHeight="1">
      <c r="A589" s="170"/>
      <c r="B589" s="186" t="s">
        <v>111</v>
      </c>
      <c r="C589" s="186"/>
      <c r="D589" s="187"/>
      <c r="E589" s="186"/>
      <c r="F589" s="197"/>
      <c r="G589" s="187"/>
      <c r="H589" s="187">
        <f>+'PRODUKSI 1'!H41</f>
        <v>4494855</v>
      </c>
      <c r="I589" s="188"/>
      <c r="J589" s="187"/>
      <c r="K589" s="170"/>
      <c r="L589" s="186" t="s">
        <v>111</v>
      </c>
      <c r="M589" s="186"/>
      <c r="N589" s="187"/>
      <c r="O589" s="186"/>
      <c r="P589" s="197"/>
      <c r="Q589" s="187"/>
      <c r="R589" s="187">
        <f>+'PRODUKSI 1'!H42</f>
        <v>4494855</v>
      </c>
      <c r="S589" s="188"/>
    </row>
    <row r="590" spans="1:19" ht="14.25" customHeight="1">
      <c r="A590" s="170"/>
      <c r="B590" s="186" t="s">
        <v>203</v>
      </c>
      <c r="C590" s="186"/>
      <c r="D590" s="186"/>
      <c r="E590" s="186"/>
      <c r="F590" s="197"/>
      <c r="G590" s="187"/>
      <c r="H590" s="187">
        <f>+'PRODUKSI 1'!I41</f>
        <v>0</v>
      </c>
      <c r="I590" s="188"/>
      <c r="J590" s="209"/>
      <c r="K590" s="170"/>
      <c r="L590" s="186" t="s">
        <v>203</v>
      </c>
      <c r="M590" s="186"/>
      <c r="N590" s="186"/>
      <c r="O590" s="186"/>
      <c r="P590" s="197"/>
      <c r="Q590" s="187"/>
      <c r="R590" s="187">
        <f>+'PRODUKSI 1'!I42</f>
        <v>0</v>
      </c>
      <c r="S590" s="188"/>
    </row>
    <row r="591" spans="1:19" ht="14.25" customHeight="1">
      <c r="A591" s="170"/>
      <c r="B591" s="186" t="s">
        <v>227</v>
      </c>
      <c r="C591" s="186"/>
      <c r="D591" s="186"/>
      <c r="E591" s="186"/>
      <c r="F591" s="197"/>
      <c r="G591" s="187"/>
      <c r="H591" s="187">
        <f>+'PRODUKSI 1'!J41</f>
        <v>0</v>
      </c>
      <c r="I591" s="188"/>
      <c r="J591" s="209"/>
      <c r="K591" s="170"/>
      <c r="L591" s="186" t="s">
        <v>227</v>
      </c>
      <c r="M591" s="186"/>
      <c r="N591" s="186"/>
      <c r="O591" s="186"/>
      <c r="P591" s="197"/>
      <c r="Q591" s="187"/>
      <c r="R591" s="187">
        <f>+'PRODUKSI 1'!J42</f>
        <v>0</v>
      </c>
      <c r="S591" s="188"/>
    </row>
    <row r="592" spans="1:19" ht="14.25" customHeight="1">
      <c r="A592" s="170"/>
      <c r="B592" s="186" t="s">
        <v>228</v>
      </c>
      <c r="C592" s="186"/>
      <c r="D592" s="186"/>
      <c r="E592" s="186"/>
      <c r="F592" s="197"/>
      <c r="G592" s="187"/>
      <c r="H592" s="187">
        <f>+'PRODUKSI 1'!K41</f>
        <v>0</v>
      </c>
      <c r="I592" s="188"/>
      <c r="J592" s="209"/>
      <c r="K592" s="170"/>
      <c r="L592" s="186" t="s">
        <v>228</v>
      </c>
      <c r="M592" s="186"/>
      <c r="N592" s="186"/>
      <c r="O592" s="186"/>
      <c r="P592" s="197"/>
      <c r="Q592" s="187"/>
      <c r="R592" s="187">
        <f>+'PRODUKSI 1'!K42</f>
        <v>0</v>
      </c>
      <c r="S592" s="188"/>
    </row>
    <row r="593" spans="1:19" ht="14.25" customHeight="1">
      <c r="A593" s="170"/>
      <c r="B593" s="186" t="s">
        <v>224</v>
      </c>
      <c r="C593" s="186"/>
      <c r="D593" s="186"/>
      <c r="E593" s="186"/>
      <c r="F593" s="197"/>
      <c r="G593" s="187"/>
      <c r="H593" s="187">
        <f>+'PRODUKSI 1'!AA41</f>
        <v>448215.69090000005</v>
      </c>
      <c r="I593" s="188"/>
      <c r="J593" s="209"/>
      <c r="K593" s="170"/>
      <c r="L593" s="186" t="s">
        <v>224</v>
      </c>
      <c r="M593" s="186"/>
      <c r="N593" s="186"/>
      <c r="O593" s="186"/>
      <c r="P593" s="197"/>
      <c r="Q593" s="187"/>
      <c r="R593" s="187">
        <f>+'PRODUKSI 1'!AA42</f>
        <v>448215.69090000005</v>
      </c>
      <c r="S593" s="188"/>
    </row>
    <row r="594" spans="1:19" ht="14.25" customHeight="1">
      <c r="A594" s="170"/>
      <c r="B594" s="186" t="s">
        <v>195</v>
      </c>
      <c r="C594" s="186"/>
      <c r="D594" s="187"/>
      <c r="E594" s="186"/>
      <c r="F594" s="197"/>
      <c r="G594" s="187"/>
      <c r="H594" s="187">
        <f>+'PRODUKSI 1'!S41</f>
        <v>88000</v>
      </c>
      <c r="I594" s="188"/>
      <c r="J594" s="187"/>
      <c r="K594" s="170"/>
      <c r="L594" s="186" t="s">
        <v>195</v>
      </c>
      <c r="M594" s="186"/>
      <c r="N594" s="187"/>
      <c r="O594" s="186"/>
      <c r="P594" s="197"/>
      <c r="Q594" s="187"/>
      <c r="R594" s="187">
        <f>+'PRODUKSI 1'!S42</f>
        <v>100000</v>
      </c>
      <c r="S594" s="188"/>
    </row>
    <row r="595" spans="1:19" ht="14.25" customHeight="1">
      <c r="A595" s="170"/>
      <c r="B595" s="220" t="s">
        <v>233</v>
      </c>
      <c r="C595" s="186"/>
      <c r="D595" s="187"/>
      <c r="E595" s="186"/>
      <c r="F595" s="197"/>
      <c r="G595" s="187"/>
      <c r="H595" s="187"/>
      <c r="I595" s="188"/>
      <c r="J595" s="209"/>
      <c r="K595" s="170"/>
      <c r="L595" s="220" t="s">
        <v>233</v>
      </c>
      <c r="M595" s="186"/>
      <c r="N595" s="187"/>
      <c r="O595" s="186"/>
      <c r="P595" s="197"/>
      <c r="Q595" s="187"/>
      <c r="R595" s="187"/>
      <c r="S595" s="188"/>
    </row>
    <row r="596" spans="1:19" ht="14.25" customHeight="1">
      <c r="A596" s="170"/>
      <c r="B596" s="186" t="s">
        <v>206</v>
      </c>
      <c r="C596" s="186"/>
      <c r="D596" s="212">
        <v>0</v>
      </c>
      <c r="E596" s="186" t="s">
        <v>207</v>
      </c>
      <c r="F596" s="197" t="s">
        <v>205</v>
      </c>
      <c r="G596" s="187">
        <v>23768</v>
      </c>
      <c r="H596" s="187">
        <v>0</v>
      </c>
      <c r="I596" s="188"/>
      <c r="J596" s="187"/>
      <c r="K596" s="170"/>
      <c r="L596" s="186" t="s">
        <v>206</v>
      </c>
      <c r="M596" s="186"/>
      <c r="N596" s="212">
        <v>0</v>
      </c>
      <c r="O596" s="186" t="s">
        <v>207</v>
      </c>
      <c r="P596" s="197" t="s">
        <v>205</v>
      </c>
      <c r="Q596" s="187">
        <v>23768</v>
      </c>
      <c r="R596" s="187">
        <v>0</v>
      </c>
      <c r="S596" s="188"/>
    </row>
    <row r="597" spans="1:19" ht="14.25" customHeight="1" thickBot="1">
      <c r="A597" s="170"/>
      <c r="B597" s="190" t="s">
        <v>208</v>
      </c>
      <c r="C597" s="190"/>
      <c r="D597" s="213">
        <v>0</v>
      </c>
      <c r="E597" s="190" t="s">
        <v>207</v>
      </c>
      <c r="F597" s="228" t="s">
        <v>205</v>
      </c>
      <c r="G597" s="192">
        <f>G596</f>
        <v>23768</v>
      </c>
      <c r="H597" s="192">
        <f>G597*D597</f>
        <v>0</v>
      </c>
      <c r="I597" s="188"/>
      <c r="J597" s="187"/>
      <c r="K597" s="170"/>
      <c r="L597" s="190" t="s">
        <v>208</v>
      </c>
      <c r="M597" s="190"/>
      <c r="N597" s="213">
        <v>10</v>
      </c>
      <c r="O597" s="190" t="s">
        <v>207</v>
      </c>
      <c r="P597" s="228" t="s">
        <v>205</v>
      </c>
      <c r="Q597" s="192">
        <f>Q596</f>
        <v>23768</v>
      </c>
      <c r="R597" s="192">
        <f>Q597*N597</f>
        <v>237680</v>
      </c>
      <c r="S597" s="188"/>
    </row>
    <row r="598" spans="1:19" ht="15.75" thickBot="1">
      <c r="A598" s="170"/>
      <c r="B598" s="190" t="s">
        <v>219</v>
      </c>
      <c r="C598" s="190"/>
      <c r="D598" s="213">
        <f>SUM(D596:D597)</f>
        <v>0</v>
      </c>
      <c r="E598" s="190"/>
      <c r="F598" s="228"/>
      <c r="G598" s="192"/>
      <c r="H598" s="192">
        <f>SUM(H589:H597)</f>
        <v>5031070.6908999998</v>
      </c>
      <c r="I598" s="188"/>
      <c r="J598" s="187"/>
      <c r="K598" s="170"/>
      <c r="L598" s="190" t="s">
        <v>219</v>
      </c>
      <c r="M598" s="190"/>
      <c r="N598" s="213">
        <f>SUM(N596:N597)</f>
        <v>10</v>
      </c>
      <c r="O598" s="190"/>
      <c r="P598" s="228"/>
      <c r="Q598" s="192"/>
      <c r="R598" s="192">
        <f>SUM(R589:R597)</f>
        <v>5280750.6908999998</v>
      </c>
      <c r="S598" s="188"/>
    </row>
    <row r="599" spans="1:19">
      <c r="A599" s="170"/>
      <c r="B599" s="196" t="s">
        <v>113</v>
      </c>
      <c r="C599" s="186"/>
      <c r="D599" s="186"/>
      <c r="E599" s="186"/>
      <c r="F599" s="197"/>
      <c r="G599" s="187"/>
      <c r="H599" s="187"/>
      <c r="I599" s="188"/>
      <c r="J599" s="209"/>
      <c r="K599" s="170"/>
      <c r="L599" s="196" t="s">
        <v>113</v>
      </c>
      <c r="M599" s="186"/>
      <c r="N599" s="186"/>
      <c r="O599" s="186"/>
      <c r="P599" s="197"/>
      <c r="Q599" s="187"/>
      <c r="R599" s="187"/>
      <c r="S599" s="188"/>
    </row>
    <row r="600" spans="1:19" ht="14.25" customHeight="1">
      <c r="A600" s="170"/>
      <c r="B600" s="186" t="s">
        <v>209</v>
      </c>
      <c r="C600" s="186"/>
      <c r="D600" s="197"/>
      <c r="E600" s="186"/>
      <c r="F600" s="197"/>
      <c r="G600" s="198" t="str">
        <f>+'PRODUKSI 1'!D41</f>
        <v>TK</v>
      </c>
      <c r="H600" s="187">
        <f>+'PRODUKSI 1'!AH41</f>
        <v>0</v>
      </c>
      <c r="I600" s="188"/>
      <c r="J600" s="209"/>
      <c r="K600" s="170"/>
      <c r="L600" s="186" t="s">
        <v>209</v>
      </c>
      <c r="M600" s="186"/>
      <c r="N600" s="198"/>
      <c r="O600" s="186"/>
      <c r="P600" s="197"/>
      <c r="Q600" s="198" t="str">
        <f>+'PRODUKSI 1'!D42</f>
        <v>TK</v>
      </c>
      <c r="R600" s="187">
        <f>+'PRODUKSI 1'!AH42</f>
        <v>0</v>
      </c>
      <c r="S600" s="188"/>
    </row>
    <row r="601" spans="1:19" ht="14.25" customHeight="1">
      <c r="A601" s="170"/>
      <c r="B601" s="186" t="s">
        <v>225</v>
      </c>
      <c r="C601" s="186"/>
      <c r="D601" s="197"/>
      <c r="E601" s="186"/>
      <c r="F601" s="197"/>
      <c r="G601" s="198"/>
      <c r="H601" s="187">
        <f>+'PRODUKSI 1'!AE41+'PRODUKSI 1'!AF41</f>
        <v>97544.11</v>
      </c>
      <c r="I601" s="188"/>
      <c r="J601" s="209"/>
      <c r="K601" s="170"/>
      <c r="L601" s="186" t="s">
        <v>225</v>
      </c>
      <c r="M601" s="186"/>
      <c r="N601" s="198"/>
      <c r="O601" s="186"/>
      <c r="P601" s="197"/>
      <c r="Q601" s="198"/>
      <c r="R601" s="187">
        <f>+'PRODUKSI 1'!AE42+'PRODUKSI 1'!AF42</f>
        <v>97544.11</v>
      </c>
      <c r="S601" s="188"/>
    </row>
    <row r="602" spans="1:19" ht="14.25" customHeight="1">
      <c r="A602" s="170"/>
      <c r="B602" s="186" t="s">
        <v>226</v>
      </c>
      <c r="C602" s="186"/>
      <c r="D602" s="197"/>
      <c r="E602" s="186"/>
      <c r="F602" s="197"/>
      <c r="G602" s="198"/>
      <c r="H602" s="187">
        <f>+'PRODUKSI 1'!AC41+'PRODUKSI 1'!AD41</f>
        <v>146316.33000000002</v>
      </c>
      <c r="I602" s="188"/>
      <c r="J602" s="209"/>
      <c r="K602" s="170"/>
      <c r="L602" s="186" t="s">
        <v>226</v>
      </c>
      <c r="M602" s="186"/>
      <c r="N602" s="198"/>
      <c r="O602" s="186"/>
      <c r="P602" s="197"/>
      <c r="Q602" s="198"/>
      <c r="R602" s="187">
        <f>+'PRODUKSI 1'!AC42+'PRODUKSI 1'!AD42</f>
        <v>146316.33000000002</v>
      </c>
      <c r="S602" s="188"/>
    </row>
    <row r="603" spans="1:19" ht="14.25" customHeight="1">
      <c r="A603" s="170"/>
      <c r="B603" s="186" t="s">
        <v>103</v>
      </c>
      <c r="C603" s="186"/>
      <c r="D603" s="186"/>
      <c r="E603" s="186"/>
      <c r="F603" s="197"/>
      <c r="G603" s="187"/>
      <c r="H603" s="187">
        <f>+H593</f>
        <v>448215.69090000005</v>
      </c>
      <c r="I603" s="188"/>
      <c r="J603" s="209"/>
      <c r="K603" s="170"/>
      <c r="L603" s="186" t="s">
        <v>103</v>
      </c>
      <c r="M603" s="186"/>
      <c r="N603" s="186"/>
      <c r="O603" s="186"/>
      <c r="P603" s="197"/>
      <c r="Q603" s="187"/>
      <c r="R603" s="187">
        <f>+R593</f>
        <v>448215.69090000005</v>
      </c>
      <c r="S603" s="188"/>
    </row>
    <row r="604" spans="1:19" ht="14.25" customHeight="1" thickBot="1">
      <c r="A604" s="170"/>
      <c r="B604" s="190" t="s">
        <v>211</v>
      </c>
      <c r="C604" s="190"/>
      <c r="D604" s="190"/>
      <c r="E604" s="190"/>
      <c r="F604" s="228"/>
      <c r="G604" s="192"/>
      <c r="H604" s="192">
        <f>SUM(H600:H603)</f>
        <v>692076.13089999999</v>
      </c>
      <c r="I604" s="188"/>
      <c r="J604" s="209"/>
      <c r="K604" s="170"/>
      <c r="L604" s="190" t="s">
        <v>211</v>
      </c>
      <c r="M604" s="190"/>
      <c r="N604" s="190"/>
      <c r="O604" s="190"/>
      <c r="P604" s="228"/>
      <c r="Q604" s="192"/>
      <c r="R604" s="192">
        <f>SUM(R600:R603)</f>
        <v>692076.13089999999</v>
      </c>
      <c r="S604" s="188"/>
    </row>
    <row r="605" spans="1:19" ht="15.75" thickBot="1">
      <c r="A605" s="170"/>
      <c r="B605" s="193" t="s">
        <v>220</v>
      </c>
      <c r="C605" s="193"/>
      <c r="D605" s="193"/>
      <c r="E605" s="193"/>
      <c r="F605" s="229"/>
      <c r="G605" s="195"/>
      <c r="H605" s="195">
        <f>SUM(H598-H604)</f>
        <v>4338994.5599999996</v>
      </c>
      <c r="I605" s="188"/>
      <c r="J605" s="209"/>
      <c r="K605" s="170"/>
      <c r="L605" s="193" t="s">
        <v>220</v>
      </c>
      <c r="M605" s="193"/>
      <c r="N605" s="193"/>
      <c r="O605" s="193"/>
      <c r="P605" s="229"/>
      <c r="Q605" s="195"/>
      <c r="R605" s="195">
        <f>SUM(R598-R604)</f>
        <v>4588674.5599999996</v>
      </c>
      <c r="S605" s="188"/>
    </row>
    <row r="606" spans="1:19">
      <c r="A606" s="170"/>
      <c r="B606" s="186" t="s">
        <v>231</v>
      </c>
      <c r="C606" s="186"/>
      <c r="D606" s="186"/>
      <c r="E606" s="186"/>
      <c r="F606" s="197"/>
      <c r="G606" s="187"/>
      <c r="H606" s="187">
        <v>10000</v>
      </c>
      <c r="I606" s="188"/>
      <c r="J606" s="209"/>
      <c r="K606" s="170"/>
      <c r="L606" s="186" t="s">
        <v>231</v>
      </c>
      <c r="M606" s="186"/>
      <c r="N606" s="186"/>
      <c r="O606" s="186"/>
      <c r="P606" s="197"/>
      <c r="Q606" s="187"/>
      <c r="R606" s="187">
        <v>10000</v>
      </c>
      <c r="S606" s="188"/>
    </row>
    <row r="607" spans="1:19" ht="15.75" thickBot="1">
      <c r="A607" s="170"/>
      <c r="B607" s="199"/>
      <c r="C607" s="190"/>
      <c r="D607" s="190"/>
      <c r="E607" s="190"/>
      <c r="F607" s="228"/>
      <c r="G607" s="192"/>
      <c r="H607" s="192"/>
      <c r="I607" s="188"/>
      <c r="J607" s="187"/>
      <c r="K607" s="170"/>
      <c r="L607" s="199"/>
      <c r="M607" s="190"/>
      <c r="N607" s="190"/>
      <c r="O607" s="190"/>
      <c r="P607" s="228"/>
      <c r="Q607" s="192"/>
      <c r="R607" s="192"/>
      <c r="S607" s="188"/>
    </row>
    <row r="608" spans="1:19" ht="15.75" thickBot="1">
      <c r="A608" s="170"/>
      <c r="B608" s="200" t="s">
        <v>212</v>
      </c>
      <c r="C608" s="200"/>
      <c r="D608" s="200"/>
      <c r="E608" s="200"/>
      <c r="F608" s="230"/>
      <c r="G608" s="201"/>
      <c r="H608" s="201">
        <f>+H605-H606</f>
        <v>4328994.5599999996</v>
      </c>
      <c r="I608" s="188"/>
      <c r="J608" s="187"/>
      <c r="K608" s="170"/>
      <c r="L608" s="200" t="s">
        <v>212</v>
      </c>
      <c r="M608" s="200"/>
      <c r="N608" s="200"/>
      <c r="O608" s="200"/>
      <c r="P608" s="230"/>
      <c r="Q608" s="201"/>
      <c r="R608" s="201">
        <f>+R605-R606</f>
        <v>4578674.5599999996</v>
      </c>
      <c r="S608" s="188"/>
    </row>
    <row r="609" spans="1:19" ht="15.75" thickTop="1">
      <c r="A609" s="170"/>
      <c r="B609" s="202" t="s">
        <v>213</v>
      </c>
      <c r="C609" s="186"/>
      <c r="D609" s="186"/>
      <c r="E609" s="186"/>
      <c r="F609" s="197"/>
      <c r="G609" s="296" t="s">
        <v>214</v>
      </c>
      <c r="H609" s="296"/>
      <c r="I609" s="188"/>
      <c r="J609" s="187"/>
      <c r="K609" s="170"/>
      <c r="L609" s="202" t="s">
        <v>213</v>
      </c>
      <c r="M609" s="186"/>
      <c r="N609" s="186"/>
      <c r="O609" s="186"/>
      <c r="P609" s="197"/>
      <c r="Q609" s="296" t="s">
        <v>214</v>
      </c>
      <c r="R609" s="296"/>
      <c r="S609" s="188"/>
    </row>
    <row r="610" spans="1:19" ht="12.75" customHeight="1">
      <c r="A610" s="170"/>
      <c r="B610" s="186"/>
      <c r="C610" s="186"/>
      <c r="D610" s="186"/>
      <c r="E610" s="186"/>
      <c r="F610" s="197"/>
      <c r="G610" s="187"/>
      <c r="H610" s="187"/>
      <c r="I610" s="188"/>
      <c r="J610" s="187"/>
      <c r="K610" s="170"/>
      <c r="L610" s="186"/>
      <c r="M610" s="186"/>
      <c r="N610" s="186"/>
      <c r="O610" s="186"/>
      <c r="P610" s="197"/>
      <c r="Q610" s="187"/>
      <c r="R610" s="187"/>
      <c r="S610" s="188"/>
    </row>
    <row r="611" spans="1:19" ht="12.75" customHeight="1">
      <c r="A611" s="170"/>
      <c r="B611" s="186"/>
      <c r="C611" s="186"/>
      <c r="D611" s="186"/>
      <c r="E611" s="186"/>
      <c r="F611" s="197"/>
      <c r="G611" s="187"/>
      <c r="H611" s="187"/>
      <c r="I611" s="188"/>
      <c r="J611" s="187"/>
      <c r="K611" s="170"/>
      <c r="L611" s="186"/>
      <c r="M611" s="186"/>
      <c r="N611" s="186"/>
      <c r="O611" s="186"/>
      <c r="P611" s="197"/>
      <c r="Q611" s="187"/>
      <c r="R611" s="187"/>
      <c r="S611" s="188"/>
    </row>
    <row r="612" spans="1:19" ht="12.75" customHeight="1">
      <c r="A612" s="170"/>
      <c r="B612" s="203" t="s">
        <v>215</v>
      </c>
      <c r="C612" s="186"/>
      <c r="D612" s="186"/>
      <c r="E612" s="186"/>
      <c r="F612" s="197"/>
      <c r="G612" s="297" t="s">
        <v>216</v>
      </c>
      <c r="H612" s="297"/>
      <c r="I612" s="188"/>
      <c r="J612" s="187"/>
      <c r="K612" s="170"/>
      <c r="L612" s="203" t="s">
        <v>215</v>
      </c>
      <c r="M612" s="186"/>
      <c r="N612" s="186"/>
      <c r="O612" s="186"/>
      <c r="P612" s="197"/>
      <c r="Q612" s="297" t="s">
        <v>216</v>
      </c>
      <c r="R612" s="297"/>
      <c r="S612" s="188"/>
    </row>
    <row r="613" spans="1:19" ht="7.5" customHeight="1">
      <c r="A613" s="204"/>
      <c r="B613" s="205"/>
      <c r="C613" s="206"/>
      <c r="D613" s="206"/>
      <c r="E613" s="206"/>
      <c r="F613" s="231"/>
      <c r="G613" s="207"/>
      <c r="H613" s="205"/>
      <c r="I613" s="208"/>
      <c r="J613" s="187"/>
      <c r="K613" s="204"/>
      <c r="L613" s="205"/>
      <c r="M613" s="206"/>
      <c r="N613" s="206"/>
      <c r="O613" s="206"/>
      <c r="P613" s="231"/>
      <c r="Q613" s="207"/>
      <c r="R613" s="205"/>
      <c r="S613" s="208"/>
    </row>
    <row r="614" spans="1:19">
      <c r="K614"/>
      <c r="L614"/>
      <c r="M614"/>
      <c r="N614"/>
      <c r="O614"/>
      <c r="P614" s="219"/>
      <c r="Q614"/>
      <c r="R614"/>
      <c r="S614"/>
    </row>
    <row r="615" spans="1:19">
      <c r="A615" s="166"/>
      <c r="B615" s="167"/>
      <c r="C615" s="167"/>
      <c r="D615" s="167"/>
      <c r="E615" s="167"/>
      <c r="F615" s="223"/>
      <c r="G615" s="167"/>
      <c r="H615" s="167"/>
      <c r="I615" s="168"/>
      <c r="J615" s="169"/>
      <c r="K615"/>
      <c r="L615"/>
      <c r="M615"/>
      <c r="N615"/>
      <c r="O615"/>
      <c r="P615" s="219"/>
      <c r="Q615"/>
      <c r="R615"/>
      <c r="S615"/>
    </row>
    <row r="616" spans="1:19">
      <c r="A616" s="170"/>
      <c r="B616" s="169"/>
      <c r="C616" s="169"/>
      <c r="D616" s="169"/>
      <c r="E616" s="169"/>
      <c r="F616" s="224"/>
      <c r="G616" s="169"/>
      <c r="H616" s="169"/>
      <c r="I616" s="171"/>
      <c r="J616" s="169"/>
      <c r="K616"/>
      <c r="L616"/>
      <c r="M616"/>
      <c r="N616"/>
      <c r="O616"/>
      <c r="P616" s="219"/>
      <c r="Q616"/>
      <c r="R616"/>
      <c r="S616"/>
    </row>
    <row r="617" spans="1:19">
      <c r="A617" s="170"/>
      <c r="B617" s="169"/>
      <c r="C617" s="169"/>
      <c r="D617" s="169"/>
      <c r="E617" s="169"/>
      <c r="F617" s="224"/>
      <c r="G617" s="169"/>
      <c r="H617" s="169"/>
      <c r="I617" s="171"/>
      <c r="J617" s="169"/>
      <c r="K617"/>
      <c r="L617"/>
      <c r="M617"/>
      <c r="N617"/>
      <c r="O617"/>
      <c r="P617" s="219"/>
      <c r="Q617"/>
      <c r="R617"/>
      <c r="S617"/>
    </row>
    <row r="618" spans="1:19">
      <c r="A618" s="170"/>
      <c r="B618" s="294" t="s">
        <v>196</v>
      </c>
      <c r="C618" s="294"/>
      <c r="D618" s="294"/>
      <c r="E618" s="294"/>
      <c r="F618" s="294"/>
      <c r="G618" s="294"/>
      <c r="H618" s="294"/>
      <c r="I618" s="295"/>
      <c r="J618" s="169"/>
      <c r="K618"/>
      <c r="L618"/>
      <c r="M618"/>
      <c r="N618"/>
      <c r="O618"/>
      <c r="P618" s="219"/>
      <c r="Q618"/>
      <c r="R618"/>
      <c r="S618"/>
    </row>
    <row r="619" spans="1:19">
      <c r="A619" s="172"/>
      <c r="B619" s="173" t="s">
        <v>197</v>
      </c>
      <c r="C619" s="174" t="s">
        <v>198</v>
      </c>
      <c r="D619" s="211">
        <v>35</v>
      </c>
      <c r="E619" s="173"/>
      <c r="F619" s="225"/>
      <c r="G619" s="173"/>
      <c r="H619" s="173"/>
      <c r="I619" s="176"/>
      <c r="J619" s="173"/>
      <c r="K619"/>
      <c r="L619"/>
      <c r="M619"/>
      <c r="N619"/>
      <c r="O619"/>
      <c r="P619" s="219"/>
      <c r="Q619"/>
      <c r="R619"/>
      <c r="S619"/>
    </row>
    <row r="620" spans="1:19">
      <c r="A620" s="172"/>
      <c r="B620" s="173" t="s">
        <v>199</v>
      </c>
      <c r="C620" s="174" t="s">
        <v>198</v>
      </c>
      <c r="D620" s="177" t="s">
        <v>229</v>
      </c>
      <c r="E620" s="173"/>
      <c r="F620" s="225"/>
      <c r="G620" s="173"/>
      <c r="H620" s="173"/>
      <c r="I620" s="176"/>
      <c r="J620" s="173"/>
      <c r="K620"/>
      <c r="L620"/>
      <c r="M620"/>
      <c r="N620"/>
      <c r="O620"/>
      <c r="P620" s="219"/>
      <c r="Q620"/>
      <c r="R620"/>
      <c r="S620"/>
    </row>
    <row r="621" spans="1:19">
      <c r="A621" s="172"/>
      <c r="B621" s="173" t="s">
        <v>200</v>
      </c>
      <c r="C621" s="174" t="s">
        <v>198</v>
      </c>
      <c r="D621" s="177" t="str">
        <f>+'PRODUKSI 1'!B43</f>
        <v>MUHAMMAD SUGALIH</v>
      </c>
      <c r="E621" s="173"/>
      <c r="F621" s="225"/>
      <c r="G621" s="173"/>
      <c r="H621" s="173"/>
      <c r="I621" s="176"/>
      <c r="J621" s="173"/>
      <c r="K621"/>
      <c r="L621"/>
      <c r="M621"/>
      <c r="N621"/>
      <c r="O621"/>
      <c r="P621" s="219"/>
      <c r="Q621"/>
      <c r="R621"/>
      <c r="S621"/>
    </row>
    <row r="622" spans="1:19" ht="15.75" thickBot="1">
      <c r="A622" s="172"/>
      <c r="B622" s="173" t="s">
        <v>201</v>
      </c>
      <c r="C622" s="174" t="s">
        <v>198</v>
      </c>
      <c r="D622" s="177" t="str">
        <f>+'PRODUKSI 1'!C43</f>
        <v>PRINTER 4</v>
      </c>
      <c r="E622" s="173"/>
      <c r="F622" s="225"/>
      <c r="G622" s="173"/>
      <c r="H622" s="173"/>
      <c r="I622" s="176"/>
      <c r="J622" s="173"/>
      <c r="K622"/>
      <c r="L622"/>
      <c r="M622"/>
      <c r="N622"/>
      <c r="O622"/>
      <c r="P622" s="219"/>
      <c r="Q622"/>
      <c r="R622"/>
      <c r="S622"/>
    </row>
    <row r="623" spans="1:19" ht="10.5" customHeight="1" thickTop="1">
      <c r="A623" s="170"/>
      <c r="B623" s="182"/>
      <c r="C623" s="182"/>
      <c r="D623" s="182"/>
      <c r="E623" s="182"/>
      <c r="F623" s="226"/>
      <c r="G623" s="182"/>
      <c r="H623" s="182"/>
      <c r="I623" s="183"/>
      <c r="J623" s="169"/>
      <c r="K623" s="170"/>
      <c r="L623" s="182"/>
      <c r="M623" s="182"/>
      <c r="N623" s="182"/>
      <c r="O623" s="182"/>
      <c r="P623" s="226"/>
      <c r="Q623" s="182"/>
      <c r="R623" s="182"/>
      <c r="S623" s="183"/>
    </row>
    <row r="624" spans="1:19">
      <c r="A624" s="170"/>
      <c r="B624" s="184" t="s">
        <v>202</v>
      </c>
      <c r="C624" s="185"/>
      <c r="D624" s="185"/>
      <c r="E624" s="185"/>
      <c r="F624" s="227"/>
      <c r="G624" s="185"/>
      <c r="H624" s="185"/>
      <c r="I624" s="183"/>
      <c r="J624" s="169"/>
      <c r="K624"/>
      <c r="L624"/>
      <c r="M624"/>
      <c r="N624"/>
      <c r="O624"/>
      <c r="P624" s="219"/>
      <c r="Q624"/>
      <c r="R624"/>
      <c r="S624"/>
    </row>
    <row r="625" spans="1:19" ht="14.25" customHeight="1">
      <c r="A625" s="170"/>
      <c r="B625" s="186" t="s">
        <v>111</v>
      </c>
      <c r="C625" s="186"/>
      <c r="D625" s="187"/>
      <c r="E625" s="186"/>
      <c r="F625" s="197"/>
      <c r="G625" s="187"/>
      <c r="H625" s="187">
        <f>+'PRODUKSI 1'!H43</f>
        <v>4494855</v>
      </c>
      <c r="I625" s="188"/>
      <c r="J625" s="187"/>
      <c r="K625"/>
      <c r="L625"/>
      <c r="M625"/>
      <c r="N625"/>
      <c r="O625"/>
      <c r="P625" s="219"/>
      <c r="Q625"/>
      <c r="R625"/>
      <c r="S625"/>
    </row>
    <row r="626" spans="1:19" ht="14.25" customHeight="1">
      <c r="A626" s="170"/>
      <c r="B626" s="186" t="s">
        <v>203</v>
      </c>
      <c r="C626" s="186"/>
      <c r="D626" s="186"/>
      <c r="E626" s="186"/>
      <c r="F626" s="197"/>
      <c r="G626" s="187"/>
      <c r="H626" s="187">
        <f>+'PRODUKSI 1'!I43</f>
        <v>0</v>
      </c>
      <c r="I626" s="188"/>
      <c r="J626" s="209"/>
      <c r="K626"/>
      <c r="L626"/>
      <c r="M626"/>
      <c r="N626"/>
      <c r="O626"/>
      <c r="P626" s="219"/>
      <c r="Q626"/>
      <c r="R626"/>
      <c r="S626"/>
    </row>
    <row r="627" spans="1:19" ht="14.25" customHeight="1">
      <c r="A627" s="170"/>
      <c r="B627" s="186" t="s">
        <v>227</v>
      </c>
      <c r="C627" s="186"/>
      <c r="D627" s="186"/>
      <c r="E627" s="186"/>
      <c r="F627" s="197"/>
      <c r="G627" s="187"/>
      <c r="H627" s="187">
        <f>+'PRODUKSI 1'!J43</f>
        <v>0</v>
      </c>
      <c r="I627" s="188"/>
      <c r="J627" s="209"/>
      <c r="K627"/>
      <c r="L627"/>
      <c r="M627"/>
      <c r="N627"/>
      <c r="O627"/>
      <c r="P627" s="219"/>
      <c r="Q627"/>
      <c r="R627"/>
      <c r="S627"/>
    </row>
    <row r="628" spans="1:19" ht="14.25" customHeight="1">
      <c r="A628" s="170"/>
      <c r="B628" s="186" t="s">
        <v>228</v>
      </c>
      <c r="C628" s="186"/>
      <c r="D628" s="186"/>
      <c r="E628" s="186"/>
      <c r="F628" s="197"/>
      <c r="G628" s="187"/>
      <c r="H628" s="187">
        <f>+'PRODUKSI 1'!K43</f>
        <v>0</v>
      </c>
      <c r="I628" s="188"/>
      <c r="J628" s="209"/>
      <c r="K628"/>
      <c r="L628"/>
      <c r="M628"/>
      <c r="N628"/>
      <c r="O628"/>
      <c r="P628" s="219"/>
      <c r="Q628"/>
      <c r="R628"/>
      <c r="S628"/>
    </row>
    <row r="629" spans="1:19" ht="14.25" customHeight="1">
      <c r="A629" s="170"/>
      <c r="B629" s="186" t="s">
        <v>224</v>
      </c>
      <c r="C629" s="186"/>
      <c r="D629" s="186"/>
      <c r="E629" s="186"/>
      <c r="F629" s="197"/>
      <c r="G629" s="187"/>
      <c r="H629" s="187">
        <f>+'PRODUKSI 1'!AA43</f>
        <v>448215.69090000005</v>
      </c>
      <c r="I629" s="188"/>
      <c r="J629" s="209"/>
      <c r="K629"/>
      <c r="L629"/>
      <c r="M629"/>
      <c r="N629"/>
      <c r="O629"/>
      <c r="P629" s="219"/>
      <c r="Q629"/>
      <c r="R629"/>
      <c r="S629"/>
    </row>
    <row r="630" spans="1:19" ht="14.25" customHeight="1">
      <c r="A630" s="170"/>
      <c r="B630" s="186" t="s">
        <v>195</v>
      </c>
      <c r="C630" s="186"/>
      <c r="D630" s="187"/>
      <c r="E630" s="186"/>
      <c r="F630" s="197"/>
      <c r="G630" s="187"/>
      <c r="H630" s="187">
        <f>+'PRODUKSI 1'!S43</f>
        <v>76000</v>
      </c>
      <c r="I630" s="188"/>
      <c r="J630" s="187"/>
      <c r="K630"/>
      <c r="L630"/>
      <c r="M630"/>
      <c r="N630"/>
      <c r="O630"/>
      <c r="P630" s="219"/>
      <c r="Q630"/>
      <c r="R630"/>
      <c r="S630"/>
    </row>
    <row r="631" spans="1:19" ht="14.25" customHeight="1">
      <c r="A631" s="170"/>
      <c r="B631" s="220" t="s">
        <v>233</v>
      </c>
      <c r="C631" s="186"/>
      <c r="D631" s="187"/>
      <c r="E631" s="186"/>
      <c r="F631" s="197"/>
      <c r="G631" s="187"/>
      <c r="H631" s="187"/>
      <c r="I631" s="188"/>
      <c r="J631" s="209"/>
      <c r="K631" s="170"/>
      <c r="L631" s="220" t="s">
        <v>233</v>
      </c>
      <c r="M631" s="186"/>
      <c r="N631" s="187"/>
      <c r="O631" s="186"/>
      <c r="P631" s="197"/>
      <c r="Q631" s="187"/>
      <c r="R631" s="187"/>
      <c r="S631" s="188"/>
    </row>
    <row r="632" spans="1:19" ht="14.25" customHeight="1">
      <c r="A632" s="170"/>
      <c r="B632" s="186" t="s">
        <v>206</v>
      </c>
      <c r="C632" s="186"/>
      <c r="D632" s="212">
        <v>0</v>
      </c>
      <c r="E632" s="186" t="s">
        <v>207</v>
      </c>
      <c r="F632" s="197" t="s">
        <v>205</v>
      </c>
      <c r="G632" s="187">
        <v>23768</v>
      </c>
      <c r="H632" s="187">
        <v>0</v>
      </c>
      <c r="I632" s="188"/>
      <c r="J632" s="187"/>
      <c r="K632"/>
      <c r="L632"/>
      <c r="M632"/>
      <c r="N632"/>
      <c r="O632"/>
      <c r="P632" s="219"/>
      <c r="Q632"/>
      <c r="R632"/>
      <c r="S632"/>
    </row>
    <row r="633" spans="1:19" ht="14.25" customHeight="1" thickBot="1">
      <c r="A633" s="170"/>
      <c r="B633" s="190" t="s">
        <v>208</v>
      </c>
      <c r="C633" s="190"/>
      <c r="D633" s="213">
        <v>53.5</v>
      </c>
      <c r="E633" s="190" t="s">
        <v>207</v>
      </c>
      <c r="F633" s="228" t="s">
        <v>205</v>
      </c>
      <c r="G633" s="192">
        <f>G632</f>
        <v>23768</v>
      </c>
      <c r="H633" s="192">
        <f>G633*D633</f>
        <v>1271588</v>
      </c>
      <c r="I633" s="188"/>
      <c r="J633" s="187"/>
      <c r="K633"/>
      <c r="L633"/>
      <c r="M633"/>
      <c r="N633"/>
      <c r="O633"/>
      <c r="P633" s="219"/>
      <c r="Q633"/>
      <c r="R633"/>
      <c r="S633"/>
    </row>
    <row r="634" spans="1:19" ht="15.75" thickBot="1">
      <c r="A634" s="170"/>
      <c r="B634" s="190" t="s">
        <v>219</v>
      </c>
      <c r="C634" s="190"/>
      <c r="D634" s="213">
        <f>SUM(D632:D633)</f>
        <v>53.5</v>
      </c>
      <c r="E634" s="190"/>
      <c r="F634" s="228"/>
      <c r="G634" s="192"/>
      <c r="H634" s="192">
        <f>SUM(H625:H633)</f>
        <v>6290658.6908999998</v>
      </c>
      <c r="I634" s="188"/>
      <c r="J634" s="187"/>
      <c r="K634"/>
      <c r="L634"/>
      <c r="M634"/>
      <c r="N634"/>
      <c r="O634"/>
      <c r="P634" s="219"/>
      <c r="Q634"/>
      <c r="R634"/>
      <c r="S634"/>
    </row>
    <row r="635" spans="1:19">
      <c r="A635" s="170"/>
      <c r="B635" s="196" t="s">
        <v>113</v>
      </c>
      <c r="C635" s="186"/>
      <c r="D635" s="186"/>
      <c r="E635" s="186"/>
      <c r="F635" s="197"/>
      <c r="G635" s="187"/>
      <c r="H635" s="187"/>
      <c r="I635" s="188"/>
      <c r="J635" s="209"/>
      <c r="K635"/>
      <c r="L635"/>
      <c r="M635"/>
      <c r="N635"/>
      <c r="O635"/>
      <c r="P635" s="219"/>
      <c r="Q635"/>
      <c r="R635"/>
      <c r="S635"/>
    </row>
    <row r="636" spans="1:19" ht="14.25" customHeight="1">
      <c r="A636" s="170"/>
      <c r="B636" s="186" t="s">
        <v>209</v>
      </c>
      <c r="C636" s="186"/>
      <c r="D636" s="197"/>
      <c r="E636" s="186"/>
      <c r="F636" s="197"/>
      <c r="G636" s="198" t="str">
        <f>+'PRODUKSI 1'!D43</f>
        <v>TK</v>
      </c>
      <c r="H636" s="187">
        <f>+'PRODUKSI 1'!AH43</f>
        <v>28407</v>
      </c>
      <c r="I636" s="188"/>
      <c r="J636" s="209"/>
      <c r="K636"/>
      <c r="L636"/>
      <c r="M636"/>
      <c r="N636"/>
      <c r="O636"/>
      <c r="P636" s="219"/>
      <c r="Q636"/>
      <c r="R636"/>
      <c r="S636"/>
    </row>
    <row r="637" spans="1:19" ht="14.25" customHeight="1">
      <c r="A637" s="170"/>
      <c r="B637" s="186" t="s">
        <v>225</v>
      </c>
      <c r="C637" s="186"/>
      <c r="D637" s="197"/>
      <c r="E637" s="186"/>
      <c r="F637" s="197"/>
      <c r="G637" s="198"/>
      <c r="H637" s="187">
        <f>+'PRODUKSI 1'!AE43+'PRODUKSI 1'!AF43</f>
        <v>48772.11</v>
      </c>
      <c r="I637" s="188"/>
      <c r="J637" s="209"/>
      <c r="K637"/>
      <c r="L637"/>
      <c r="M637"/>
      <c r="N637"/>
      <c r="O637"/>
      <c r="P637" s="219"/>
      <c r="Q637"/>
      <c r="R637"/>
      <c r="S637"/>
    </row>
    <row r="638" spans="1:19" ht="14.25" customHeight="1">
      <c r="A638" s="170"/>
      <c r="B638" s="186" t="s">
        <v>226</v>
      </c>
      <c r="C638" s="186"/>
      <c r="D638" s="197"/>
      <c r="E638" s="186"/>
      <c r="F638" s="197"/>
      <c r="G638" s="198"/>
      <c r="H638" s="187">
        <f>+'PRODUKSI 1'!AC43+'PRODUKSI 1'!AD43</f>
        <v>146316.33000000002</v>
      </c>
      <c r="I638" s="188"/>
      <c r="J638" s="209"/>
      <c r="K638"/>
      <c r="L638"/>
      <c r="M638"/>
      <c r="N638"/>
      <c r="O638"/>
      <c r="P638" s="219"/>
      <c r="Q638"/>
      <c r="R638"/>
      <c r="S638"/>
    </row>
    <row r="639" spans="1:19" ht="14.25" customHeight="1">
      <c r="A639" s="170"/>
      <c r="B639" s="186" t="s">
        <v>103</v>
      </c>
      <c r="C639" s="186"/>
      <c r="D639" s="186"/>
      <c r="E639" s="186"/>
      <c r="F639" s="197"/>
      <c r="G639" s="187"/>
      <c r="H639" s="187">
        <f>+H629</f>
        <v>448215.69090000005</v>
      </c>
      <c r="I639" s="188"/>
      <c r="J639" s="209"/>
      <c r="K639"/>
      <c r="L639"/>
      <c r="M639"/>
      <c r="N639"/>
      <c r="O639"/>
      <c r="P639" s="219"/>
      <c r="Q639"/>
      <c r="R639"/>
      <c r="S639"/>
    </row>
    <row r="640" spans="1:19" ht="14.25" customHeight="1" thickBot="1">
      <c r="A640" s="170"/>
      <c r="B640" s="190" t="s">
        <v>211</v>
      </c>
      <c r="C640" s="190"/>
      <c r="D640" s="190"/>
      <c r="E640" s="190"/>
      <c r="F640" s="228"/>
      <c r="G640" s="192"/>
      <c r="H640" s="192">
        <f>SUM(H636:H639)</f>
        <v>671711.13089999999</v>
      </c>
      <c r="I640" s="188"/>
      <c r="J640" s="209"/>
      <c r="K640"/>
      <c r="L640"/>
      <c r="M640"/>
      <c r="N640"/>
      <c r="O640"/>
      <c r="P640" s="219"/>
      <c r="Q640"/>
      <c r="R640"/>
      <c r="S640"/>
    </row>
    <row r="641" spans="1:19" ht="15.75" thickBot="1">
      <c r="A641" s="170"/>
      <c r="B641" s="193" t="s">
        <v>220</v>
      </c>
      <c r="C641" s="193"/>
      <c r="D641" s="193"/>
      <c r="E641" s="193"/>
      <c r="F641" s="229"/>
      <c r="G641" s="195"/>
      <c r="H641" s="195">
        <f>SUM(H634-H640)</f>
        <v>5618947.5599999996</v>
      </c>
      <c r="I641" s="188"/>
      <c r="J641" s="209"/>
      <c r="K641"/>
      <c r="L641"/>
      <c r="M641"/>
      <c r="N641"/>
      <c r="O641"/>
      <c r="P641" s="219"/>
      <c r="Q641"/>
      <c r="R641"/>
      <c r="S641"/>
    </row>
    <row r="642" spans="1:19">
      <c r="A642" s="170"/>
      <c r="B642" s="186" t="s">
        <v>221</v>
      </c>
      <c r="C642" s="186"/>
      <c r="D642" s="186"/>
      <c r="E642" s="186"/>
      <c r="F642" s="197"/>
      <c r="G642" s="187"/>
      <c r="H642" s="187">
        <v>10000</v>
      </c>
      <c r="I642" s="188"/>
      <c r="J642" s="209"/>
      <c r="K642"/>
      <c r="L642"/>
      <c r="M642"/>
      <c r="N642"/>
      <c r="O642"/>
      <c r="P642" s="219"/>
      <c r="Q642"/>
      <c r="R642"/>
      <c r="S642"/>
    </row>
    <row r="643" spans="1:19" ht="15.75" thickBot="1">
      <c r="A643" s="170"/>
      <c r="B643" s="199"/>
      <c r="C643" s="190"/>
      <c r="D643" s="190"/>
      <c r="E643" s="190"/>
      <c r="F643" s="228"/>
      <c r="G643" s="192"/>
      <c r="H643" s="192"/>
      <c r="I643" s="188"/>
      <c r="J643" s="187"/>
      <c r="K643"/>
      <c r="L643"/>
      <c r="M643"/>
      <c r="N643"/>
      <c r="O643"/>
      <c r="P643" s="219"/>
      <c r="Q643"/>
      <c r="R643"/>
      <c r="S643"/>
    </row>
    <row r="644" spans="1:19" ht="15.75" thickBot="1">
      <c r="A644" s="170"/>
      <c r="B644" s="200" t="s">
        <v>212</v>
      </c>
      <c r="C644" s="200"/>
      <c r="D644" s="200"/>
      <c r="E644" s="200"/>
      <c r="F644" s="230"/>
      <c r="G644" s="201"/>
      <c r="H644" s="201">
        <f>+H641-H642</f>
        <v>5608947.5599999996</v>
      </c>
      <c r="I644" s="188"/>
      <c r="J644" s="187"/>
      <c r="K644"/>
      <c r="L644"/>
      <c r="M644"/>
      <c r="N644"/>
      <c r="O644"/>
      <c r="P644" s="219"/>
      <c r="Q644"/>
      <c r="R644"/>
      <c r="S644"/>
    </row>
    <row r="645" spans="1:19" ht="15.75" thickTop="1">
      <c r="A645" s="170"/>
      <c r="B645" s="202" t="s">
        <v>213</v>
      </c>
      <c r="C645" s="186"/>
      <c r="D645" s="186"/>
      <c r="E645" s="186"/>
      <c r="F645" s="197"/>
      <c r="G645" s="296" t="s">
        <v>214</v>
      </c>
      <c r="H645" s="296"/>
      <c r="I645" s="188"/>
      <c r="J645" s="187"/>
      <c r="K645"/>
      <c r="L645"/>
      <c r="M645"/>
      <c r="N645"/>
      <c r="O645"/>
      <c r="P645" s="219"/>
      <c r="Q645"/>
      <c r="R645"/>
      <c r="S645"/>
    </row>
    <row r="646" spans="1:19" ht="12.75" customHeight="1">
      <c r="A646" s="170"/>
      <c r="B646" s="186"/>
      <c r="C646" s="186"/>
      <c r="D646" s="186"/>
      <c r="E646" s="186"/>
      <c r="F646" s="197"/>
      <c r="G646" s="187"/>
      <c r="H646" s="187"/>
      <c r="I646" s="188"/>
      <c r="J646" s="187"/>
      <c r="K646" s="170"/>
      <c r="L646" s="186"/>
      <c r="M646" s="186"/>
      <c r="N646" s="186"/>
      <c r="O646" s="186"/>
      <c r="P646" s="197"/>
      <c r="Q646" s="187"/>
      <c r="R646" s="187"/>
      <c r="S646" s="188"/>
    </row>
    <row r="647" spans="1:19" ht="12.75" customHeight="1">
      <c r="A647" s="170"/>
      <c r="B647" s="186"/>
      <c r="C647" s="186"/>
      <c r="D647" s="186"/>
      <c r="E647" s="186"/>
      <c r="F647" s="197"/>
      <c r="G647" s="187"/>
      <c r="H647" s="187"/>
      <c r="I647" s="188"/>
      <c r="J647" s="187"/>
      <c r="K647" s="170"/>
      <c r="L647" s="186"/>
      <c r="M647" s="186"/>
      <c r="N647" s="186"/>
      <c r="O647" s="186"/>
      <c r="P647" s="197"/>
      <c r="Q647" s="187"/>
      <c r="R647" s="187"/>
      <c r="S647" s="188"/>
    </row>
    <row r="648" spans="1:19" ht="12.75" customHeight="1">
      <c r="A648" s="170"/>
      <c r="B648" s="203" t="s">
        <v>215</v>
      </c>
      <c r="C648" s="186"/>
      <c r="D648" s="186"/>
      <c r="E648" s="186"/>
      <c r="F648" s="197"/>
      <c r="G648" s="297" t="s">
        <v>216</v>
      </c>
      <c r="H648" s="297"/>
      <c r="I648" s="188"/>
      <c r="J648" s="187"/>
      <c r="K648" s="170"/>
      <c r="L648" s="203" t="s">
        <v>215</v>
      </c>
      <c r="M648" s="186"/>
      <c r="N648" s="186"/>
      <c r="O648" s="186"/>
      <c r="P648" s="197"/>
      <c r="Q648" s="297" t="s">
        <v>216</v>
      </c>
      <c r="R648" s="297"/>
      <c r="S648" s="188"/>
    </row>
    <row r="649" spans="1:19" ht="7.5" customHeight="1">
      <c r="A649" s="204"/>
      <c r="B649" s="205"/>
      <c r="C649" s="206"/>
      <c r="D649" s="206"/>
      <c r="E649" s="206"/>
      <c r="F649" s="231"/>
      <c r="G649" s="207"/>
      <c r="H649" s="205"/>
      <c r="I649" s="208"/>
      <c r="J649" s="187"/>
      <c r="K649" s="204"/>
      <c r="L649" s="205"/>
      <c r="M649" s="206"/>
      <c r="N649" s="206"/>
      <c r="O649" s="206"/>
      <c r="P649" s="231"/>
      <c r="Q649" s="207"/>
      <c r="R649" s="205"/>
      <c r="S649" s="208"/>
    </row>
  </sheetData>
  <mergeCells count="106">
    <mergeCell ref="B40:I40"/>
    <mergeCell ref="L40:S40"/>
    <mergeCell ref="G67:H67"/>
    <mergeCell ref="Q67:R67"/>
    <mergeCell ref="G70:H70"/>
    <mergeCell ref="Q70:R70"/>
    <mergeCell ref="B4:I4"/>
    <mergeCell ref="L4:S4"/>
    <mergeCell ref="G31:H31"/>
    <mergeCell ref="Q31:R31"/>
    <mergeCell ref="G34:H34"/>
    <mergeCell ref="Q34:R34"/>
    <mergeCell ref="B113:I113"/>
    <mergeCell ref="L113:S113"/>
    <mergeCell ref="G140:H140"/>
    <mergeCell ref="Q140:R140"/>
    <mergeCell ref="G143:H143"/>
    <mergeCell ref="Q143:R143"/>
    <mergeCell ref="B77:I77"/>
    <mergeCell ref="L77:S77"/>
    <mergeCell ref="G104:H104"/>
    <mergeCell ref="Q104:R104"/>
    <mergeCell ref="G107:H107"/>
    <mergeCell ref="Q107:R107"/>
    <mergeCell ref="B186:I186"/>
    <mergeCell ref="L186:S186"/>
    <mergeCell ref="G213:H213"/>
    <mergeCell ref="Q213:R213"/>
    <mergeCell ref="G216:H216"/>
    <mergeCell ref="Q216:R216"/>
    <mergeCell ref="B150:I150"/>
    <mergeCell ref="L150:S150"/>
    <mergeCell ref="G177:H177"/>
    <mergeCell ref="Q177:R177"/>
    <mergeCell ref="G180:H180"/>
    <mergeCell ref="Q180:R180"/>
    <mergeCell ref="B258:I258"/>
    <mergeCell ref="L258:S258"/>
    <mergeCell ref="G285:H285"/>
    <mergeCell ref="Q285:R285"/>
    <mergeCell ref="G288:H288"/>
    <mergeCell ref="Q288:R288"/>
    <mergeCell ref="B222:I222"/>
    <mergeCell ref="L222:S222"/>
    <mergeCell ref="G249:H249"/>
    <mergeCell ref="Q249:R249"/>
    <mergeCell ref="G252:H252"/>
    <mergeCell ref="Q252:R252"/>
    <mergeCell ref="B330:I330"/>
    <mergeCell ref="L330:S330"/>
    <mergeCell ref="G357:H357"/>
    <mergeCell ref="Q357:R357"/>
    <mergeCell ref="G360:H360"/>
    <mergeCell ref="Q360:R360"/>
    <mergeCell ref="B294:I294"/>
    <mergeCell ref="L294:S294"/>
    <mergeCell ref="G321:H321"/>
    <mergeCell ref="Q321:R321"/>
    <mergeCell ref="G324:H324"/>
    <mergeCell ref="Q324:R324"/>
    <mergeCell ref="B402:I402"/>
    <mergeCell ref="L402:S402"/>
    <mergeCell ref="G429:H429"/>
    <mergeCell ref="Q429:R429"/>
    <mergeCell ref="G432:H432"/>
    <mergeCell ref="Q432:R432"/>
    <mergeCell ref="B366:I366"/>
    <mergeCell ref="L366:S366"/>
    <mergeCell ref="G393:H393"/>
    <mergeCell ref="Q393:R393"/>
    <mergeCell ref="G396:H396"/>
    <mergeCell ref="Q396:R396"/>
    <mergeCell ref="B474:I474"/>
    <mergeCell ref="L474:S474"/>
    <mergeCell ref="G501:H501"/>
    <mergeCell ref="Q501:R501"/>
    <mergeCell ref="G504:H504"/>
    <mergeCell ref="Q504:R504"/>
    <mergeCell ref="B438:I438"/>
    <mergeCell ref="L438:S438"/>
    <mergeCell ref="G465:H465"/>
    <mergeCell ref="Q465:R465"/>
    <mergeCell ref="G468:H468"/>
    <mergeCell ref="Q468:R468"/>
    <mergeCell ref="B546:I546"/>
    <mergeCell ref="L546:S546"/>
    <mergeCell ref="G573:H573"/>
    <mergeCell ref="Q573:R573"/>
    <mergeCell ref="G576:H576"/>
    <mergeCell ref="Q576:R576"/>
    <mergeCell ref="B510:I510"/>
    <mergeCell ref="L510:S510"/>
    <mergeCell ref="G537:H537"/>
    <mergeCell ref="Q537:R537"/>
    <mergeCell ref="G540:H540"/>
    <mergeCell ref="Q540:R540"/>
    <mergeCell ref="B618:I618"/>
    <mergeCell ref="G645:H645"/>
    <mergeCell ref="G648:H648"/>
    <mergeCell ref="B582:I582"/>
    <mergeCell ref="L582:S582"/>
    <mergeCell ref="G609:H609"/>
    <mergeCell ref="Q609:R609"/>
    <mergeCell ref="G612:H612"/>
    <mergeCell ref="Q612:R612"/>
    <mergeCell ref="Q648:R648"/>
  </mergeCells>
  <pageMargins left="0.23622047244094491" right="0.23622047244094491" top="0" bottom="0" header="0.31496062992125984" footer="0.31496062992125984"/>
  <pageSetup paperSize="5" scale="82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V57"/>
  <sheetViews>
    <sheetView showGridLines="0" topLeftCell="U1" zoomScale="80" zoomScaleNormal="80" zoomScalePageLayoutView="75" workbookViewId="0">
      <selection activeCell="E11" sqref="E11"/>
    </sheetView>
  </sheetViews>
  <sheetFormatPr defaultColWidth="9.140625" defaultRowHeight="15" customHeight="1"/>
  <cols>
    <col min="1" max="1" width="4.85546875" style="6" customWidth="1"/>
    <col min="2" max="2" width="26.85546875" style="45" customWidth="1"/>
    <col min="3" max="3" width="13.7109375" style="50" customWidth="1"/>
    <col min="4" max="4" width="4.7109375" style="6" customWidth="1"/>
    <col min="5" max="5" width="18.140625" style="6" customWidth="1"/>
    <col min="6" max="6" width="6.7109375" style="15" customWidth="1"/>
    <col min="7" max="7" width="8.7109375" style="15" hidden="1" customWidth="1"/>
    <col min="8" max="8" width="12.7109375" style="15" customWidth="1"/>
    <col min="9" max="10" width="10.7109375" style="15" customWidth="1"/>
    <col min="11" max="14" width="10.7109375" style="15" hidden="1" customWidth="1"/>
    <col min="15" max="15" width="6.7109375" style="15" customWidth="1"/>
    <col min="16" max="16" width="8.7109375" style="15" customWidth="1"/>
    <col min="17" max="17" width="10.7109375" style="15" customWidth="1"/>
    <col min="18" max="18" width="11.7109375" style="15" hidden="1" customWidth="1"/>
    <col min="19" max="20" width="10.7109375" style="15" hidden="1" customWidth="1"/>
    <col min="21" max="21" width="10.7109375" style="15" customWidth="1"/>
    <col min="22" max="22" width="12.7109375" style="15" hidden="1" customWidth="1"/>
    <col min="23" max="23" width="12.7109375" style="27" customWidth="1"/>
    <col min="24" max="25" width="10.7109375" style="15" customWidth="1"/>
    <col min="26" max="26" width="10.7109375" style="27" customWidth="1"/>
    <col min="27" max="27" width="10.7109375" style="15" customWidth="1"/>
    <col min="28" max="28" width="10.7109375" style="27" customWidth="1"/>
    <col min="29" max="29" width="12.7109375" style="27" customWidth="1"/>
    <col min="30" max="33" width="10.7109375" style="15" customWidth="1"/>
    <col min="34" max="35" width="10.7109375" style="27" customWidth="1"/>
    <col min="36" max="36" width="12.7109375" style="27" customWidth="1"/>
    <col min="37" max="37" width="5.28515625" style="15" customWidth="1"/>
    <col min="38" max="38" width="5.140625" style="6" customWidth="1"/>
    <col min="39" max="39" width="11.7109375" style="15" customWidth="1"/>
    <col min="40" max="43" width="11.7109375" style="6" customWidth="1"/>
    <col min="44" max="44" width="15.140625" style="6" customWidth="1"/>
    <col min="45" max="45" width="12.28515625" style="15" customWidth="1"/>
    <col min="46" max="46" width="13" style="15" customWidth="1"/>
    <col min="47" max="47" width="11.7109375" style="15" customWidth="1"/>
    <col min="48" max="48" width="11.7109375" style="6" customWidth="1"/>
    <col min="49" max="49" width="13" style="6" customWidth="1"/>
    <col min="50" max="50" width="13.85546875" style="6" customWidth="1"/>
    <col min="51" max="51" width="10.85546875" style="6" customWidth="1"/>
    <col min="52" max="52" width="15.42578125" style="6" customWidth="1"/>
    <col min="53" max="53" width="16.42578125" style="6" bestFit="1" customWidth="1"/>
    <col min="54" max="54" width="12.140625" style="6" bestFit="1" customWidth="1"/>
    <col min="55" max="55" width="13.85546875" style="6" bestFit="1" customWidth="1"/>
    <col min="56" max="56" width="11.85546875" style="6" bestFit="1" customWidth="1"/>
    <col min="57" max="57" width="14.5703125" style="6" bestFit="1" customWidth="1"/>
    <col min="58" max="58" width="15.5703125" style="6" bestFit="1" customWidth="1"/>
    <col min="59" max="59" width="11.42578125" style="6" bestFit="1" customWidth="1"/>
    <col min="60" max="60" width="26.140625" style="6" bestFit="1" customWidth="1"/>
    <col min="61" max="61" width="12" style="6" bestFit="1" customWidth="1"/>
    <col min="62" max="62" width="10.7109375" style="6" bestFit="1" customWidth="1"/>
    <col min="63" max="63" width="11.85546875" style="6" bestFit="1" customWidth="1"/>
    <col min="64" max="64" width="12.5703125" style="6" bestFit="1" customWidth="1"/>
    <col min="65" max="65" width="3.85546875" style="6" bestFit="1" customWidth="1"/>
    <col min="66" max="66" width="12.140625" style="6" bestFit="1" customWidth="1"/>
    <col min="67" max="67" width="9.42578125" style="6" bestFit="1" customWidth="1"/>
    <col min="68" max="68" width="9.28515625" style="6" bestFit="1" customWidth="1"/>
    <col min="69" max="69" width="9.42578125" style="6" bestFit="1" customWidth="1"/>
    <col min="70" max="70" width="9.28515625" style="6" bestFit="1" customWidth="1"/>
    <col min="71" max="72" width="10.7109375" style="6" bestFit="1" customWidth="1"/>
    <col min="73" max="73" width="12" style="6" customWidth="1"/>
    <col min="74" max="74" width="13.85546875" style="6" bestFit="1" customWidth="1"/>
    <col min="75" max="75" width="13" style="6" bestFit="1" customWidth="1"/>
    <col min="76" max="76" width="9.85546875" style="6" bestFit="1" customWidth="1"/>
    <col min="77" max="77" width="10.85546875" style="6" bestFit="1" customWidth="1"/>
    <col min="78" max="78" width="15.140625" style="6" bestFit="1" customWidth="1"/>
    <col min="79" max="79" width="16.28515625" style="6" bestFit="1" customWidth="1"/>
    <col min="80" max="80" width="12.140625" style="6" bestFit="1" customWidth="1"/>
    <col min="81" max="81" width="13.85546875" style="6" bestFit="1" customWidth="1"/>
    <col min="82" max="82" width="11.85546875" style="6" bestFit="1" customWidth="1"/>
    <col min="83" max="84" width="9.42578125" style="6" bestFit="1" customWidth="1"/>
    <col min="85" max="85" width="9.140625" style="6"/>
    <col min="86" max="86" width="9.28515625" style="6" bestFit="1" customWidth="1"/>
    <col min="87" max="87" width="9.140625" style="6"/>
    <col min="88" max="90" width="10.140625" style="6" bestFit="1" customWidth="1"/>
    <col min="91" max="93" width="9.28515625" style="6" bestFit="1" customWidth="1"/>
    <col min="94" max="96" width="10.140625" style="6" bestFit="1" customWidth="1"/>
    <col min="97" max="102" width="9.140625" style="6"/>
    <col min="103" max="105" width="9.28515625" style="6" bestFit="1" customWidth="1"/>
    <col min="106" max="16384" width="9.140625" style="6"/>
  </cols>
  <sheetData>
    <row r="1" spans="1:48" ht="15" customHeight="1">
      <c r="A1" s="41" t="s">
        <v>351</v>
      </c>
      <c r="B1" s="69"/>
      <c r="C1" s="48"/>
      <c r="D1" s="23"/>
      <c r="E1" s="2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23"/>
      <c r="U1" s="23"/>
      <c r="V1" s="23"/>
      <c r="W1" s="23"/>
      <c r="X1" s="23"/>
      <c r="Y1" s="23"/>
      <c r="Z1" s="23"/>
      <c r="AA1" s="23"/>
      <c r="AB1" s="23"/>
      <c r="AC1" s="13"/>
      <c r="AD1" s="23"/>
      <c r="AE1" s="23"/>
      <c r="AF1" s="13"/>
      <c r="AG1" s="13"/>
      <c r="AH1" s="23"/>
      <c r="AI1" s="23"/>
      <c r="AJ1" s="23"/>
      <c r="AK1" s="6"/>
      <c r="AL1" s="15"/>
      <c r="AM1" s="6"/>
    </row>
    <row r="2" spans="1:48" ht="15" customHeight="1">
      <c r="A2" s="41" t="s">
        <v>241</v>
      </c>
      <c r="B2" s="69"/>
      <c r="C2" s="48"/>
      <c r="D2" s="23"/>
      <c r="E2" s="2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23"/>
      <c r="U2" s="23"/>
      <c r="V2" s="23"/>
      <c r="W2" s="23"/>
      <c r="X2" s="23"/>
      <c r="Y2" s="23"/>
      <c r="Z2" s="23"/>
      <c r="AA2" s="23"/>
      <c r="AB2" s="23"/>
      <c r="AC2" s="13"/>
      <c r="AD2" s="23"/>
      <c r="AE2" s="23"/>
      <c r="AF2" s="13"/>
      <c r="AG2" s="13"/>
      <c r="AH2" s="23"/>
      <c r="AI2" s="23"/>
      <c r="AJ2" s="23"/>
      <c r="AK2" s="6"/>
      <c r="AL2" s="15"/>
      <c r="AM2" s="6"/>
    </row>
    <row r="3" spans="1:48" ht="15" customHeight="1">
      <c r="A3" s="240" t="s">
        <v>364</v>
      </c>
      <c r="B3" s="240"/>
      <c r="C3" s="240"/>
      <c r="D3" s="240"/>
      <c r="E3" s="240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3"/>
      <c r="U3" s="23"/>
      <c r="V3" s="23"/>
      <c r="W3" s="23"/>
      <c r="X3" s="23"/>
      <c r="Y3" s="23"/>
      <c r="Z3" s="23"/>
      <c r="AA3" s="23"/>
      <c r="AB3" s="23"/>
      <c r="AC3" s="13"/>
      <c r="AD3" s="23"/>
      <c r="AE3" s="23"/>
      <c r="AF3" s="13"/>
      <c r="AG3" s="13"/>
      <c r="AH3" s="23"/>
      <c r="AI3" s="23"/>
      <c r="AJ3" s="23"/>
      <c r="AK3" s="6"/>
      <c r="AL3" s="15"/>
      <c r="AM3" s="6"/>
    </row>
    <row r="4" spans="1:48" ht="15" customHeight="1">
      <c r="A4" s="7"/>
      <c r="B4" s="70"/>
      <c r="C4" s="49"/>
      <c r="D4" s="9"/>
      <c r="E4" s="9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9"/>
      <c r="V4" s="9"/>
      <c r="W4" s="10"/>
      <c r="X4" s="8"/>
      <c r="Y4" s="8"/>
      <c r="Z4" s="11"/>
      <c r="AA4" s="12"/>
      <c r="AB4" s="11"/>
      <c r="AC4" s="13"/>
      <c r="AD4" s="8"/>
      <c r="AE4" s="8"/>
      <c r="AF4" s="8"/>
      <c r="AG4" s="8"/>
      <c r="AH4" s="13"/>
      <c r="AI4" s="14"/>
      <c r="AJ4" s="14"/>
    </row>
    <row r="5" spans="1:48" ht="19.899999999999999" customHeight="1">
      <c r="A5" s="282" t="s">
        <v>82</v>
      </c>
      <c r="B5" s="282" t="s">
        <v>3</v>
      </c>
      <c r="C5" s="282" t="s">
        <v>97</v>
      </c>
      <c r="D5" s="282" t="s">
        <v>4</v>
      </c>
      <c r="E5" s="283" t="s">
        <v>251</v>
      </c>
      <c r="F5" s="317" t="s">
        <v>150</v>
      </c>
      <c r="G5" s="275" t="s">
        <v>111</v>
      </c>
      <c r="H5" s="299" t="s">
        <v>111</v>
      </c>
      <c r="I5" s="278" t="s">
        <v>0</v>
      </c>
      <c r="J5" s="279"/>
      <c r="K5" s="280"/>
      <c r="L5" s="318" t="s">
        <v>5</v>
      </c>
      <c r="M5" s="319"/>
      <c r="N5" s="319"/>
      <c r="O5" s="319"/>
      <c r="P5" s="319"/>
      <c r="Q5" s="320"/>
      <c r="R5" s="299" t="s">
        <v>156</v>
      </c>
      <c r="S5" s="317" t="s">
        <v>150</v>
      </c>
      <c r="T5" s="275" t="s">
        <v>160</v>
      </c>
      <c r="U5" s="299" t="s">
        <v>161</v>
      </c>
      <c r="V5" s="302" t="s">
        <v>162</v>
      </c>
      <c r="W5" s="276" t="s">
        <v>110</v>
      </c>
      <c r="X5" s="276" t="s">
        <v>103</v>
      </c>
      <c r="Y5" s="276"/>
      <c r="Z5" s="276"/>
      <c r="AA5" s="276"/>
      <c r="AB5" s="276" t="s">
        <v>146</v>
      </c>
      <c r="AC5" s="276" t="s">
        <v>114</v>
      </c>
      <c r="AD5" s="276" t="s">
        <v>102</v>
      </c>
      <c r="AE5" s="276"/>
      <c r="AF5" s="276"/>
      <c r="AG5" s="276"/>
      <c r="AH5" s="322" t="s">
        <v>113</v>
      </c>
      <c r="AI5" s="323"/>
      <c r="AJ5" s="276" t="s">
        <v>115</v>
      </c>
      <c r="AM5" s="288" t="s">
        <v>167</v>
      </c>
      <c r="AN5" s="289" t="s">
        <v>168</v>
      </c>
      <c r="AO5" s="288" t="s">
        <v>114</v>
      </c>
      <c r="AP5" s="285" t="s">
        <v>164</v>
      </c>
      <c r="AQ5" s="288" t="s">
        <v>153</v>
      </c>
      <c r="AR5" s="285" t="s">
        <v>169</v>
      </c>
      <c r="AS5" s="288" t="s">
        <v>165</v>
      </c>
      <c r="AT5" s="289" t="s">
        <v>166</v>
      </c>
      <c r="AU5" s="291" t="s">
        <v>171</v>
      </c>
      <c r="AV5" s="285" t="s">
        <v>170</v>
      </c>
    </row>
    <row r="6" spans="1:48" ht="19.899999999999999" customHeight="1">
      <c r="A6" s="282"/>
      <c r="B6" s="282"/>
      <c r="C6" s="282"/>
      <c r="D6" s="282"/>
      <c r="E6" s="283"/>
      <c r="F6" s="317"/>
      <c r="G6" s="275"/>
      <c r="H6" s="300"/>
      <c r="I6" s="299" t="s">
        <v>109</v>
      </c>
      <c r="J6" s="302" t="s">
        <v>159</v>
      </c>
      <c r="K6" s="299" t="s">
        <v>89</v>
      </c>
      <c r="L6" s="315" t="s">
        <v>155</v>
      </c>
      <c r="M6" s="302" t="s">
        <v>151</v>
      </c>
      <c r="N6" s="299" t="s">
        <v>158</v>
      </c>
      <c r="O6" s="315" t="s">
        <v>154</v>
      </c>
      <c r="P6" s="302" t="s">
        <v>151</v>
      </c>
      <c r="Q6" s="299" t="s">
        <v>157</v>
      </c>
      <c r="R6" s="300"/>
      <c r="S6" s="317"/>
      <c r="T6" s="275"/>
      <c r="U6" s="300"/>
      <c r="V6" s="313"/>
      <c r="W6" s="276"/>
      <c r="X6" s="236" t="s">
        <v>106</v>
      </c>
      <c r="Y6" s="236" t="s">
        <v>108</v>
      </c>
      <c r="Z6" s="236" t="s">
        <v>107</v>
      </c>
      <c r="AA6" s="236" t="s">
        <v>83</v>
      </c>
      <c r="AB6" s="276"/>
      <c r="AC6" s="276"/>
      <c r="AD6" s="110" t="s">
        <v>108</v>
      </c>
      <c r="AE6" s="110" t="s">
        <v>107</v>
      </c>
      <c r="AF6" s="110" t="s">
        <v>83</v>
      </c>
      <c r="AG6" s="110" t="s">
        <v>104</v>
      </c>
      <c r="AH6" s="109" t="s">
        <v>105</v>
      </c>
      <c r="AI6" s="109" t="s">
        <v>1</v>
      </c>
      <c r="AJ6" s="276"/>
      <c r="AM6" s="288"/>
      <c r="AN6" s="289"/>
      <c r="AO6" s="288"/>
      <c r="AP6" s="286"/>
      <c r="AQ6" s="288"/>
      <c r="AR6" s="286"/>
      <c r="AS6" s="288"/>
      <c r="AT6" s="289"/>
      <c r="AU6" s="292"/>
      <c r="AV6" s="286"/>
    </row>
    <row r="7" spans="1:48" ht="19.899999999999999" customHeight="1">
      <c r="A7" s="282"/>
      <c r="B7" s="282"/>
      <c r="C7" s="282"/>
      <c r="D7" s="282"/>
      <c r="E7" s="283"/>
      <c r="F7" s="317"/>
      <c r="G7" s="275"/>
      <c r="H7" s="301"/>
      <c r="I7" s="301"/>
      <c r="J7" s="303"/>
      <c r="K7" s="301"/>
      <c r="L7" s="316"/>
      <c r="M7" s="303"/>
      <c r="N7" s="301"/>
      <c r="O7" s="316"/>
      <c r="P7" s="303"/>
      <c r="Q7" s="301"/>
      <c r="R7" s="301"/>
      <c r="S7" s="317"/>
      <c r="T7" s="275"/>
      <c r="U7" s="301"/>
      <c r="V7" s="303"/>
      <c r="W7" s="276"/>
      <c r="X7" s="33">
        <v>1.1900000000000001E-2</v>
      </c>
      <c r="Y7" s="33">
        <v>0.02</v>
      </c>
      <c r="Z7" s="33">
        <v>0.02</v>
      </c>
      <c r="AA7" s="77">
        <v>0.04</v>
      </c>
      <c r="AB7" s="276"/>
      <c r="AC7" s="276"/>
      <c r="AD7" s="33">
        <v>0.02</v>
      </c>
      <c r="AE7" s="33">
        <v>0.01</v>
      </c>
      <c r="AF7" s="33">
        <v>0.01</v>
      </c>
      <c r="AG7" s="77">
        <v>0.01</v>
      </c>
      <c r="AH7" s="109" t="s">
        <v>112</v>
      </c>
      <c r="AI7" s="63"/>
      <c r="AJ7" s="276"/>
      <c r="AM7" s="288"/>
      <c r="AN7" s="289"/>
      <c r="AO7" s="288"/>
      <c r="AP7" s="102">
        <v>0.05</v>
      </c>
      <c r="AQ7" s="288"/>
      <c r="AR7" s="103">
        <v>12</v>
      </c>
      <c r="AS7" s="288"/>
      <c r="AT7" s="289"/>
      <c r="AU7" s="293"/>
      <c r="AV7" s="287"/>
    </row>
    <row r="8" spans="1:48" ht="15" customHeight="1">
      <c r="A8" s="73"/>
      <c r="B8" s="73"/>
      <c r="C8" s="74"/>
      <c r="D8" s="73"/>
      <c r="E8" s="7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6"/>
      <c r="AA8" s="55"/>
      <c r="AB8" s="55"/>
      <c r="AC8" s="55"/>
      <c r="AD8" s="56"/>
      <c r="AE8" s="56"/>
      <c r="AF8" s="56"/>
      <c r="AG8" s="76"/>
      <c r="AH8" s="55"/>
      <c r="AI8" s="55"/>
      <c r="AJ8" s="55"/>
      <c r="AM8" s="101"/>
      <c r="AN8" s="101"/>
      <c r="AO8" s="101"/>
      <c r="AP8" s="101"/>
      <c r="AQ8" s="101"/>
      <c r="AR8" s="101"/>
      <c r="AS8" s="101"/>
      <c r="AT8" s="101"/>
      <c r="AU8" s="101"/>
      <c r="AV8" s="101"/>
    </row>
    <row r="9" spans="1:48" ht="15" customHeight="1">
      <c r="A9" s="72">
        <v>1</v>
      </c>
      <c r="B9" s="29" t="s">
        <v>35</v>
      </c>
      <c r="C9" s="29" t="s">
        <v>139</v>
      </c>
      <c r="D9" s="62" t="s">
        <v>10</v>
      </c>
      <c r="E9" s="248" t="s">
        <v>315</v>
      </c>
      <c r="F9" s="264">
        <v>23</v>
      </c>
      <c r="G9" s="68">
        <v>137061</v>
      </c>
      <c r="H9" s="16">
        <v>4494855</v>
      </c>
      <c r="I9" s="16">
        <v>0</v>
      </c>
      <c r="J9" s="16">
        <v>0</v>
      </c>
      <c r="K9" s="16">
        <v>0</v>
      </c>
      <c r="L9" s="16">
        <v>0</v>
      </c>
      <c r="M9" s="16">
        <v>21667</v>
      </c>
      <c r="N9" s="16">
        <f t="shared" ref="N9:N21" si="0">+L9*M9</f>
        <v>0</v>
      </c>
      <c r="O9" s="142">
        <v>0</v>
      </c>
      <c r="P9" s="122">
        <f>+H9/173</f>
        <v>25981.820809248555</v>
      </c>
      <c r="Q9" s="24">
        <f>+O9*P9</f>
        <v>0</v>
      </c>
      <c r="R9" s="24">
        <f t="shared" ref="R9" si="1">+N9+Q9</f>
        <v>0</v>
      </c>
      <c r="S9" s="24">
        <f t="shared" ref="S9:S39" si="2">+U9/T9</f>
        <v>19</v>
      </c>
      <c r="T9" s="24">
        <v>4000</v>
      </c>
      <c r="U9" s="24">
        <v>76000</v>
      </c>
      <c r="V9" s="24"/>
      <c r="W9" s="25">
        <f t="shared" ref="W9" si="3">+H9+I9+J9+K9+R9+U9+V9</f>
        <v>4570855</v>
      </c>
      <c r="X9" s="24">
        <f>+AM9*$X$7</f>
        <v>58038.810900000004</v>
      </c>
      <c r="Y9" s="24">
        <f>+AM9*$Y$7</f>
        <v>97544.22</v>
      </c>
      <c r="Z9" s="24">
        <f>+AM9*$Z$7</f>
        <v>97544.22</v>
      </c>
      <c r="AA9" s="24">
        <f>+AN9*$AA$7</f>
        <v>195088.44</v>
      </c>
      <c r="AB9" s="25">
        <f t="shared" ref="AB9:AB15" si="4">SUM(X9:AA9)</f>
        <v>448215.69090000005</v>
      </c>
      <c r="AC9" s="25">
        <f t="shared" ref="AC9:AC39" si="5">+W9+AB9</f>
        <v>5019070.6908999998</v>
      </c>
      <c r="AD9" s="66">
        <f>+AM9*$AD$7</f>
        <v>97544.22</v>
      </c>
      <c r="AE9" s="66">
        <f>+AM9*$AE$7</f>
        <v>48772.11</v>
      </c>
      <c r="AF9" s="66">
        <f>+AN9*$AF$7</f>
        <v>48772.11</v>
      </c>
      <c r="AG9" s="24">
        <v>0</v>
      </c>
      <c r="AH9" s="25">
        <f t="shared" ref="AH9:AH33" si="6">SUM(AD9:AG9)</f>
        <v>195088.44</v>
      </c>
      <c r="AI9" s="24">
        <v>0</v>
      </c>
      <c r="AJ9" s="25">
        <f>+W9-AH9-AI9</f>
        <v>4375766.5599999996</v>
      </c>
      <c r="AM9" s="24">
        <v>4877211</v>
      </c>
      <c r="AN9" s="24">
        <v>4877211</v>
      </c>
      <c r="AO9" s="101">
        <f>+W9+X9+AA9</f>
        <v>4823982.2509000003</v>
      </c>
      <c r="AP9" s="101">
        <f t="shared" ref="AP9:AP27" si="7">IF(AO9*$AP$7&gt;500000,500000,AO9*$AP$7)</f>
        <v>241199.11254500004</v>
      </c>
      <c r="AQ9" s="101">
        <f t="shared" ref="AQ9:AQ39" si="8">+AO9-AP9-AD9-AE9</f>
        <v>4436466.8083549999</v>
      </c>
      <c r="AR9" s="101">
        <f t="shared" ref="AR9:AR22" si="9">+AQ9*$AR$7</f>
        <v>53237601.700259998</v>
      </c>
      <c r="AS9" s="101">
        <f t="shared" ref="AS9:AS39" si="10">IF(D9="TK",54000000,(IF(OR(D9="TK1",D9="K"),58500000,(IF(OR(D9="TK2",D9="K1"),63000000,(IF(OR(OR(D9="TK3",D9="TK4"),D9="K2"),67500000,72000000)))))))</f>
        <v>54000000</v>
      </c>
      <c r="AT9" s="113">
        <f t="shared" ref="AT9:AT15" si="11">IF((+AR9-AS9)&lt;=0,0,TRUNC((AR9-AS9)/1000)*1000)</f>
        <v>0</v>
      </c>
      <c r="AU9" s="113">
        <f t="shared" ref="AU9:AU15" si="12">IF(AT9&lt;=60000000,AT9*5%,IF(AT9&lt;=250000000,3000000+((AT9-60000000)*15%),IF(AT9&lt;=500000000,31500000+((AT9-250000000)*25%),IF(AND(AT9&gt;=500000000,AT9&lt;=5000000000),94000000+((AT9-500000000)*30%),IF(AT9&gt;5000000000,(1444000000+(AT9-5000000000)*35%))))))</f>
        <v>0</v>
      </c>
      <c r="AV9" s="116" t="e">
        <f>AU9/#REF!</f>
        <v>#REF!</v>
      </c>
    </row>
    <row r="10" spans="1:48" s="111" customFormat="1" ht="15" customHeight="1">
      <c r="A10" s="72">
        <v>2</v>
      </c>
      <c r="B10" s="29" t="s">
        <v>37</v>
      </c>
      <c r="C10" s="29" t="s">
        <v>140</v>
      </c>
      <c r="D10" s="62" t="s">
        <v>17</v>
      </c>
      <c r="E10" s="251" t="s">
        <v>316</v>
      </c>
      <c r="F10" s="264">
        <v>28</v>
      </c>
      <c r="G10" s="68">
        <v>137061</v>
      </c>
      <c r="H10" s="16">
        <v>4494855</v>
      </c>
      <c r="I10" s="16">
        <v>80000</v>
      </c>
      <c r="J10" s="16">
        <v>80000</v>
      </c>
      <c r="K10" s="16">
        <v>0</v>
      </c>
      <c r="L10" s="16">
        <v>0</v>
      </c>
      <c r="M10" s="16">
        <v>21667</v>
      </c>
      <c r="N10" s="16">
        <f t="shared" si="0"/>
        <v>0</v>
      </c>
      <c r="O10" s="142">
        <v>0</v>
      </c>
      <c r="P10" s="122">
        <f t="shared" ref="P10:P42" si="13">+H10/173</f>
        <v>25981.820809248555</v>
      </c>
      <c r="Q10" s="24">
        <f t="shared" ref="Q10:Q21" si="14">+O10*P10</f>
        <v>0</v>
      </c>
      <c r="R10" s="24">
        <f t="shared" ref="R10:R21" si="15">+N10+Q10</f>
        <v>0</v>
      </c>
      <c r="S10" s="24">
        <f t="shared" si="2"/>
        <v>23</v>
      </c>
      <c r="T10" s="24">
        <v>4000</v>
      </c>
      <c r="U10" s="24">
        <v>92000</v>
      </c>
      <c r="V10" s="24"/>
      <c r="W10" s="25">
        <f t="shared" ref="W10:W39" si="16">+H10+I10+J10+K10+R10+U10+V10</f>
        <v>4746855</v>
      </c>
      <c r="X10" s="24">
        <f t="shared" ref="X10:X42" si="17">+AM10*$X$7</f>
        <v>58038.810900000004</v>
      </c>
      <c r="Y10" s="24">
        <f t="shared" ref="Y10:Y42" si="18">+AM10*$Y$7</f>
        <v>97544.22</v>
      </c>
      <c r="Z10" s="24">
        <f t="shared" ref="Z10:Z42" si="19">+AM10*$Z$7</f>
        <v>97544.22</v>
      </c>
      <c r="AA10" s="24">
        <f t="shared" ref="AA10:AA42" si="20">+AN10*$AA$7</f>
        <v>195088.44</v>
      </c>
      <c r="AB10" s="25">
        <f t="shared" si="4"/>
        <v>448215.69090000005</v>
      </c>
      <c r="AC10" s="25">
        <f t="shared" si="5"/>
        <v>5195070.6908999998</v>
      </c>
      <c r="AD10" s="66">
        <f t="shared" ref="AD10:AD42" si="21">+AM10*$AD$7</f>
        <v>97544.22</v>
      </c>
      <c r="AE10" s="66">
        <f t="shared" ref="AE10:AE42" si="22">+AM10*$AE$7</f>
        <v>48772.11</v>
      </c>
      <c r="AF10" s="66">
        <f t="shared" ref="AF10:AF42" si="23">+AN10*$AF$7</f>
        <v>48772.11</v>
      </c>
      <c r="AG10" s="24">
        <v>0</v>
      </c>
      <c r="AH10" s="25">
        <f t="shared" si="6"/>
        <v>195088.44</v>
      </c>
      <c r="AI10" s="24">
        <v>0</v>
      </c>
      <c r="AJ10" s="25">
        <f t="shared" ref="AJ10:AJ27" si="24">+W10-AH10-AI10</f>
        <v>4551766.5599999996</v>
      </c>
      <c r="AK10" s="112"/>
      <c r="AM10" s="24">
        <v>4877211</v>
      </c>
      <c r="AN10" s="24">
        <v>4877211</v>
      </c>
      <c r="AO10" s="38">
        <f t="shared" ref="AO10:AO39" si="25">+W10+X10+AA10</f>
        <v>4999982.2509000003</v>
      </c>
      <c r="AP10" s="101">
        <f t="shared" si="7"/>
        <v>249999.11254500004</v>
      </c>
      <c r="AQ10" s="38">
        <f t="shared" si="8"/>
        <v>4603666.8083549999</v>
      </c>
      <c r="AR10" s="38">
        <f t="shared" si="9"/>
        <v>55244001.700259998</v>
      </c>
      <c r="AS10" s="38">
        <f t="shared" si="10"/>
        <v>58500000</v>
      </c>
      <c r="AT10" s="113">
        <f t="shared" si="11"/>
        <v>0</v>
      </c>
      <c r="AU10" s="113">
        <f t="shared" si="12"/>
        <v>0</v>
      </c>
      <c r="AV10" s="116" t="e">
        <f>AU10/#REF!</f>
        <v>#REF!</v>
      </c>
    </row>
    <row r="11" spans="1:48" s="111" customFormat="1" ht="15" customHeight="1">
      <c r="A11" s="72">
        <v>3</v>
      </c>
      <c r="B11" s="29" t="s">
        <v>101</v>
      </c>
      <c r="C11" s="29" t="s">
        <v>141</v>
      </c>
      <c r="D11" s="62" t="s">
        <v>10</v>
      </c>
      <c r="E11" s="251" t="s">
        <v>317</v>
      </c>
      <c r="F11" s="264">
        <v>30</v>
      </c>
      <c r="G11" s="68">
        <v>137061</v>
      </c>
      <c r="H11" s="16">
        <v>4494855</v>
      </c>
      <c r="I11" s="16">
        <v>80000</v>
      </c>
      <c r="J11" s="16">
        <v>80000</v>
      </c>
      <c r="K11" s="16">
        <v>0</v>
      </c>
      <c r="L11" s="16">
        <v>0</v>
      </c>
      <c r="M11" s="16">
        <v>21667</v>
      </c>
      <c r="N11" s="16">
        <f t="shared" si="0"/>
        <v>0</v>
      </c>
      <c r="O11" s="142">
        <v>9.5</v>
      </c>
      <c r="P11" s="122">
        <f t="shared" si="13"/>
        <v>25981.820809248555</v>
      </c>
      <c r="Q11" s="24">
        <f t="shared" si="14"/>
        <v>246827.29768786128</v>
      </c>
      <c r="R11" s="24">
        <f t="shared" si="15"/>
        <v>246827.29768786128</v>
      </c>
      <c r="S11" s="24">
        <f t="shared" si="2"/>
        <v>24</v>
      </c>
      <c r="T11" s="24">
        <v>4000</v>
      </c>
      <c r="U11" s="24">
        <v>96000</v>
      </c>
      <c r="V11" s="24"/>
      <c r="W11" s="25">
        <f t="shared" si="16"/>
        <v>4997682.2976878611</v>
      </c>
      <c r="X11" s="24">
        <f t="shared" si="17"/>
        <v>58038.810900000004</v>
      </c>
      <c r="Y11" s="24">
        <f t="shared" si="18"/>
        <v>97544.22</v>
      </c>
      <c r="Z11" s="24">
        <f t="shared" si="19"/>
        <v>97544.22</v>
      </c>
      <c r="AA11" s="24">
        <f t="shared" si="20"/>
        <v>195088.44</v>
      </c>
      <c r="AB11" s="25">
        <f t="shared" si="4"/>
        <v>448215.69090000005</v>
      </c>
      <c r="AC11" s="25">
        <f t="shared" si="5"/>
        <v>5445897.9885878609</v>
      </c>
      <c r="AD11" s="66">
        <f t="shared" si="21"/>
        <v>97544.22</v>
      </c>
      <c r="AE11" s="66">
        <f t="shared" si="22"/>
        <v>48772.11</v>
      </c>
      <c r="AF11" s="66">
        <f t="shared" si="23"/>
        <v>48772.11</v>
      </c>
      <c r="AG11" s="24">
        <v>0</v>
      </c>
      <c r="AH11" s="25">
        <f t="shared" si="6"/>
        <v>195088.44</v>
      </c>
      <c r="AI11" s="24">
        <v>0</v>
      </c>
      <c r="AJ11" s="25">
        <f t="shared" si="24"/>
        <v>4802593.8576878607</v>
      </c>
      <c r="AK11" s="112"/>
      <c r="AM11" s="24">
        <v>4877211</v>
      </c>
      <c r="AN11" s="24">
        <v>4877211</v>
      </c>
      <c r="AO11" s="38">
        <f t="shared" si="25"/>
        <v>5250809.5485878615</v>
      </c>
      <c r="AP11" s="101">
        <f t="shared" si="7"/>
        <v>262540.4774293931</v>
      </c>
      <c r="AQ11" s="38">
        <f t="shared" si="8"/>
        <v>4841952.7411584686</v>
      </c>
      <c r="AR11" s="38">
        <f t="shared" si="9"/>
        <v>58103432.893901624</v>
      </c>
      <c r="AS11" s="38">
        <f t="shared" si="10"/>
        <v>54000000</v>
      </c>
      <c r="AT11" s="113">
        <f t="shared" si="11"/>
        <v>4103000</v>
      </c>
      <c r="AU11" s="113">
        <f t="shared" si="12"/>
        <v>205150</v>
      </c>
      <c r="AV11" s="116" t="e">
        <f>AU11/#REF!</f>
        <v>#REF!</v>
      </c>
    </row>
    <row r="12" spans="1:48" s="111" customFormat="1" ht="15" customHeight="1">
      <c r="A12" s="72">
        <v>4</v>
      </c>
      <c r="B12" s="29" t="s">
        <v>38</v>
      </c>
      <c r="C12" s="29" t="s">
        <v>142</v>
      </c>
      <c r="D12" s="62" t="s">
        <v>17</v>
      </c>
      <c r="E12" s="251" t="s">
        <v>318</v>
      </c>
      <c r="F12" s="264">
        <v>30</v>
      </c>
      <c r="G12" s="68">
        <v>137061</v>
      </c>
      <c r="H12" s="16">
        <v>4494855</v>
      </c>
      <c r="I12" s="16">
        <v>80000</v>
      </c>
      <c r="J12" s="16">
        <v>50000</v>
      </c>
      <c r="K12" s="16">
        <v>0</v>
      </c>
      <c r="L12" s="16">
        <v>0</v>
      </c>
      <c r="M12" s="16">
        <v>21667</v>
      </c>
      <c r="N12" s="16">
        <f t="shared" si="0"/>
        <v>0</v>
      </c>
      <c r="O12" s="142">
        <v>9.5</v>
      </c>
      <c r="P12" s="122">
        <f t="shared" si="13"/>
        <v>25981.820809248555</v>
      </c>
      <c r="Q12" s="24">
        <f t="shared" ref="Q12:Q20" si="26">+O12*P12</f>
        <v>246827.29768786128</v>
      </c>
      <c r="R12" s="24">
        <f t="shared" ref="R12:R20" si="27">+N12+Q12</f>
        <v>246827.29768786128</v>
      </c>
      <c r="S12" s="24">
        <f t="shared" si="2"/>
        <v>24</v>
      </c>
      <c r="T12" s="24">
        <v>4000</v>
      </c>
      <c r="U12" s="24">
        <v>96000</v>
      </c>
      <c r="V12" s="24"/>
      <c r="W12" s="25">
        <f t="shared" si="16"/>
        <v>4967682.2976878611</v>
      </c>
      <c r="X12" s="24">
        <f t="shared" si="17"/>
        <v>58038.810900000004</v>
      </c>
      <c r="Y12" s="24">
        <f t="shared" si="18"/>
        <v>97544.22</v>
      </c>
      <c r="Z12" s="24">
        <f t="shared" si="19"/>
        <v>97544.22</v>
      </c>
      <c r="AA12" s="24">
        <f t="shared" si="20"/>
        <v>195088.44</v>
      </c>
      <c r="AB12" s="25">
        <f t="shared" si="4"/>
        <v>448215.69090000005</v>
      </c>
      <c r="AC12" s="25">
        <f t="shared" si="5"/>
        <v>5415897.9885878609</v>
      </c>
      <c r="AD12" s="66">
        <f t="shared" si="21"/>
        <v>97544.22</v>
      </c>
      <c r="AE12" s="66">
        <f t="shared" si="22"/>
        <v>48772.11</v>
      </c>
      <c r="AF12" s="66">
        <f t="shared" si="23"/>
        <v>48772.11</v>
      </c>
      <c r="AG12" s="24">
        <f>+AF12*1</f>
        <v>48772.11</v>
      </c>
      <c r="AH12" s="25">
        <f t="shared" si="6"/>
        <v>243860.55</v>
      </c>
      <c r="AI12" s="24">
        <v>0</v>
      </c>
      <c r="AJ12" s="25">
        <f t="shared" si="24"/>
        <v>4723821.7476878613</v>
      </c>
      <c r="AK12" s="112"/>
      <c r="AM12" s="24">
        <v>4877211</v>
      </c>
      <c r="AN12" s="24">
        <v>4877211</v>
      </c>
      <c r="AO12" s="38">
        <f t="shared" si="25"/>
        <v>5220809.5485878615</v>
      </c>
      <c r="AP12" s="101">
        <f t="shared" si="7"/>
        <v>261040.4774293931</v>
      </c>
      <c r="AQ12" s="38">
        <f t="shared" si="8"/>
        <v>4813452.7411584686</v>
      </c>
      <c r="AR12" s="38">
        <f t="shared" si="9"/>
        <v>57761432.893901624</v>
      </c>
      <c r="AS12" s="38">
        <f t="shared" si="10"/>
        <v>58500000</v>
      </c>
      <c r="AT12" s="113">
        <f t="shared" si="11"/>
        <v>0</v>
      </c>
      <c r="AU12" s="113">
        <f t="shared" si="12"/>
        <v>0</v>
      </c>
      <c r="AV12" s="116" t="e">
        <f>AU12/#REF!</f>
        <v>#REF!</v>
      </c>
    </row>
    <row r="13" spans="1:48" s="111" customFormat="1" ht="15" customHeight="1">
      <c r="A13" s="72">
        <v>5</v>
      </c>
      <c r="B13" s="29" t="s">
        <v>92</v>
      </c>
      <c r="C13" s="29" t="s">
        <v>15</v>
      </c>
      <c r="D13" s="62" t="s">
        <v>9</v>
      </c>
      <c r="E13" s="251" t="s">
        <v>319</v>
      </c>
      <c r="F13" s="264">
        <v>26</v>
      </c>
      <c r="G13" s="68">
        <v>137061</v>
      </c>
      <c r="H13" s="16">
        <v>4494855</v>
      </c>
      <c r="I13" s="16">
        <v>0</v>
      </c>
      <c r="J13" s="16">
        <v>0</v>
      </c>
      <c r="K13" s="16">
        <v>0</v>
      </c>
      <c r="L13" s="16">
        <v>0</v>
      </c>
      <c r="M13" s="16">
        <v>21667</v>
      </c>
      <c r="N13" s="16">
        <f t="shared" si="0"/>
        <v>0</v>
      </c>
      <c r="O13" s="142">
        <v>44</v>
      </c>
      <c r="P13" s="122">
        <f t="shared" si="13"/>
        <v>25981.820809248555</v>
      </c>
      <c r="Q13" s="24">
        <f t="shared" si="26"/>
        <v>1143200.1156069364</v>
      </c>
      <c r="R13" s="24">
        <f t="shared" si="27"/>
        <v>1143200.1156069364</v>
      </c>
      <c r="S13" s="24">
        <f t="shared" si="2"/>
        <v>19</v>
      </c>
      <c r="T13" s="24">
        <v>4000</v>
      </c>
      <c r="U13" s="24">
        <v>76000</v>
      </c>
      <c r="V13" s="24"/>
      <c r="W13" s="25">
        <f t="shared" si="16"/>
        <v>5714055.1156069366</v>
      </c>
      <c r="X13" s="24">
        <f t="shared" si="17"/>
        <v>58038.810900000004</v>
      </c>
      <c r="Y13" s="24">
        <f t="shared" si="18"/>
        <v>97544.22</v>
      </c>
      <c r="Z13" s="24">
        <f t="shared" si="19"/>
        <v>97544.22</v>
      </c>
      <c r="AA13" s="24">
        <f t="shared" si="20"/>
        <v>195088.44</v>
      </c>
      <c r="AB13" s="25">
        <f t="shared" si="4"/>
        <v>448215.69090000005</v>
      </c>
      <c r="AC13" s="25">
        <f t="shared" si="5"/>
        <v>6162270.8065069364</v>
      </c>
      <c r="AD13" s="66">
        <f t="shared" si="21"/>
        <v>97544.22</v>
      </c>
      <c r="AE13" s="66">
        <f t="shared" si="22"/>
        <v>48772.11</v>
      </c>
      <c r="AF13" s="66">
        <f t="shared" si="23"/>
        <v>48772.11</v>
      </c>
      <c r="AG13" s="24">
        <v>0</v>
      </c>
      <c r="AH13" s="25">
        <f t="shared" si="6"/>
        <v>195088.44</v>
      </c>
      <c r="AI13" s="24">
        <v>0</v>
      </c>
      <c r="AJ13" s="25">
        <f t="shared" si="24"/>
        <v>5518966.6756069362</v>
      </c>
      <c r="AK13" s="112"/>
      <c r="AM13" s="24">
        <v>4877211</v>
      </c>
      <c r="AN13" s="24">
        <v>4877211</v>
      </c>
      <c r="AO13" s="38">
        <f t="shared" si="25"/>
        <v>5967182.366506937</v>
      </c>
      <c r="AP13" s="101">
        <f t="shared" si="7"/>
        <v>298359.11832534685</v>
      </c>
      <c r="AQ13" s="38">
        <f t="shared" si="8"/>
        <v>5522506.9181815898</v>
      </c>
      <c r="AR13" s="38">
        <f t="shared" si="9"/>
        <v>66270083.018179074</v>
      </c>
      <c r="AS13" s="38">
        <f t="shared" si="10"/>
        <v>63000000</v>
      </c>
      <c r="AT13" s="113">
        <f t="shared" si="11"/>
        <v>3270000</v>
      </c>
      <c r="AU13" s="113">
        <f t="shared" si="12"/>
        <v>163500</v>
      </c>
      <c r="AV13" s="116" t="e">
        <f>AU13/#REF!</f>
        <v>#REF!</v>
      </c>
    </row>
    <row r="14" spans="1:48" s="111" customFormat="1" ht="15" customHeight="1">
      <c r="A14" s="72">
        <v>6</v>
      </c>
      <c r="B14" s="29" t="s">
        <v>357</v>
      </c>
      <c r="C14" s="29" t="s">
        <v>100</v>
      </c>
      <c r="D14" s="62" t="s">
        <v>10</v>
      </c>
      <c r="E14" s="252" t="s">
        <v>320</v>
      </c>
      <c r="F14" s="264">
        <v>30</v>
      </c>
      <c r="G14" s="16">
        <v>105441</v>
      </c>
      <c r="H14" s="16">
        <v>4494855</v>
      </c>
      <c r="I14" s="16">
        <v>0</v>
      </c>
      <c r="J14" s="16">
        <v>0</v>
      </c>
      <c r="K14" s="16">
        <v>0</v>
      </c>
      <c r="L14" s="16">
        <v>0</v>
      </c>
      <c r="M14" s="16">
        <v>16669</v>
      </c>
      <c r="N14" s="16">
        <f t="shared" si="0"/>
        <v>0</v>
      </c>
      <c r="O14" s="142">
        <v>0</v>
      </c>
      <c r="P14" s="122">
        <f t="shared" si="13"/>
        <v>25981.820809248555</v>
      </c>
      <c r="Q14" s="24">
        <f t="shared" si="26"/>
        <v>0</v>
      </c>
      <c r="R14" s="24">
        <f t="shared" si="27"/>
        <v>0</v>
      </c>
      <c r="S14" s="24">
        <f t="shared" si="2"/>
        <v>25</v>
      </c>
      <c r="T14" s="24">
        <v>4000</v>
      </c>
      <c r="U14" s="24">
        <v>100000</v>
      </c>
      <c r="V14" s="24"/>
      <c r="W14" s="25">
        <f>+H14+I14+J14+K14+R14+U14+V14</f>
        <v>4594855</v>
      </c>
      <c r="X14" s="24">
        <f t="shared" si="17"/>
        <v>58038.810900000004</v>
      </c>
      <c r="Y14" s="24">
        <f t="shared" si="18"/>
        <v>97544.22</v>
      </c>
      <c r="Z14" s="24">
        <f t="shared" si="19"/>
        <v>97544.22</v>
      </c>
      <c r="AA14" s="24">
        <f t="shared" si="20"/>
        <v>195088.44</v>
      </c>
      <c r="AB14" s="25">
        <f t="shared" si="4"/>
        <v>448215.69090000005</v>
      </c>
      <c r="AC14" s="25">
        <f t="shared" si="5"/>
        <v>5043070.6908999998</v>
      </c>
      <c r="AD14" s="66">
        <f t="shared" si="21"/>
        <v>97544.22</v>
      </c>
      <c r="AE14" s="66">
        <f t="shared" si="22"/>
        <v>48772.11</v>
      </c>
      <c r="AF14" s="66">
        <f t="shared" si="23"/>
        <v>48772.11</v>
      </c>
      <c r="AG14" s="24">
        <v>0</v>
      </c>
      <c r="AH14" s="25">
        <f t="shared" si="6"/>
        <v>195088.44</v>
      </c>
      <c r="AI14" s="24">
        <v>0</v>
      </c>
      <c r="AJ14" s="25">
        <f t="shared" si="24"/>
        <v>4399766.5599999996</v>
      </c>
      <c r="AK14" s="112"/>
      <c r="AM14" s="24">
        <v>4877211</v>
      </c>
      <c r="AN14" s="24">
        <v>4877211</v>
      </c>
      <c r="AO14" s="38">
        <f t="shared" si="25"/>
        <v>4847982.2509000003</v>
      </c>
      <c r="AP14" s="101">
        <f t="shared" si="7"/>
        <v>242399.11254500004</v>
      </c>
      <c r="AQ14" s="38">
        <f t="shared" si="8"/>
        <v>4459266.8083549999</v>
      </c>
      <c r="AR14" s="38">
        <f t="shared" si="9"/>
        <v>53511201.700259998</v>
      </c>
      <c r="AS14" s="38">
        <f t="shared" si="10"/>
        <v>54000000</v>
      </c>
      <c r="AT14" s="113">
        <f t="shared" si="11"/>
        <v>0</v>
      </c>
      <c r="AU14" s="113">
        <f t="shared" si="12"/>
        <v>0</v>
      </c>
      <c r="AV14" s="116" t="e">
        <f>AU14/#REF!</f>
        <v>#REF!</v>
      </c>
    </row>
    <row r="15" spans="1:48" s="111" customFormat="1" ht="15" customHeight="1">
      <c r="A15" s="72">
        <v>7</v>
      </c>
      <c r="B15" s="29" t="s">
        <v>93</v>
      </c>
      <c r="C15" s="29" t="s">
        <v>15</v>
      </c>
      <c r="D15" s="62" t="s">
        <v>10</v>
      </c>
      <c r="E15" s="251" t="s">
        <v>321</v>
      </c>
      <c r="F15" s="264">
        <v>30</v>
      </c>
      <c r="G15" s="16">
        <v>137061</v>
      </c>
      <c r="H15" s="16">
        <v>4494855</v>
      </c>
      <c r="I15" s="16">
        <v>0</v>
      </c>
      <c r="J15" s="16">
        <v>0</v>
      </c>
      <c r="K15" s="16">
        <v>0</v>
      </c>
      <c r="L15" s="16">
        <v>0</v>
      </c>
      <c r="M15" s="16">
        <v>21667</v>
      </c>
      <c r="N15" s="16">
        <f t="shared" si="0"/>
        <v>0</v>
      </c>
      <c r="O15" s="142">
        <v>62.5</v>
      </c>
      <c r="P15" s="122">
        <f t="shared" si="13"/>
        <v>25981.820809248555</v>
      </c>
      <c r="Q15" s="24">
        <f t="shared" si="26"/>
        <v>1623863.8005780347</v>
      </c>
      <c r="R15" s="24">
        <f t="shared" si="27"/>
        <v>1623863.8005780347</v>
      </c>
      <c r="S15" s="24">
        <f t="shared" si="2"/>
        <v>25</v>
      </c>
      <c r="T15" s="24">
        <v>4000</v>
      </c>
      <c r="U15" s="24">
        <v>100000</v>
      </c>
      <c r="V15" s="24"/>
      <c r="W15" s="25">
        <f t="shared" si="16"/>
        <v>6218718.8005780345</v>
      </c>
      <c r="X15" s="24">
        <f t="shared" si="17"/>
        <v>58038.810900000004</v>
      </c>
      <c r="Y15" s="24">
        <f t="shared" si="18"/>
        <v>97544.22</v>
      </c>
      <c r="Z15" s="24">
        <f t="shared" si="19"/>
        <v>97544.22</v>
      </c>
      <c r="AA15" s="24">
        <f t="shared" si="20"/>
        <v>195088.44</v>
      </c>
      <c r="AB15" s="25">
        <f t="shared" si="4"/>
        <v>448215.69090000005</v>
      </c>
      <c r="AC15" s="25">
        <f t="shared" si="5"/>
        <v>6666934.4914780343</v>
      </c>
      <c r="AD15" s="66">
        <f t="shared" si="21"/>
        <v>97544.22</v>
      </c>
      <c r="AE15" s="66">
        <f t="shared" si="22"/>
        <v>48772.11</v>
      </c>
      <c r="AF15" s="66">
        <f t="shared" si="23"/>
        <v>48772.11</v>
      </c>
      <c r="AG15" s="24">
        <v>0</v>
      </c>
      <c r="AH15" s="25">
        <f t="shared" si="6"/>
        <v>195088.44</v>
      </c>
      <c r="AI15" s="24">
        <v>64718</v>
      </c>
      <c r="AJ15" s="25">
        <f t="shared" si="24"/>
        <v>5958912.3605780341</v>
      </c>
      <c r="AK15" s="112"/>
      <c r="AM15" s="24">
        <v>4877211</v>
      </c>
      <c r="AN15" s="24">
        <v>4877211</v>
      </c>
      <c r="AO15" s="38">
        <f t="shared" si="25"/>
        <v>6471846.0514780348</v>
      </c>
      <c r="AP15" s="101">
        <f t="shared" si="7"/>
        <v>323592.30257390178</v>
      </c>
      <c r="AQ15" s="38">
        <f t="shared" si="8"/>
        <v>6001937.4189041331</v>
      </c>
      <c r="AR15" s="38">
        <f t="shared" si="9"/>
        <v>72023249.026849598</v>
      </c>
      <c r="AS15" s="38">
        <f t="shared" si="10"/>
        <v>54000000</v>
      </c>
      <c r="AT15" s="113">
        <f t="shared" si="11"/>
        <v>18023000</v>
      </c>
      <c r="AU15" s="113">
        <f t="shared" si="12"/>
        <v>901150</v>
      </c>
      <c r="AV15" s="116" t="e">
        <f>AU15/#REF!</f>
        <v>#REF!</v>
      </c>
    </row>
    <row r="16" spans="1:48" s="111" customFormat="1" ht="15" customHeight="1">
      <c r="A16" s="72">
        <v>8</v>
      </c>
      <c r="B16" s="29" t="s">
        <v>119</v>
      </c>
      <c r="C16" s="29" t="s">
        <v>145</v>
      </c>
      <c r="D16" s="62" t="s">
        <v>17</v>
      </c>
      <c r="E16" s="252" t="s">
        <v>322</v>
      </c>
      <c r="F16" s="264">
        <v>29</v>
      </c>
      <c r="G16" s="16">
        <v>124352</v>
      </c>
      <c r="H16" s="16">
        <v>4394855</v>
      </c>
      <c r="I16" s="16">
        <v>80000</v>
      </c>
      <c r="J16" s="16">
        <v>40000</v>
      </c>
      <c r="K16" s="16">
        <v>0</v>
      </c>
      <c r="L16" s="16">
        <v>0</v>
      </c>
      <c r="M16" s="16">
        <v>19658</v>
      </c>
      <c r="N16" s="16">
        <f t="shared" si="0"/>
        <v>0</v>
      </c>
      <c r="O16" s="142">
        <v>5.5</v>
      </c>
      <c r="P16" s="122">
        <f t="shared" si="13"/>
        <v>25403.78612716763</v>
      </c>
      <c r="Q16" s="24">
        <f t="shared" si="26"/>
        <v>139720.82369942198</v>
      </c>
      <c r="R16" s="24">
        <f t="shared" si="27"/>
        <v>139720.82369942198</v>
      </c>
      <c r="S16" s="24">
        <f t="shared" si="2"/>
        <v>23</v>
      </c>
      <c r="T16" s="24">
        <v>4000</v>
      </c>
      <c r="U16" s="24">
        <v>92000</v>
      </c>
      <c r="V16" s="24"/>
      <c r="W16" s="25">
        <f t="shared" si="16"/>
        <v>4746575.8236994222</v>
      </c>
      <c r="X16" s="24">
        <f t="shared" si="17"/>
        <v>58038.810900000004</v>
      </c>
      <c r="Y16" s="24">
        <f t="shared" si="18"/>
        <v>97544.22</v>
      </c>
      <c r="Z16" s="24">
        <f t="shared" si="19"/>
        <v>97544.22</v>
      </c>
      <c r="AA16" s="24">
        <f t="shared" si="20"/>
        <v>195088.44</v>
      </c>
      <c r="AB16" s="25">
        <f t="shared" ref="AB16:AB21" si="28">SUM(X16:AA16)</f>
        <v>448215.69090000005</v>
      </c>
      <c r="AC16" s="25">
        <f t="shared" si="5"/>
        <v>5194791.514599422</v>
      </c>
      <c r="AD16" s="66">
        <f t="shared" si="21"/>
        <v>97544.22</v>
      </c>
      <c r="AE16" s="66">
        <f t="shared" si="22"/>
        <v>48772.11</v>
      </c>
      <c r="AF16" s="66">
        <f t="shared" si="23"/>
        <v>48772.11</v>
      </c>
      <c r="AG16" s="24">
        <v>0</v>
      </c>
      <c r="AH16" s="25">
        <f t="shared" si="6"/>
        <v>195088.44</v>
      </c>
      <c r="AI16" s="24">
        <v>0</v>
      </c>
      <c r="AJ16" s="25">
        <f t="shared" si="24"/>
        <v>4551487.3836994218</v>
      </c>
      <c r="AK16" s="112"/>
      <c r="AM16" s="24">
        <v>4877211</v>
      </c>
      <c r="AN16" s="24">
        <v>4877211</v>
      </c>
      <c r="AO16" s="38">
        <f t="shared" si="25"/>
        <v>4999703.0745994225</v>
      </c>
      <c r="AP16" s="101">
        <f t="shared" si="7"/>
        <v>249985.15372997115</v>
      </c>
      <c r="AQ16" s="38">
        <f t="shared" si="8"/>
        <v>4603401.5908694509</v>
      </c>
      <c r="AR16" s="38">
        <f t="shared" si="9"/>
        <v>55240819.090433411</v>
      </c>
      <c r="AS16" s="38">
        <f t="shared" si="10"/>
        <v>58500000</v>
      </c>
      <c r="AT16" s="113">
        <f t="shared" ref="AT16:AT22" si="29">IF((+AR16-AS16)&lt;=0,0,TRUNC((AR16-AS16)/1000)*1000)</f>
        <v>0</v>
      </c>
      <c r="AU16" s="113">
        <f t="shared" ref="AU16:AU22" si="30">IF(AT16&lt;=60000000,AT16*5%,IF(AT16&lt;=250000000,3000000+((AT16-60000000)*15%),IF(AT16&lt;=500000000,31500000+((AT16-250000000)*25%),IF(AND(AT16&gt;=500000000,AT16&lt;=5000000000),94000000+((AT16-500000000)*30%),IF(AT16&gt;5000000000,(1444000000+(AT16-5000000000)*35%))))))</f>
        <v>0</v>
      </c>
      <c r="AV16" s="116" t="e">
        <f>AU16/#REF!</f>
        <v>#REF!</v>
      </c>
    </row>
    <row r="17" spans="1:48" s="111" customFormat="1" ht="15" customHeight="1">
      <c r="A17" s="72">
        <v>9</v>
      </c>
      <c r="B17" s="29" t="s">
        <v>120</v>
      </c>
      <c r="C17" s="29" t="s">
        <v>121</v>
      </c>
      <c r="D17" s="62" t="s">
        <v>10</v>
      </c>
      <c r="E17" s="252" t="s">
        <v>323</v>
      </c>
      <c r="F17" s="264">
        <v>29</v>
      </c>
      <c r="G17" s="16">
        <v>124352</v>
      </c>
      <c r="H17" s="16">
        <v>4394855</v>
      </c>
      <c r="I17" s="16">
        <v>0</v>
      </c>
      <c r="J17" s="16">
        <v>0</v>
      </c>
      <c r="K17" s="16">
        <v>0</v>
      </c>
      <c r="L17" s="16">
        <v>0</v>
      </c>
      <c r="M17" s="16">
        <v>19658</v>
      </c>
      <c r="N17" s="16">
        <f t="shared" si="0"/>
        <v>0</v>
      </c>
      <c r="O17" s="142">
        <v>0</v>
      </c>
      <c r="P17" s="122">
        <f t="shared" si="13"/>
        <v>25403.78612716763</v>
      </c>
      <c r="Q17" s="24">
        <f t="shared" si="26"/>
        <v>0</v>
      </c>
      <c r="R17" s="24">
        <f t="shared" si="27"/>
        <v>0</v>
      </c>
      <c r="S17" s="24">
        <f t="shared" si="2"/>
        <v>24</v>
      </c>
      <c r="T17" s="24">
        <v>4000</v>
      </c>
      <c r="U17" s="24">
        <v>96000</v>
      </c>
      <c r="V17" s="24"/>
      <c r="W17" s="25">
        <f t="shared" si="16"/>
        <v>4490855</v>
      </c>
      <c r="X17" s="24">
        <f t="shared" si="17"/>
        <v>58038.810900000004</v>
      </c>
      <c r="Y17" s="24">
        <f t="shared" si="18"/>
        <v>97544.22</v>
      </c>
      <c r="Z17" s="24">
        <f t="shared" si="19"/>
        <v>97544.22</v>
      </c>
      <c r="AA17" s="24">
        <f t="shared" si="20"/>
        <v>195088.44</v>
      </c>
      <c r="AB17" s="25">
        <f t="shared" si="28"/>
        <v>448215.69090000005</v>
      </c>
      <c r="AC17" s="25">
        <f t="shared" si="5"/>
        <v>4939070.6908999998</v>
      </c>
      <c r="AD17" s="66">
        <f t="shared" si="21"/>
        <v>97544.22</v>
      </c>
      <c r="AE17" s="66">
        <f t="shared" si="22"/>
        <v>48772.11</v>
      </c>
      <c r="AF17" s="66">
        <f t="shared" si="23"/>
        <v>48772.11</v>
      </c>
      <c r="AG17" s="24">
        <f>+AF17*1</f>
        <v>48772.11</v>
      </c>
      <c r="AH17" s="25">
        <f t="shared" si="6"/>
        <v>243860.55</v>
      </c>
      <c r="AI17" s="24">
        <v>0</v>
      </c>
      <c r="AJ17" s="25">
        <f t="shared" si="24"/>
        <v>4246994.45</v>
      </c>
      <c r="AK17" s="112"/>
      <c r="AM17" s="24">
        <v>4877211</v>
      </c>
      <c r="AN17" s="24">
        <v>4877211</v>
      </c>
      <c r="AO17" s="38">
        <f t="shared" si="25"/>
        <v>4743982.2509000003</v>
      </c>
      <c r="AP17" s="101">
        <f t="shared" si="7"/>
        <v>237199.11254500004</v>
      </c>
      <c r="AQ17" s="38">
        <f t="shared" si="8"/>
        <v>4360466.8083549999</v>
      </c>
      <c r="AR17" s="38">
        <f t="shared" si="9"/>
        <v>52325601.700259998</v>
      </c>
      <c r="AS17" s="38">
        <f t="shared" si="10"/>
        <v>54000000</v>
      </c>
      <c r="AT17" s="113">
        <f t="shared" si="29"/>
        <v>0</v>
      </c>
      <c r="AU17" s="113">
        <f t="shared" si="30"/>
        <v>0</v>
      </c>
      <c r="AV17" s="116" t="e">
        <f>AU17/#REF!</f>
        <v>#REF!</v>
      </c>
    </row>
    <row r="18" spans="1:48" s="111" customFormat="1" ht="15" customHeight="1">
      <c r="A18" s="72">
        <v>10</v>
      </c>
      <c r="B18" s="29" t="s">
        <v>122</v>
      </c>
      <c r="C18" s="29" t="s">
        <v>121</v>
      </c>
      <c r="D18" s="62" t="s">
        <v>10</v>
      </c>
      <c r="E18" s="252" t="s">
        <v>324</v>
      </c>
      <c r="F18" s="264">
        <v>29</v>
      </c>
      <c r="G18" s="16">
        <v>124352</v>
      </c>
      <c r="H18" s="16">
        <v>4394855</v>
      </c>
      <c r="I18" s="16">
        <v>80000</v>
      </c>
      <c r="J18" s="16">
        <v>80000</v>
      </c>
      <c r="K18" s="16">
        <v>0</v>
      </c>
      <c r="L18" s="16">
        <v>0</v>
      </c>
      <c r="M18" s="16">
        <v>19658</v>
      </c>
      <c r="N18" s="16">
        <f t="shared" si="0"/>
        <v>0</v>
      </c>
      <c r="O18" s="142">
        <v>0</v>
      </c>
      <c r="P18" s="122">
        <f t="shared" si="13"/>
        <v>25403.78612716763</v>
      </c>
      <c r="Q18" s="24">
        <f t="shared" si="26"/>
        <v>0</v>
      </c>
      <c r="R18" s="24">
        <f t="shared" si="27"/>
        <v>0</v>
      </c>
      <c r="S18" s="24">
        <f t="shared" si="2"/>
        <v>24</v>
      </c>
      <c r="T18" s="24">
        <v>4000</v>
      </c>
      <c r="U18" s="24">
        <v>96000</v>
      </c>
      <c r="V18" s="24"/>
      <c r="W18" s="25">
        <f t="shared" si="16"/>
        <v>4650855</v>
      </c>
      <c r="X18" s="24">
        <f t="shared" si="17"/>
        <v>58038.810900000004</v>
      </c>
      <c r="Y18" s="24">
        <f t="shared" si="18"/>
        <v>97544.22</v>
      </c>
      <c r="Z18" s="24">
        <f t="shared" si="19"/>
        <v>97544.22</v>
      </c>
      <c r="AA18" s="24">
        <f t="shared" si="20"/>
        <v>195088.44</v>
      </c>
      <c r="AB18" s="25">
        <f t="shared" si="28"/>
        <v>448215.69090000005</v>
      </c>
      <c r="AC18" s="25">
        <f t="shared" si="5"/>
        <v>5099070.6908999998</v>
      </c>
      <c r="AD18" s="66">
        <f t="shared" si="21"/>
        <v>97544.22</v>
      </c>
      <c r="AE18" s="66">
        <f t="shared" si="22"/>
        <v>48772.11</v>
      </c>
      <c r="AF18" s="66">
        <f t="shared" si="23"/>
        <v>48772.11</v>
      </c>
      <c r="AG18" s="24">
        <v>0</v>
      </c>
      <c r="AH18" s="25">
        <f t="shared" si="6"/>
        <v>195088.44</v>
      </c>
      <c r="AI18" s="24">
        <v>0</v>
      </c>
      <c r="AJ18" s="25">
        <f t="shared" si="24"/>
        <v>4455766.5599999996</v>
      </c>
      <c r="AK18" s="112"/>
      <c r="AM18" s="24">
        <v>4877211</v>
      </c>
      <c r="AN18" s="24">
        <v>4877211</v>
      </c>
      <c r="AO18" s="38">
        <f>+W18+X18+AA18</f>
        <v>4903982.2509000003</v>
      </c>
      <c r="AP18" s="101">
        <f t="shared" si="7"/>
        <v>245199.11254500004</v>
      </c>
      <c r="AQ18" s="38">
        <f t="shared" si="8"/>
        <v>4512466.8083549999</v>
      </c>
      <c r="AR18" s="38">
        <f t="shared" si="9"/>
        <v>54149601.700259998</v>
      </c>
      <c r="AS18" s="38">
        <f t="shared" si="10"/>
        <v>54000000</v>
      </c>
      <c r="AT18" s="113">
        <f t="shared" si="29"/>
        <v>149000</v>
      </c>
      <c r="AU18" s="113">
        <f t="shared" si="30"/>
        <v>7450</v>
      </c>
      <c r="AV18" s="116" t="e">
        <f>AU18/#REF!</f>
        <v>#REF!</v>
      </c>
    </row>
    <row r="19" spans="1:48" s="111" customFormat="1" ht="15" customHeight="1">
      <c r="A19" s="72">
        <v>11</v>
      </c>
      <c r="B19" s="29" t="s">
        <v>123</v>
      </c>
      <c r="C19" s="29" t="s">
        <v>99</v>
      </c>
      <c r="D19" s="62" t="s">
        <v>10</v>
      </c>
      <c r="E19" s="251" t="s">
        <v>325</v>
      </c>
      <c r="F19" s="264">
        <v>29</v>
      </c>
      <c r="G19" s="16">
        <v>124352</v>
      </c>
      <c r="H19" s="16">
        <v>4394855</v>
      </c>
      <c r="I19" s="16">
        <v>0</v>
      </c>
      <c r="J19" s="16">
        <v>0</v>
      </c>
      <c r="K19" s="16">
        <v>0</v>
      </c>
      <c r="L19" s="16">
        <v>0</v>
      </c>
      <c r="M19" s="16">
        <v>19658</v>
      </c>
      <c r="N19" s="16">
        <f t="shared" si="0"/>
        <v>0</v>
      </c>
      <c r="O19" s="142">
        <v>0</v>
      </c>
      <c r="P19" s="122">
        <f t="shared" si="13"/>
        <v>25403.78612716763</v>
      </c>
      <c r="Q19" s="24">
        <f t="shared" si="26"/>
        <v>0</v>
      </c>
      <c r="R19" s="24">
        <f t="shared" si="27"/>
        <v>0</v>
      </c>
      <c r="S19" s="24">
        <f t="shared" si="2"/>
        <v>24</v>
      </c>
      <c r="T19" s="24">
        <v>4000</v>
      </c>
      <c r="U19" s="24">
        <v>96000</v>
      </c>
      <c r="V19" s="24"/>
      <c r="W19" s="25">
        <f>+H19+I19+J19+K19+R19+U19+V19</f>
        <v>4490855</v>
      </c>
      <c r="X19" s="24">
        <f t="shared" si="17"/>
        <v>58038.810900000004</v>
      </c>
      <c r="Y19" s="24">
        <f t="shared" si="18"/>
        <v>97544.22</v>
      </c>
      <c r="Z19" s="24">
        <f t="shared" si="19"/>
        <v>97544.22</v>
      </c>
      <c r="AA19" s="24">
        <f t="shared" si="20"/>
        <v>195088.44</v>
      </c>
      <c r="AB19" s="25">
        <f t="shared" si="28"/>
        <v>448215.69090000005</v>
      </c>
      <c r="AC19" s="25">
        <f>+W19+AB19</f>
        <v>4939070.6908999998</v>
      </c>
      <c r="AD19" s="66">
        <f t="shared" si="21"/>
        <v>97544.22</v>
      </c>
      <c r="AE19" s="66">
        <f t="shared" si="22"/>
        <v>48772.11</v>
      </c>
      <c r="AF19" s="66">
        <f t="shared" si="23"/>
        <v>48772.11</v>
      </c>
      <c r="AG19" s="24">
        <v>0</v>
      </c>
      <c r="AH19" s="25">
        <f t="shared" si="6"/>
        <v>195088.44</v>
      </c>
      <c r="AI19" s="24">
        <v>0</v>
      </c>
      <c r="AJ19" s="25">
        <f t="shared" si="24"/>
        <v>4295766.5599999996</v>
      </c>
      <c r="AK19" s="112"/>
      <c r="AM19" s="24">
        <v>4877211</v>
      </c>
      <c r="AN19" s="24">
        <v>4877211</v>
      </c>
      <c r="AO19" s="38">
        <f t="shared" ref="AO19:AO22" si="31">+W19+X19+AA19</f>
        <v>4743982.2509000003</v>
      </c>
      <c r="AP19" s="101">
        <f t="shared" si="7"/>
        <v>237199.11254500004</v>
      </c>
      <c r="AQ19" s="38">
        <f t="shared" si="8"/>
        <v>4360466.8083549999</v>
      </c>
      <c r="AR19" s="38">
        <f t="shared" si="9"/>
        <v>52325601.700259998</v>
      </c>
      <c r="AS19" s="38">
        <f t="shared" si="10"/>
        <v>54000000</v>
      </c>
      <c r="AT19" s="113">
        <f t="shared" si="29"/>
        <v>0</v>
      </c>
      <c r="AU19" s="113">
        <f t="shared" si="30"/>
        <v>0</v>
      </c>
      <c r="AV19" s="116" t="e">
        <f>AU19/#REF!</f>
        <v>#REF!</v>
      </c>
    </row>
    <row r="20" spans="1:48" s="111" customFormat="1" ht="15" customHeight="1">
      <c r="A20" s="72">
        <v>12</v>
      </c>
      <c r="B20" s="29" t="s">
        <v>358</v>
      </c>
      <c r="C20" s="29" t="s">
        <v>121</v>
      </c>
      <c r="D20" s="62" t="s">
        <v>10</v>
      </c>
      <c r="E20" s="251" t="s">
        <v>326</v>
      </c>
      <c r="F20" s="264">
        <v>29</v>
      </c>
      <c r="G20" s="16">
        <v>124352</v>
      </c>
      <c r="H20" s="16">
        <v>4394855</v>
      </c>
      <c r="I20" s="16">
        <v>80000</v>
      </c>
      <c r="J20" s="16">
        <v>80000</v>
      </c>
      <c r="K20" s="16">
        <v>0</v>
      </c>
      <c r="L20" s="16">
        <v>0</v>
      </c>
      <c r="M20" s="16">
        <v>19658</v>
      </c>
      <c r="N20" s="16">
        <f t="shared" si="0"/>
        <v>0</v>
      </c>
      <c r="O20" s="142">
        <v>0</v>
      </c>
      <c r="P20" s="122">
        <f t="shared" si="13"/>
        <v>25403.78612716763</v>
      </c>
      <c r="Q20" s="24">
        <f t="shared" si="26"/>
        <v>0</v>
      </c>
      <c r="R20" s="24">
        <f t="shared" si="27"/>
        <v>0</v>
      </c>
      <c r="S20" s="24">
        <f t="shared" si="2"/>
        <v>24</v>
      </c>
      <c r="T20" s="24">
        <v>4000</v>
      </c>
      <c r="U20" s="24">
        <v>96000</v>
      </c>
      <c r="V20" s="24"/>
      <c r="W20" s="25">
        <f t="shared" si="16"/>
        <v>4650855</v>
      </c>
      <c r="X20" s="24">
        <f t="shared" si="17"/>
        <v>58038.810900000004</v>
      </c>
      <c r="Y20" s="24">
        <f t="shared" si="18"/>
        <v>97544.22</v>
      </c>
      <c r="Z20" s="24">
        <f t="shared" si="19"/>
        <v>97544.22</v>
      </c>
      <c r="AA20" s="24">
        <f t="shared" si="20"/>
        <v>195088.44</v>
      </c>
      <c r="AB20" s="25">
        <f t="shared" si="28"/>
        <v>448215.69090000005</v>
      </c>
      <c r="AC20" s="25">
        <f t="shared" si="5"/>
        <v>5099070.6908999998</v>
      </c>
      <c r="AD20" s="66">
        <f t="shared" si="21"/>
        <v>97544.22</v>
      </c>
      <c r="AE20" s="66">
        <f t="shared" si="22"/>
        <v>48772.11</v>
      </c>
      <c r="AF20" s="66">
        <f t="shared" si="23"/>
        <v>48772.11</v>
      </c>
      <c r="AG20" s="24">
        <v>0</v>
      </c>
      <c r="AH20" s="25">
        <f t="shared" si="6"/>
        <v>195088.44</v>
      </c>
      <c r="AI20" s="24">
        <v>0</v>
      </c>
      <c r="AJ20" s="25">
        <f t="shared" si="24"/>
        <v>4455766.5599999996</v>
      </c>
      <c r="AK20" s="112"/>
      <c r="AM20" s="24">
        <v>4877211</v>
      </c>
      <c r="AN20" s="24">
        <v>4877211</v>
      </c>
      <c r="AO20" s="38">
        <f t="shared" si="31"/>
        <v>4903982.2509000003</v>
      </c>
      <c r="AP20" s="101">
        <f t="shared" si="7"/>
        <v>245199.11254500004</v>
      </c>
      <c r="AQ20" s="38">
        <f t="shared" si="8"/>
        <v>4512466.8083549999</v>
      </c>
      <c r="AR20" s="38">
        <f t="shared" si="9"/>
        <v>54149601.700259998</v>
      </c>
      <c r="AS20" s="38">
        <f t="shared" si="10"/>
        <v>54000000</v>
      </c>
      <c r="AT20" s="113">
        <f t="shared" si="29"/>
        <v>149000</v>
      </c>
      <c r="AU20" s="113">
        <f t="shared" si="30"/>
        <v>7450</v>
      </c>
      <c r="AV20" s="116" t="e">
        <f>AU20/#REF!</f>
        <v>#REF!</v>
      </c>
    </row>
    <row r="21" spans="1:48" s="111" customFormat="1" ht="15" customHeight="1">
      <c r="A21" s="72">
        <v>13</v>
      </c>
      <c r="B21" s="29" t="s">
        <v>144</v>
      </c>
      <c r="C21" s="29" t="s">
        <v>235</v>
      </c>
      <c r="D21" s="62" t="s">
        <v>10</v>
      </c>
      <c r="E21" s="252" t="s">
        <v>327</v>
      </c>
      <c r="F21" s="264">
        <v>26</v>
      </c>
      <c r="G21" s="16">
        <v>124352</v>
      </c>
      <c r="H21" s="16">
        <v>4394855</v>
      </c>
      <c r="I21" s="16">
        <v>80000</v>
      </c>
      <c r="J21" s="16">
        <v>0</v>
      </c>
      <c r="K21" s="16">
        <v>0</v>
      </c>
      <c r="L21" s="16">
        <v>0</v>
      </c>
      <c r="M21" s="16">
        <v>19658</v>
      </c>
      <c r="N21" s="16">
        <f t="shared" si="0"/>
        <v>0</v>
      </c>
      <c r="O21" s="142">
        <v>0</v>
      </c>
      <c r="P21" s="122">
        <f t="shared" si="13"/>
        <v>25403.78612716763</v>
      </c>
      <c r="Q21" s="24">
        <f t="shared" si="14"/>
        <v>0</v>
      </c>
      <c r="R21" s="24">
        <f t="shared" si="15"/>
        <v>0</v>
      </c>
      <c r="S21" s="24">
        <f t="shared" si="2"/>
        <v>21</v>
      </c>
      <c r="T21" s="24">
        <v>4000</v>
      </c>
      <c r="U21" s="24">
        <v>84000</v>
      </c>
      <c r="V21" s="24"/>
      <c r="W21" s="25">
        <f t="shared" si="16"/>
        <v>4558855</v>
      </c>
      <c r="X21" s="24">
        <f t="shared" si="17"/>
        <v>58038.810900000004</v>
      </c>
      <c r="Y21" s="24">
        <f t="shared" si="18"/>
        <v>97544.22</v>
      </c>
      <c r="Z21" s="24">
        <f t="shared" si="19"/>
        <v>97544.22</v>
      </c>
      <c r="AA21" s="24">
        <f t="shared" si="20"/>
        <v>195088.44</v>
      </c>
      <c r="AB21" s="25">
        <f t="shared" si="28"/>
        <v>448215.69090000005</v>
      </c>
      <c r="AC21" s="25">
        <f t="shared" si="5"/>
        <v>5007070.6908999998</v>
      </c>
      <c r="AD21" s="66">
        <f t="shared" si="21"/>
        <v>97544.22</v>
      </c>
      <c r="AE21" s="66">
        <f t="shared" si="22"/>
        <v>48772.11</v>
      </c>
      <c r="AF21" s="66">
        <f t="shared" si="23"/>
        <v>48772.11</v>
      </c>
      <c r="AG21" s="24">
        <v>0</v>
      </c>
      <c r="AH21" s="25">
        <f t="shared" si="6"/>
        <v>195088.44</v>
      </c>
      <c r="AI21" s="24">
        <v>0</v>
      </c>
      <c r="AJ21" s="25">
        <f t="shared" si="24"/>
        <v>4363766.5599999996</v>
      </c>
      <c r="AK21" s="112"/>
      <c r="AM21" s="24">
        <v>4877211</v>
      </c>
      <c r="AN21" s="24">
        <v>4877211</v>
      </c>
      <c r="AO21" s="38">
        <f t="shared" si="31"/>
        <v>4811982.2509000003</v>
      </c>
      <c r="AP21" s="101">
        <f t="shared" si="7"/>
        <v>240599.11254500004</v>
      </c>
      <c r="AQ21" s="38">
        <f t="shared" si="8"/>
        <v>4425066.8083549999</v>
      </c>
      <c r="AR21" s="38">
        <f t="shared" si="9"/>
        <v>53100801.700259998</v>
      </c>
      <c r="AS21" s="38">
        <f t="shared" si="10"/>
        <v>54000000</v>
      </c>
      <c r="AT21" s="113">
        <f t="shared" si="29"/>
        <v>0</v>
      </c>
      <c r="AU21" s="113">
        <f t="shared" si="30"/>
        <v>0</v>
      </c>
      <c r="AV21" s="116" t="e">
        <f>AU21/#REF!</f>
        <v>#REF!</v>
      </c>
    </row>
    <row r="22" spans="1:48" s="111" customFormat="1" ht="15" customHeight="1">
      <c r="A22" s="72">
        <v>14</v>
      </c>
      <c r="B22" s="29" t="s">
        <v>147</v>
      </c>
      <c r="C22" s="29" t="s">
        <v>15</v>
      </c>
      <c r="D22" s="62" t="s">
        <v>10</v>
      </c>
      <c r="E22" s="248" t="s">
        <v>328</v>
      </c>
      <c r="F22" s="264">
        <v>30</v>
      </c>
      <c r="G22" s="16">
        <v>124352</v>
      </c>
      <c r="H22" s="16">
        <v>4394855</v>
      </c>
      <c r="I22" s="16">
        <v>0</v>
      </c>
      <c r="J22" s="16">
        <v>0</v>
      </c>
      <c r="K22" s="16">
        <v>0</v>
      </c>
      <c r="L22" s="16">
        <v>0</v>
      </c>
      <c r="M22" s="16">
        <v>19658</v>
      </c>
      <c r="N22" s="16">
        <f>+L22*M22</f>
        <v>0</v>
      </c>
      <c r="O22" s="142">
        <v>0</v>
      </c>
      <c r="P22" s="122">
        <f t="shared" si="13"/>
        <v>25403.78612716763</v>
      </c>
      <c r="Q22" s="24">
        <f>+O22*P22</f>
        <v>0</v>
      </c>
      <c r="R22" s="24">
        <f>+N22+Q22</f>
        <v>0</v>
      </c>
      <c r="S22" s="24">
        <f t="shared" si="2"/>
        <v>25</v>
      </c>
      <c r="T22" s="24">
        <v>4000</v>
      </c>
      <c r="U22" s="24">
        <v>100000</v>
      </c>
      <c r="V22" s="24"/>
      <c r="W22" s="25">
        <f>+H22+I22+J22+K22+R22+U22+V22</f>
        <v>4494855</v>
      </c>
      <c r="X22" s="24">
        <f t="shared" si="17"/>
        <v>58038.810900000004</v>
      </c>
      <c r="Y22" s="24">
        <f t="shared" si="18"/>
        <v>97544.22</v>
      </c>
      <c r="Z22" s="24">
        <f t="shared" si="19"/>
        <v>97544.22</v>
      </c>
      <c r="AA22" s="24">
        <f t="shared" si="20"/>
        <v>195088.44</v>
      </c>
      <c r="AB22" s="25">
        <f>SUM(X22:AA22)</f>
        <v>448215.69090000005</v>
      </c>
      <c r="AC22" s="25">
        <f>+W22+AB22</f>
        <v>4943070.6908999998</v>
      </c>
      <c r="AD22" s="66">
        <f t="shared" si="21"/>
        <v>97544.22</v>
      </c>
      <c r="AE22" s="66">
        <f t="shared" si="22"/>
        <v>48772.11</v>
      </c>
      <c r="AF22" s="66">
        <f t="shared" si="23"/>
        <v>48772.11</v>
      </c>
      <c r="AG22" s="24">
        <v>0</v>
      </c>
      <c r="AH22" s="25">
        <f t="shared" si="6"/>
        <v>195088.44</v>
      </c>
      <c r="AI22" s="24">
        <v>0</v>
      </c>
      <c r="AJ22" s="25">
        <f t="shared" si="24"/>
        <v>4299766.5599999996</v>
      </c>
      <c r="AK22" s="112"/>
      <c r="AM22" s="24">
        <v>4877211</v>
      </c>
      <c r="AN22" s="24">
        <v>4877211</v>
      </c>
      <c r="AO22" s="38">
        <f t="shared" si="31"/>
        <v>4747982.2509000003</v>
      </c>
      <c r="AP22" s="38">
        <f t="shared" si="7"/>
        <v>237399.11254500004</v>
      </c>
      <c r="AQ22" s="38">
        <f>+AO22-AP22-AD22-AE22</f>
        <v>4364266.8083549999</v>
      </c>
      <c r="AR22" s="38">
        <f t="shared" si="9"/>
        <v>52371201.700259998</v>
      </c>
      <c r="AS22" s="38">
        <f t="shared" si="10"/>
        <v>54000000</v>
      </c>
      <c r="AT22" s="113">
        <f t="shared" si="29"/>
        <v>0</v>
      </c>
      <c r="AU22" s="113">
        <f t="shared" si="30"/>
        <v>0</v>
      </c>
      <c r="AV22" s="116" t="e">
        <f>AU22/#REF!</f>
        <v>#REF!</v>
      </c>
    </row>
    <row r="23" spans="1:48" s="111" customFormat="1" ht="15" customHeight="1">
      <c r="A23" s="72">
        <v>15</v>
      </c>
      <c r="B23" s="29" t="s">
        <v>176</v>
      </c>
      <c r="C23" s="29" t="s">
        <v>99</v>
      </c>
      <c r="D23" s="62" t="s">
        <v>10</v>
      </c>
      <c r="E23" s="248" t="s">
        <v>329</v>
      </c>
      <c r="F23" s="264">
        <v>30</v>
      </c>
      <c r="G23" s="16">
        <v>118748</v>
      </c>
      <c r="H23" s="16">
        <v>4394855</v>
      </c>
      <c r="I23" s="16">
        <v>0</v>
      </c>
      <c r="J23" s="16">
        <v>0</v>
      </c>
      <c r="K23" s="16">
        <v>0</v>
      </c>
      <c r="L23" s="16">
        <v>0</v>
      </c>
      <c r="M23" s="16">
        <v>17341</v>
      </c>
      <c r="N23" s="16">
        <f t="shared" ref="N23" si="32">+L23*M23</f>
        <v>0</v>
      </c>
      <c r="O23" s="142">
        <v>7.5</v>
      </c>
      <c r="P23" s="122">
        <f t="shared" si="13"/>
        <v>25403.78612716763</v>
      </c>
      <c r="Q23" s="24">
        <f t="shared" ref="Q23:Q36" si="33">+O23*P23</f>
        <v>190528.39595375722</v>
      </c>
      <c r="R23" s="24">
        <f t="shared" ref="R23:R36" si="34">+N23+Q23</f>
        <v>190528.39595375722</v>
      </c>
      <c r="S23" s="24">
        <f t="shared" si="2"/>
        <v>24</v>
      </c>
      <c r="T23" s="24">
        <v>4000</v>
      </c>
      <c r="U23" s="24">
        <v>96000</v>
      </c>
      <c r="V23" s="24"/>
      <c r="W23" s="25">
        <f t="shared" ref="W23:W36" si="35">+H23+I23+J23+K23+R23+U23+V23</f>
        <v>4681383.3959537577</v>
      </c>
      <c r="X23" s="24">
        <f t="shared" si="17"/>
        <v>58038.810900000004</v>
      </c>
      <c r="Y23" s="24">
        <f t="shared" si="18"/>
        <v>97544.22</v>
      </c>
      <c r="Z23" s="24">
        <f t="shared" si="19"/>
        <v>97544.22</v>
      </c>
      <c r="AA23" s="24">
        <f t="shared" si="20"/>
        <v>195088.44</v>
      </c>
      <c r="AB23" s="25">
        <f t="shared" ref="AB23:AB26" si="36">SUM(X23:AA23)</f>
        <v>448215.69090000005</v>
      </c>
      <c r="AC23" s="25">
        <f t="shared" ref="AC23:AC26" si="37">+W23+AB23</f>
        <v>5129599.0868537575</v>
      </c>
      <c r="AD23" s="66">
        <f t="shared" si="21"/>
        <v>97544.22</v>
      </c>
      <c r="AE23" s="66">
        <f t="shared" si="22"/>
        <v>48772.11</v>
      </c>
      <c r="AF23" s="66">
        <f t="shared" si="23"/>
        <v>48772.11</v>
      </c>
      <c r="AG23" s="24">
        <v>0</v>
      </c>
      <c r="AH23" s="25">
        <f t="shared" si="6"/>
        <v>195088.44</v>
      </c>
      <c r="AI23" s="24">
        <v>0</v>
      </c>
      <c r="AJ23" s="25">
        <f t="shared" si="24"/>
        <v>4486294.9559537573</v>
      </c>
      <c r="AK23" s="112"/>
      <c r="AM23" s="24">
        <v>4877211</v>
      </c>
      <c r="AN23" s="24">
        <v>4877211</v>
      </c>
      <c r="AO23" s="38">
        <f t="shared" ref="AO23:AO27" si="38">+W23+X23+AA23</f>
        <v>4934510.646853758</v>
      </c>
      <c r="AP23" s="101">
        <f t="shared" si="7"/>
        <v>246725.53234268792</v>
      </c>
      <c r="AQ23" s="38">
        <f t="shared" ref="AQ23:AQ27" si="39">+AO23-AP23-AD23-AE23</f>
        <v>4541468.7845110698</v>
      </c>
      <c r="AR23" s="38">
        <f t="shared" ref="AR23:AR27" si="40">+AQ23*$AR$7</f>
        <v>54497625.414132833</v>
      </c>
      <c r="AS23" s="38">
        <f t="shared" ref="AS23:AS27" si="41">IF(D23="TK",54000000,(IF(OR(D23="TK1",D23="K"),58500000,(IF(OR(D23="TK2",D23="K1"),63000000,(IF(OR(OR(D23="TK3",D23="TK4"),D23="K2"),67500000,72000000)))))))</f>
        <v>54000000</v>
      </c>
      <c r="AT23" s="113">
        <f t="shared" ref="AT23:AT39" si="42">IF((+AR23-AS23)&lt;=0,0,TRUNC((AR23-AS23)/1000)*1000)</f>
        <v>497000</v>
      </c>
      <c r="AU23" s="113">
        <f t="shared" ref="AU23:AU39" si="43">IF(AT23&lt;=60000000,AT23*5%,IF(AT23&lt;=250000000,3000000+((AT23-60000000)*15%),IF(AT23&lt;=500000000,31500000+((AT23-250000000)*25%),IF(AND(AT23&gt;=500000000,AT23&lt;=5000000000),94000000+((AT23-500000000)*30%),IF(AT23&gt;5000000000,(1444000000+(AT23-5000000000)*35%))))))</f>
        <v>24850</v>
      </c>
      <c r="AV23" s="116" t="e">
        <f>AU23/#REF!</f>
        <v>#REF!</v>
      </c>
    </row>
    <row r="24" spans="1:48" s="111" customFormat="1" ht="15" customHeight="1">
      <c r="A24" s="72">
        <v>16</v>
      </c>
      <c r="B24" s="29" t="s">
        <v>177</v>
      </c>
      <c r="C24" s="29" t="s">
        <v>121</v>
      </c>
      <c r="D24" s="62" t="s">
        <v>10</v>
      </c>
      <c r="E24" s="251" t="s">
        <v>330</v>
      </c>
      <c r="F24" s="264">
        <v>30</v>
      </c>
      <c r="G24" s="16">
        <v>118748</v>
      </c>
      <c r="H24" s="16">
        <v>4394855</v>
      </c>
      <c r="I24" s="16">
        <v>0</v>
      </c>
      <c r="J24" s="16">
        <v>0</v>
      </c>
      <c r="K24" s="16">
        <v>0</v>
      </c>
      <c r="L24" s="16"/>
      <c r="M24" s="16"/>
      <c r="N24" s="16"/>
      <c r="O24" s="142">
        <v>0</v>
      </c>
      <c r="P24" s="122">
        <f t="shared" si="13"/>
        <v>25403.78612716763</v>
      </c>
      <c r="Q24" s="24">
        <f t="shared" si="33"/>
        <v>0</v>
      </c>
      <c r="R24" s="24">
        <f t="shared" si="34"/>
        <v>0</v>
      </c>
      <c r="S24" s="24">
        <f t="shared" si="2"/>
        <v>25</v>
      </c>
      <c r="T24" s="24">
        <v>4000</v>
      </c>
      <c r="U24" s="24">
        <v>100000</v>
      </c>
      <c r="V24" s="24"/>
      <c r="W24" s="25">
        <f t="shared" si="35"/>
        <v>4494855</v>
      </c>
      <c r="X24" s="24">
        <f t="shared" si="17"/>
        <v>58038.810900000004</v>
      </c>
      <c r="Y24" s="24">
        <f t="shared" si="18"/>
        <v>97544.22</v>
      </c>
      <c r="Z24" s="24">
        <f t="shared" si="19"/>
        <v>97544.22</v>
      </c>
      <c r="AA24" s="24">
        <f t="shared" si="20"/>
        <v>195088.44</v>
      </c>
      <c r="AB24" s="25">
        <f t="shared" si="36"/>
        <v>448215.69090000005</v>
      </c>
      <c r="AC24" s="25">
        <f t="shared" si="37"/>
        <v>4943070.6908999998</v>
      </c>
      <c r="AD24" s="66">
        <f t="shared" si="21"/>
        <v>97544.22</v>
      </c>
      <c r="AE24" s="66">
        <f t="shared" si="22"/>
        <v>48772.11</v>
      </c>
      <c r="AF24" s="66">
        <f t="shared" si="23"/>
        <v>48772.11</v>
      </c>
      <c r="AG24" s="24">
        <v>0</v>
      </c>
      <c r="AH24" s="25">
        <f t="shared" si="6"/>
        <v>195088.44</v>
      </c>
      <c r="AI24" s="24">
        <v>0</v>
      </c>
      <c r="AJ24" s="25">
        <f t="shared" si="24"/>
        <v>4299766.5599999996</v>
      </c>
      <c r="AK24" s="112"/>
      <c r="AM24" s="24">
        <v>4877211</v>
      </c>
      <c r="AN24" s="24">
        <v>4877211</v>
      </c>
      <c r="AO24" s="38">
        <f t="shared" si="38"/>
        <v>4747982.2509000003</v>
      </c>
      <c r="AP24" s="101">
        <f t="shared" si="7"/>
        <v>237399.11254500004</v>
      </c>
      <c r="AQ24" s="38">
        <f t="shared" si="39"/>
        <v>4364266.8083549999</v>
      </c>
      <c r="AR24" s="38">
        <f t="shared" si="40"/>
        <v>52371201.700259998</v>
      </c>
      <c r="AS24" s="38">
        <f t="shared" si="41"/>
        <v>54000000</v>
      </c>
      <c r="AT24" s="113">
        <f t="shared" si="42"/>
        <v>0</v>
      </c>
      <c r="AU24" s="113">
        <f t="shared" si="43"/>
        <v>0</v>
      </c>
      <c r="AV24" s="116" t="e">
        <f>AU24/#REF!</f>
        <v>#REF!</v>
      </c>
    </row>
    <row r="25" spans="1:48" s="111" customFormat="1" ht="15" customHeight="1">
      <c r="A25" s="72">
        <v>17</v>
      </c>
      <c r="B25" s="29" t="s">
        <v>178</v>
      </c>
      <c r="C25" s="29" t="s">
        <v>121</v>
      </c>
      <c r="D25" s="62" t="s">
        <v>10</v>
      </c>
      <c r="E25" s="248" t="s">
        <v>331</v>
      </c>
      <c r="F25" s="264">
        <v>29</v>
      </c>
      <c r="G25" s="16">
        <v>118748</v>
      </c>
      <c r="H25" s="16">
        <v>4394855</v>
      </c>
      <c r="I25" s="16">
        <v>0</v>
      </c>
      <c r="J25" s="16">
        <v>0</v>
      </c>
      <c r="K25" s="16">
        <v>0</v>
      </c>
      <c r="L25" s="16"/>
      <c r="M25" s="16"/>
      <c r="N25" s="16"/>
      <c r="O25" s="142">
        <v>0</v>
      </c>
      <c r="P25" s="122">
        <f t="shared" si="13"/>
        <v>25403.78612716763</v>
      </c>
      <c r="Q25" s="24">
        <f t="shared" si="33"/>
        <v>0</v>
      </c>
      <c r="R25" s="24">
        <f t="shared" si="34"/>
        <v>0</v>
      </c>
      <c r="S25" s="24">
        <f t="shared" si="2"/>
        <v>24</v>
      </c>
      <c r="T25" s="24">
        <v>4000</v>
      </c>
      <c r="U25" s="24">
        <v>96000</v>
      </c>
      <c r="V25" s="24"/>
      <c r="W25" s="25">
        <f t="shared" si="35"/>
        <v>4490855</v>
      </c>
      <c r="X25" s="24">
        <f t="shared" si="17"/>
        <v>58038.810900000004</v>
      </c>
      <c r="Y25" s="24">
        <f t="shared" si="18"/>
        <v>97544.22</v>
      </c>
      <c r="Z25" s="24">
        <f t="shared" si="19"/>
        <v>97544.22</v>
      </c>
      <c r="AA25" s="24">
        <f t="shared" si="20"/>
        <v>195088.44</v>
      </c>
      <c r="AB25" s="25">
        <f t="shared" si="36"/>
        <v>448215.69090000005</v>
      </c>
      <c r="AC25" s="25">
        <f t="shared" si="37"/>
        <v>4939070.6908999998</v>
      </c>
      <c r="AD25" s="66">
        <f t="shared" si="21"/>
        <v>97544.22</v>
      </c>
      <c r="AE25" s="66">
        <f t="shared" si="22"/>
        <v>48772.11</v>
      </c>
      <c r="AF25" s="66">
        <f t="shared" si="23"/>
        <v>48772.11</v>
      </c>
      <c r="AG25" s="24">
        <f>+AF25*1</f>
        <v>48772.11</v>
      </c>
      <c r="AH25" s="25">
        <f t="shared" si="6"/>
        <v>243860.55</v>
      </c>
      <c r="AI25" s="24">
        <v>0</v>
      </c>
      <c r="AJ25" s="25">
        <f t="shared" si="24"/>
        <v>4246994.45</v>
      </c>
      <c r="AK25" s="112"/>
      <c r="AM25" s="24">
        <v>4877211</v>
      </c>
      <c r="AN25" s="24">
        <v>4877211</v>
      </c>
      <c r="AO25" s="38">
        <f t="shared" si="38"/>
        <v>4743982.2509000003</v>
      </c>
      <c r="AP25" s="101">
        <f t="shared" si="7"/>
        <v>237199.11254500004</v>
      </c>
      <c r="AQ25" s="38">
        <f t="shared" si="39"/>
        <v>4360466.8083549999</v>
      </c>
      <c r="AR25" s="38">
        <f t="shared" si="40"/>
        <v>52325601.700259998</v>
      </c>
      <c r="AS25" s="38">
        <f t="shared" si="41"/>
        <v>54000000</v>
      </c>
      <c r="AT25" s="113">
        <f t="shared" si="42"/>
        <v>0</v>
      </c>
      <c r="AU25" s="113">
        <f t="shared" si="43"/>
        <v>0</v>
      </c>
      <c r="AV25" s="116" t="e">
        <f>AU25/#REF!</f>
        <v>#REF!</v>
      </c>
    </row>
    <row r="26" spans="1:48" s="111" customFormat="1" ht="15" customHeight="1">
      <c r="A26" s="72">
        <v>18</v>
      </c>
      <c r="B26" s="29" t="s">
        <v>179</v>
      </c>
      <c r="C26" s="29" t="s">
        <v>235</v>
      </c>
      <c r="D26" s="62" t="s">
        <v>10</v>
      </c>
      <c r="E26" s="248" t="s">
        <v>332</v>
      </c>
      <c r="F26" s="264">
        <v>29</v>
      </c>
      <c r="G26" s="16">
        <v>118748</v>
      </c>
      <c r="H26" s="16">
        <v>4394855</v>
      </c>
      <c r="I26" s="16">
        <v>0</v>
      </c>
      <c r="J26" s="16">
        <v>0</v>
      </c>
      <c r="K26" s="16">
        <v>0</v>
      </c>
      <c r="L26" s="16"/>
      <c r="M26" s="16"/>
      <c r="N26" s="16"/>
      <c r="O26" s="142">
        <v>0</v>
      </c>
      <c r="P26" s="122">
        <f t="shared" si="13"/>
        <v>25403.78612716763</v>
      </c>
      <c r="Q26" s="24">
        <f t="shared" si="33"/>
        <v>0</v>
      </c>
      <c r="R26" s="24">
        <f t="shared" si="34"/>
        <v>0</v>
      </c>
      <c r="S26" s="24">
        <f t="shared" si="2"/>
        <v>23</v>
      </c>
      <c r="T26" s="24">
        <v>4000</v>
      </c>
      <c r="U26" s="24">
        <v>92000</v>
      </c>
      <c r="V26" s="24"/>
      <c r="W26" s="25">
        <f t="shared" si="35"/>
        <v>4486855</v>
      </c>
      <c r="X26" s="24">
        <f t="shared" si="17"/>
        <v>58038.810900000004</v>
      </c>
      <c r="Y26" s="24">
        <f t="shared" si="18"/>
        <v>97544.22</v>
      </c>
      <c r="Z26" s="24">
        <f t="shared" si="19"/>
        <v>97544.22</v>
      </c>
      <c r="AA26" s="24">
        <f t="shared" si="20"/>
        <v>195088.44</v>
      </c>
      <c r="AB26" s="25">
        <f t="shared" si="36"/>
        <v>448215.69090000005</v>
      </c>
      <c r="AC26" s="25">
        <f t="shared" si="37"/>
        <v>4935070.6908999998</v>
      </c>
      <c r="AD26" s="66">
        <f t="shared" si="21"/>
        <v>97544.22</v>
      </c>
      <c r="AE26" s="66">
        <f t="shared" si="22"/>
        <v>48772.11</v>
      </c>
      <c r="AF26" s="66">
        <f t="shared" si="23"/>
        <v>48772.11</v>
      </c>
      <c r="AG26" s="24">
        <v>0</v>
      </c>
      <c r="AH26" s="25">
        <f t="shared" si="6"/>
        <v>195088.44</v>
      </c>
      <c r="AI26" s="24">
        <v>0</v>
      </c>
      <c r="AJ26" s="25">
        <f t="shared" si="24"/>
        <v>4291766.5599999996</v>
      </c>
      <c r="AK26" s="112"/>
      <c r="AM26" s="24">
        <v>4877211</v>
      </c>
      <c r="AN26" s="24">
        <v>4877211</v>
      </c>
      <c r="AO26" s="38">
        <f t="shared" si="38"/>
        <v>4739982.2509000003</v>
      </c>
      <c r="AP26" s="101">
        <f t="shared" si="7"/>
        <v>236999.11254500004</v>
      </c>
      <c r="AQ26" s="38">
        <f t="shared" si="39"/>
        <v>4356666.8083549999</v>
      </c>
      <c r="AR26" s="38">
        <f t="shared" si="40"/>
        <v>52280001.700259998</v>
      </c>
      <c r="AS26" s="38">
        <f t="shared" si="41"/>
        <v>54000000</v>
      </c>
      <c r="AT26" s="113">
        <f t="shared" si="42"/>
        <v>0</v>
      </c>
      <c r="AU26" s="113">
        <f t="shared" si="43"/>
        <v>0</v>
      </c>
      <c r="AV26" s="116" t="e">
        <f>AU26/#REF!</f>
        <v>#REF!</v>
      </c>
    </row>
    <row r="27" spans="1:48" s="111" customFormat="1" ht="15" customHeight="1">
      <c r="A27" s="72">
        <v>19</v>
      </c>
      <c r="B27" s="29" t="s">
        <v>180</v>
      </c>
      <c r="C27" s="29" t="s">
        <v>142</v>
      </c>
      <c r="D27" s="62" t="s">
        <v>10</v>
      </c>
      <c r="E27" s="248" t="s">
        <v>333</v>
      </c>
      <c r="F27" s="264">
        <v>28</v>
      </c>
      <c r="G27" s="16">
        <v>118748</v>
      </c>
      <c r="H27" s="16">
        <v>4394855</v>
      </c>
      <c r="I27" s="16">
        <v>0</v>
      </c>
      <c r="J27" s="16">
        <v>0</v>
      </c>
      <c r="K27" s="16">
        <v>0</v>
      </c>
      <c r="L27" s="16"/>
      <c r="M27" s="16"/>
      <c r="N27" s="16"/>
      <c r="O27" s="142">
        <v>0</v>
      </c>
      <c r="P27" s="122">
        <f t="shared" si="13"/>
        <v>25403.78612716763</v>
      </c>
      <c r="Q27" s="24">
        <f t="shared" si="33"/>
        <v>0</v>
      </c>
      <c r="R27" s="24">
        <f t="shared" si="34"/>
        <v>0</v>
      </c>
      <c r="S27" s="24">
        <f t="shared" si="2"/>
        <v>23</v>
      </c>
      <c r="T27" s="24">
        <v>4000</v>
      </c>
      <c r="U27" s="24">
        <v>92000</v>
      </c>
      <c r="V27" s="24"/>
      <c r="W27" s="25">
        <f t="shared" si="35"/>
        <v>4486855</v>
      </c>
      <c r="X27" s="24">
        <f t="shared" si="17"/>
        <v>58038.810900000004</v>
      </c>
      <c r="Y27" s="24">
        <f t="shared" si="18"/>
        <v>97544.22</v>
      </c>
      <c r="Z27" s="24">
        <f t="shared" si="19"/>
        <v>97544.22</v>
      </c>
      <c r="AA27" s="24">
        <f t="shared" si="20"/>
        <v>195088.44</v>
      </c>
      <c r="AB27" s="25">
        <f t="shared" ref="AB27:AB36" si="44">SUM(X27:AA27)</f>
        <v>448215.69090000005</v>
      </c>
      <c r="AC27" s="25">
        <f t="shared" ref="AC27:AC36" si="45">+W27+AB27</f>
        <v>4935070.6908999998</v>
      </c>
      <c r="AD27" s="66">
        <f t="shared" si="21"/>
        <v>97544.22</v>
      </c>
      <c r="AE27" s="66">
        <f t="shared" si="22"/>
        <v>48772.11</v>
      </c>
      <c r="AF27" s="66">
        <f t="shared" si="23"/>
        <v>48772.11</v>
      </c>
      <c r="AG27" s="24">
        <v>0</v>
      </c>
      <c r="AH27" s="25">
        <f t="shared" si="6"/>
        <v>195088.44</v>
      </c>
      <c r="AI27" s="24">
        <v>0</v>
      </c>
      <c r="AJ27" s="25">
        <f t="shared" si="24"/>
        <v>4291766.5599999996</v>
      </c>
      <c r="AK27" s="112"/>
      <c r="AM27" s="24">
        <v>4877211</v>
      </c>
      <c r="AN27" s="24">
        <v>4877211</v>
      </c>
      <c r="AO27" s="38">
        <f t="shared" si="38"/>
        <v>4739982.2509000003</v>
      </c>
      <c r="AP27" s="101">
        <f t="shared" si="7"/>
        <v>236999.11254500004</v>
      </c>
      <c r="AQ27" s="38">
        <f t="shared" si="39"/>
        <v>4356666.8083549999</v>
      </c>
      <c r="AR27" s="38">
        <f t="shared" si="40"/>
        <v>52280001.700259998</v>
      </c>
      <c r="AS27" s="38">
        <f t="shared" si="41"/>
        <v>54000000</v>
      </c>
      <c r="AT27" s="113">
        <f t="shared" si="42"/>
        <v>0</v>
      </c>
      <c r="AU27" s="113">
        <f t="shared" si="43"/>
        <v>0</v>
      </c>
      <c r="AV27" s="116" t="e">
        <f>AU27/#REF!</f>
        <v>#REF!</v>
      </c>
    </row>
    <row r="28" spans="1:48" s="111" customFormat="1" ht="15" customHeight="1">
      <c r="A28" s="72">
        <v>20</v>
      </c>
      <c r="B28" s="29" t="s">
        <v>182</v>
      </c>
      <c r="C28" s="29" t="s">
        <v>15</v>
      </c>
      <c r="D28" s="62" t="s">
        <v>10</v>
      </c>
      <c r="E28" s="244" t="s">
        <v>334</v>
      </c>
      <c r="F28" s="264">
        <v>30</v>
      </c>
      <c r="G28" s="16">
        <v>118748</v>
      </c>
      <c r="H28" s="16">
        <v>4394855</v>
      </c>
      <c r="I28" s="16">
        <v>0</v>
      </c>
      <c r="J28" s="16">
        <v>0</v>
      </c>
      <c r="K28" s="16">
        <v>0</v>
      </c>
      <c r="L28" s="16"/>
      <c r="M28" s="16"/>
      <c r="N28" s="16"/>
      <c r="O28" s="142">
        <v>0</v>
      </c>
      <c r="P28" s="122">
        <f t="shared" si="13"/>
        <v>25403.78612716763</v>
      </c>
      <c r="Q28" s="24">
        <f t="shared" si="33"/>
        <v>0</v>
      </c>
      <c r="R28" s="24">
        <f t="shared" si="34"/>
        <v>0</v>
      </c>
      <c r="S28" s="24"/>
      <c r="T28" s="24"/>
      <c r="U28" s="24">
        <v>92000</v>
      </c>
      <c r="V28" s="24"/>
      <c r="W28" s="25">
        <f>+H28+I28+J28+K28+R28+U28+V28</f>
        <v>4486855</v>
      </c>
      <c r="X28" s="24">
        <f t="shared" si="17"/>
        <v>58038.810900000004</v>
      </c>
      <c r="Y28" s="24">
        <f t="shared" si="18"/>
        <v>97544.22</v>
      </c>
      <c r="Z28" s="24">
        <f t="shared" si="19"/>
        <v>97544.22</v>
      </c>
      <c r="AA28" s="24">
        <f t="shared" si="20"/>
        <v>195088.44</v>
      </c>
      <c r="AB28" s="25">
        <f t="shared" si="44"/>
        <v>448215.69090000005</v>
      </c>
      <c r="AC28" s="25">
        <f t="shared" si="45"/>
        <v>4935070.6908999998</v>
      </c>
      <c r="AD28" s="66">
        <f t="shared" si="21"/>
        <v>97544.22</v>
      </c>
      <c r="AE28" s="66">
        <f t="shared" si="22"/>
        <v>48772.11</v>
      </c>
      <c r="AF28" s="66">
        <f t="shared" si="23"/>
        <v>48772.11</v>
      </c>
      <c r="AG28" s="24">
        <v>0</v>
      </c>
      <c r="AH28" s="25">
        <f t="shared" si="6"/>
        <v>195088.44</v>
      </c>
      <c r="AI28" s="24">
        <v>0</v>
      </c>
      <c r="AJ28" s="25">
        <f>+W28-AH28-AI28</f>
        <v>4291766.5599999996</v>
      </c>
      <c r="AK28" s="112"/>
      <c r="AM28" s="24">
        <v>4877211</v>
      </c>
      <c r="AN28" s="24">
        <v>4877211</v>
      </c>
      <c r="AO28" s="38">
        <f t="shared" ref="AO28:AO33" si="46">+W28+X28+AA28</f>
        <v>4739982.2509000003</v>
      </c>
      <c r="AP28" s="101">
        <f t="shared" ref="AP28:AP33" si="47">IF(AO28*$AP$7&gt;500000,500000,AO28*$AP$7)</f>
        <v>236999.11254500004</v>
      </c>
      <c r="AQ28" s="38">
        <f t="shared" ref="AQ28:AQ33" si="48">+AO28-AP28-AD28-AE28</f>
        <v>4356666.8083549999</v>
      </c>
      <c r="AR28" s="38">
        <f t="shared" ref="AR28:AR33" si="49">+AQ28*$AR$7</f>
        <v>52280001.700259998</v>
      </c>
      <c r="AS28" s="38">
        <f t="shared" ref="AS28:AS33" si="50">IF(D28="TK",54000000,(IF(OR(D28="TK1",D28="K"),58500000,(IF(OR(D28="TK2",D28="K1"),63000000,(IF(OR(OR(D28="TK3",D28="TK4"),D28="K2"),67500000,72000000)))))))</f>
        <v>54000000</v>
      </c>
      <c r="AT28" s="113">
        <f t="shared" ref="AT28:AT36" si="51">IF((+AR28-AS28)&lt;=0,0,TRUNC((AR28-AS28)/1000)*1000)</f>
        <v>0</v>
      </c>
      <c r="AU28" s="113">
        <f t="shared" si="43"/>
        <v>0</v>
      </c>
      <c r="AV28" s="116">
        <v>0</v>
      </c>
    </row>
    <row r="29" spans="1:48" s="111" customFormat="1" ht="15" customHeight="1">
      <c r="A29" s="72">
        <v>21</v>
      </c>
      <c r="B29" s="29" t="s">
        <v>183</v>
      </c>
      <c r="C29" s="29" t="s">
        <v>15</v>
      </c>
      <c r="D29" s="62" t="s">
        <v>10</v>
      </c>
      <c r="E29" s="244" t="s">
        <v>335</v>
      </c>
      <c r="F29" s="264">
        <v>30</v>
      </c>
      <c r="G29" s="16">
        <v>118748</v>
      </c>
      <c r="H29" s="16">
        <v>4394855</v>
      </c>
      <c r="I29" s="16">
        <v>0</v>
      </c>
      <c r="J29" s="16">
        <v>0</v>
      </c>
      <c r="K29" s="16">
        <v>0</v>
      </c>
      <c r="L29" s="16"/>
      <c r="M29" s="16"/>
      <c r="N29" s="16"/>
      <c r="O29" s="142">
        <v>0</v>
      </c>
      <c r="P29" s="122">
        <f t="shared" si="13"/>
        <v>25403.78612716763</v>
      </c>
      <c r="Q29" s="24">
        <f t="shared" si="33"/>
        <v>0</v>
      </c>
      <c r="R29" s="24">
        <f t="shared" si="34"/>
        <v>0</v>
      </c>
      <c r="S29" s="24"/>
      <c r="T29" s="24"/>
      <c r="U29" s="24">
        <v>92000</v>
      </c>
      <c r="V29" s="24"/>
      <c r="W29" s="25">
        <f t="shared" si="35"/>
        <v>4486855</v>
      </c>
      <c r="X29" s="24">
        <f t="shared" si="17"/>
        <v>58038.810900000004</v>
      </c>
      <c r="Y29" s="24">
        <f t="shared" si="18"/>
        <v>97544.22</v>
      </c>
      <c r="Z29" s="24">
        <f t="shared" si="19"/>
        <v>97544.22</v>
      </c>
      <c r="AA29" s="24">
        <f t="shared" si="20"/>
        <v>195088.44</v>
      </c>
      <c r="AB29" s="25">
        <f t="shared" si="44"/>
        <v>448215.69090000005</v>
      </c>
      <c r="AC29" s="25">
        <f t="shared" si="45"/>
        <v>4935070.6908999998</v>
      </c>
      <c r="AD29" s="66">
        <f t="shared" si="21"/>
        <v>97544.22</v>
      </c>
      <c r="AE29" s="66">
        <f t="shared" si="22"/>
        <v>48772.11</v>
      </c>
      <c r="AF29" s="66">
        <f t="shared" si="23"/>
        <v>48772.11</v>
      </c>
      <c r="AG29" s="24">
        <v>0</v>
      </c>
      <c r="AH29" s="25">
        <f t="shared" si="6"/>
        <v>195088.44</v>
      </c>
      <c r="AI29" s="24">
        <v>0</v>
      </c>
      <c r="AJ29" s="25">
        <f t="shared" ref="AJ29:AJ33" si="52">+W29-AH29-AI29</f>
        <v>4291766.5599999996</v>
      </c>
      <c r="AK29" s="112"/>
      <c r="AM29" s="24">
        <v>4877211</v>
      </c>
      <c r="AN29" s="24">
        <v>4877211</v>
      </c>
      <c r="AO29" s="38">
        <f t="shared" si="46"/>
        <v>4739982.2509000003</v>
      </c>
      <c r="AP29" s="101">
        <f t="shared" si="47"/>
        <v>236999.11254500004</v>
      </c>
      <c r="AQ29" s="38">
        <f t="shared" si="48"/>
        <v>4356666.8083549999</v>
      </c>
      <c r="AR29" s="38">
        <f t="shared" si="49"/>
        <v>52280001.700259998</v>
      </c>
      <c r="AS29" s="38">
        <f t="shared" si="50"/>
        <v>54000000</v>
      </c>
      <c r="AT29" s="113">
        <f t="shared" si="51"/>
        <v>0</v>
      </c>
      <c r="AU29" s="113">
        <f t="shared" si="43"/>
        <v>0</v>
      </c>
      <c r="AV29" s="116">
        <v>0</v>
      </c>
    </row>
    <row r="30" spans="1:48" s="111" customFormat="1" ht="15" customHeight="1">
      <c r="A30" s="72">
        <v>22</v>
      </c>
      <c r="B30" s="29" t="s">
        <v>184</v>
      </c>
      <c r="C30" s="29" t="s">
        <v>142</v>
      </c>
      <c r="D30" s="62" t="s">
        <v>10</v>
      </c>
      <c r="E30" s="244" t="s">
        <v>336</v>
      </c>
      <c r="F30" s="264">
        <v>28</v>
      </c>
      <c r="G30" s="16">
        <v>118748</v>
      </c>
      <c r="H30" s="16">
        <v>4394855</v>
      </c>
      <c r="I30" s="16">
        <v>0</v>
      </c>
      <c r="J30" s="16">
        <v>0</v>
      </c>
      <c r="K30" s="16">
        <v>0</v>
      </c>
      <c r="L30" s="16"/>
      <c r="M30" s="16"/>
      <c r="N30" s="16"/>
      <c r="O30" s="142">
        <v>0</v>
      </c>
      <c r="P30" s="122">
        <f t="shared" si="13"/>
        <v>25403.78612716763</v>
      </c>
      <c r="Q30" s="24">
        <f t="shared" si="33"/>
        <v>0</v>
      </c>
      <c r="R30" s="24">
        <f t="shared" si="34"/>
        <v>0</v>
      </c>
      <c r="S30" s="24"/>
      <c r="T30" s="24"/>
      <c r="U30" s="24">
        <v>88000</v>
      </c>
      <c r="V30" s="24"/>
      <c r="W30" s="25">
        <f t="shared" si="35"/>
        <v>4482855</v>
      </c>
      <c r="X30" s="24">
        <f t="shared" si="17"/>
        <v>58038.810900000004</v>
      </c>
      <c r="Y30" s="24">
        <f t="shared" si="18"/>
        <v>97544.22</v>
      </c>
      <c r="Z30" s="24">
        <f t="shared" si="19"/>
        <v>97544.22</v>
      </c>
      <c r="AA30" s="24">
        <f t="shared" si="20"/>
        <v>195088.44</v>
      </c>
      <c r="AB30" s="25">
        <f t="shared" si="44"/>
        <v>448215.69090000005</v>
      </c>
      <c r="AC30" s="25">
        <f t="shared" si="45"/>
        <v>4931070.6908999998</v>
      </c>
      <c r="AD30" s="66">
        <f t="shared" si="21"/>
        <v>97544.22</v>
      </c>
      <c r="AE30" s="66">
        <f t="shared" si="22"/>
        <v>48772.11</v>
      </c>
      <c r="AF30" s="66">
        <f t="shared" si="23"/>
        <v>48772.11</v>
      </c>
      <c r="AG30" s="24">
        <v>0</v>
      </c>
      <c r="AH30" s="25">
        <f t="shared" si="6"/>
        <v>195088.44</v>
      </c>
      <c r="AI30" s="24">
        <v>0</v>
      </c>
      <c r="AJ30" s="25">
        <f t="shared" si="52"/>
        <v>4287766.5599999996</v>
      </c>
      <c r="AK30" s="112"/>
      <c r="AM30" s="24">
        <v>4877211</v>
      </c>
      <c r="AN30" s="24">
        <v>4877211</v>
      </c>
      <c r="AO30" s="38">
        <f t="shared" si="46"/>
        <v>4735982.2509000003</v>
      </c>
      <c r="AP30" s="101">
        <f t="shared" si="47"/>
        <v>236799.11254500004</v>
      </c>
      <c r="AQ30" s="38">
        <f t="shared" si="48"/>
        <v>4352866.8083549999</v>
      </c>
      <c r="AR30" s="38">
        <f t="shared" si="49"/>
        <v>52234401.700259998</v>
      </c>
      <c r="AS30" s="38">
        <f t="shared" si="50"/>
        <v>54000000</v>
      </c>
      <c r="AT30" s="113">
        <f t="shared" si="51"/>
        <v>0</v>
      </c>
      <c r="AU30" s="113">
        <f t="shared" si="43"/>
        <v>0</v>
      </c>
      <c r="AV30" s="116">
        <v>0</v>
      </c>
    </row>
    <row r="31" spans="1:48" s="111" customFormat="1" ht="15" customHeight="1">
      <c r="A31" s="72">
        <v>23</v>
      </c>
      <c r="B31" s="29" t="s">
        <v>359</v>
      </c>
      <c r="C31" s="29" t="s">
        <v>99</v>
      </c>
      <c r="D31" s="62" t="s">
        <v>10</v>
      </c>
      <c r="E31" s="244" t="s">
        <v>337</v>
      </c>
      <c r="F31" s="264">
        <v>29</v>
      </c>
      <c r="G31" s="16">
        <v>118748</v>
      </c>
      <c r="H31" s="16">
        <v>4394855</v>
      </c>
      <c r="I31" s="16">
        <v>0</v>
      </c>
      <c r="J31" s="16">
        <v>0</v>
      </c>
      <c r="K31" s="16">
        <v>0</v>
      </c>
      <c r="L31" s="16"/>
      <c r="M31" s="16"/>
      <c r="N31" s="16"/>
      <c r="O31" s="142">
        <v>0</v>
      </c>
      <c r="P31" s="122">
        <f t="shared" si="13"/>
        <v>25403.78612716763</v>
      </c>
      <c r="Q31" s="24">
        <f t="shared" si="33"/>
        <v>0</v>
      </c>
      <c r="R31" s="24">
        <f t="shared" si="34"/>
        <v>0</v>
      </c>
      <c r="S31" s="24"/>
      <c r="T31" s="24"/>
      <c r="U31" s="24">
        <v>96000</v>
      </c>
      <c r="V31" s="24"/>
      <c r="W31" s="25">
        <f t="shared" si="35"/>
        <v>4490855</v>
      </c>
      <c r="X31" s="24">
        <f t="shared" si="17"/>
        <v>58038.810900000004</v>
      </c>
      <c r="Y31" s="24">
        <f t="shared" si="18"/>
        <v>97544.22</v>
      </c>
      <c r="Z31" s="24">
        <f t="shared" si="19"/>
        <v>97544.22</v>
      </c>
      <c r="AA31" s="24">
        <f t="shared" si="20"/>
        <v>195088.44</v>
      </c>
      <c r="AB31" s="25">
        <f t="shared" si="44"/>
        <v>448215.69090000005</v>
      </c>
      <c r="AC31" s="25">
        <f t="shared" si="45"/>
        <v>4939070.6908999998</v>
      </c>
      <c r="AD31" s="66">
        <f t="shared" si="21"/>
        <v>97544.22</v>
      </c>
      <c r="AE31" s="66">
        <f t="shared" si="22"/>
        <v>48772.11</v>
      </c>
      <c r="AF31" s="66">
        <f t="shared" si="23"/>
        <v>48772.11</v>
      </c>
      <c r="AG31" s="24">
        <v>0</v>
      </c>
      <c r="AH31" s="25">
        <f t="shared" si="6"/>
        <v>195088.44</v>
      </c>
      <c r="AI31" s="24">
        <v>0</v>
      </c>
      <c r="AJ31" s="25">
        <f t="shared" si="52"/>
        <v>4295766.5599999996</v>
      </c>
      <c r="AK31" s="112"/>
      <c r="AM31" s="24">
        <v>4877211</v>
      </c>
      <c r="AN31" s="24">
        <v>4877211</v>
      </c>
      <c r="AO31" s="38">
        <f t="shared" si="46"/>
        <v>4743982.2509000003</v>
      </c>
      <c r="AP31" s="101">
        <f t="shared" si="47"/>
        <v>237199.11254500004</v>
      </c>
      <c r="AQ31" s="38">
        <f t="shared" si="48"/>
        <v>4360466.8083549999</v>
      </c>
      <c r="AR31" s="38">
        <f t="shared" si="49"/>
        <v>52325601.700259998</v>
      </c>
      <c r="AS31" s="38">
        <f t="shared" si="50"/>
        <v>54000000</v>
      </c>
      <c r="AT31" s="113">
        <f t="shared" si="51"/>
        <v>0</v>
      </c>
      <c r="AU31" s="113">
        <f t="shared" si="43"/>
        <v>0</v>
      </c>
      <c r="AV31" s="116">
        <v>0</v>
      </c>
    </row>
    <row r="32" spans="1:48" s="111" customFormat="1" ht="15" customHeight="1">
      <c r="A32" s="72">
        <v>24</v>
      </c>
      <c r="B32" s="29" t="s">
        <v>185</v>
      </c>
      <c r="C32" s="29" t="s">
        <v>236</v>
      </c>
      <c r="D32" s="62" t="s">
        <v>10</v>
      </c>
      <c r="E32" s="244" t="s">
        <v>338</v>
      </c>
      <c r="F32" s="264">
        <v>30</v>
      </c>
      <c r="G32" s="16">
        <v>118748</v>
      </c>
      <c r="H32" s="16">
        <v>4394855</v>
      </c>
      <c r="I32" s="16">
        <v>0</v>
      </c>
      <c r="J32" s="16">
        <v>0</v>
      </c>
      <c r="K32" s="16">
        <v>0</v>
      </c>
      <c r="L32" s="16"/>
      <c r="M32" s="16"/>
      <c r="N32" s="16"/>
      <c r="O32" s="142">
        <v>0</v>
      </c>
      <c r="P32" s="122">
        <f t="shared" si="13"/>
        <v>25403.78612716763</v>
      </c>
      <c r="Q32" s="24">
        <f t="shared" si="33"/>
        <v>0</v>
      </c>
      <c r="R32" s="24">
        <f t="shared" si="34"/>
        <v>0</v>
      </c>
      <c r="S32" s="24"/>
      <c r="T32" s="24"/>
      <c r="U32" s="24">
        <v>96000</v>
      </c>
      <c r="V32" s="24"/>
      <c r="W32" s="25">
        <f t="shared" si="35"/>
        <v>4490855</v>
      </c>
      <c r="X32" s="24">
        <f t="shared" si="17"/>
        <v>58038.810900000004</v>
      </c>
      <c r="Y32" s="24">
        <f t="shared" si="18"/>
        <v>97544.22</v>
      </c>
      <c r="Z32" s="24">
        <f t="shared" si="19"/>
        <v>97544.22</v>
      </c>
      <c r="AA32" s="24">
        <f t="shared" si="20"/>
        <v>195088.44</v>
      </c>
      <c r="AB32" s="25">
        <f t="shared" si="44"/>
        <v>448215.69090000005</v>
      </c>
      <c r="AC32" s="25">
        <f t="shared" si="45"/>
        <v>4939070.6908999998</v>
      </c>
      <c r="AD32" s="66">
        <f t="shared" si="21"/>
        <v>97544.22</v>
      </c>
      <c r="AE32" s="66">
        <f t="shared" si="22"/>
        <v>48772.11</v>
      </c>
      <c r="AF32" s="66">
        <f t="shared" si="23"/>
        <v>48772.11</v>
      </c>
      <c r="AG32" s="24">
        <v>0</v>
      </c>
      <c r="AH32" s="25">
        <f t="shared" si="6"/>
        <v>195088.44</v>
      </c>
      <c r="AI32" s="24">
        <v>0</v>
      </c>
      <c r="AJ32" s="25">
        <f t="shared" si="52"/>
        <v>4295766.5599999996</v>
      </c>
      <c r="AK32" s="112"/>
      <c r="AM32" s="24">
        <v>4877211</v>
      </c>
      <c r="AN32" s="24">
        <v>4877211</v>
      </c>
      <c r="AO32" s="38">
        <f t="shared" si="46"/>
        <v>4743982.2509000003</v>
      </c>
      <c r="AP32" s="101">
        <f t="shared" si="47"/>
        <v>237199.11254500004</v>
      </c>
      <c r="AQ32" s="38">
        <f t="shared" si="48"/>
        <v>4360466.8083549999</v>
      </c>
      <c r="AR32" s="38">
        <f t="shared" si="49"/>
        <v>52325601.700259998</v>
      </c>
      <c r="AS32" s="38">
        <f t="shared" si="50"/>
        <v>54000000</v>
      </c>
      <c r="AT32" s="113">
        <f t="shared" si="51"/>
        <v>0</v>
      </c>
      <c r="AU32" s="113">
        <f t="shared" si="43"/>
        <v>0</v>
      </c>
      <c r="AV32" s="116">
        <v>0</v>
      </c>
    </row>
    <row r="33" spans="1:48" s="111" customFormat="1" ht="15" customHeight="1">
      <c r="A33" s="72">
        <v>25</v>
      </c>
      <c r="B33" s="29" t="s">
        <v>186</v>
      </c>
      <c r="C33" s="29" t="s">
        <v>99</v>
      </c>
      <c r="D33" s="62" t="s">
        <v>10</v>
      </c>
      <c r="E33" s="244" t="s">
        <v>339</v>
      </c>
      <c r="F33" s="264">
        <v>30</v>
      </c>
      <c r="G33" s="16">
        <v>118748</v>
      </c>
      <c r="H33" s="16">
        <v>4394855</v>
      </c>
      <c r="I33" s="16">
        <v>0</v>
      </c>
      <c r="J33" s="16">
        <v>0</v>
      </c>
      <c r="K33" s="16">
        <v>0</v>
      </c>
      <c r="L33" s="16"/>
      <c r="M33" s="16"/>
      <c r="N33" s="16"/>
      <c r="O33" s="142">
        <v>0</v>
      </c>
      <c r="P33" s="122">
        <f t="shared" si="13"/>
        <v>25403.78612716763</v>
      </c>
      <c r="Q33" s="24">
        <f t="shared" si="33"/>
        <v>0</v>
      </c>
      <c r="R33" s="24">
        <f t="shared" si="34"/>
        <v>0</v>
      </c>
      <c r="S33" s="24"/>
      <c r="T33" s="24"/>
      <c r="U33" s="24">
        <v>96000</v>
      </c>
      <c r="V33" s="24"/>
      <c r="W33" s="25">
        <f t="shared" si="35"/>
        <v>4490855</v>
      </c>
      <c r="X33" s="24">
        <f t="shared" si="17"/>
        <v>58038.810900000004</v>
      </c>
      <c r="Y33" s="24">
        <f t="shared" si="18"/>
        <v>97544.22</v>
      </c>
      <c r="Z33" s="24">
        <f t="shared" si="19"/>
        <v>97544.22</v>
      </c>
      <c r="AA33" s="24">
        <f t="shared" si="20"/>
        <v>195088.44</v>
      </c>
      <c r="AB33" s="25">
        <f t="shared" si="44"/>
        <v>448215.69090000005</v>
      </c>
      <c r="AC33" s="25">
        <f t="shared" si="45"/>
        <v>4939070.6908999998</v>
      </c>
      <c r="AD33" s="66">
        <f t="shared" si="21"/>
        <v>97544.22</v>
      </c>
      <c r="AE33" s="66">
        <f t="shared" si="22"/>
        <v>48772.11</v>
      </c>
      <c r="AF33" s="66">
        <f t="shared" si="23"/>
        <v>48772.11</v>
      </c>
      <c r="AG33" s="24">
        <v>0</v>
      </c>
      <c r="AH33" s="25">
        <f t="shared" si="6"/>
        <v>195088.44</v>
      </c>
      <c r="AI33" s="24">
        <v>0</v>
      </c>
      <c r="AJ33" s="25">
        <f t="shared" si="52"/>
        <v>4295766.5599999996</v>
      </c>
      <c r="AK33" s="112"/>
      <c r="AM33" s="24">
        <v>4877211</v>
      </c>
      <c r="AN33" s="24">
        <v>4877211</v>
      </c>
      <c r="AO33" s="38">
        <f t="shared" si="46"/>
        <v>4743982.2509000003</v>
      </c>
      <c r="AP33" s="101">
        <f t="shared" si="47"/>
        <v>237199.11254500004</v>
      </c>
      <c r="AQ33" s="38">
        <f t="shared" si="48"/>
        <v>4360466.8083549999</v>
      </c>
      <c r="AR33" s="38">
        <f t="shared" si="49"/>
        <v>52325601.700259998</v>
      </c>
      <c r="AS33" s="38">
        <f t="shared" si="50"/>
        <v>54000000</v>
      </c>
      <c r="AT33" s="113">
        <f t="shared" si="51"/>
        <v>0</v>
      </c>
      <c r="AU33" s="113">
        <f t="shared" si="43"/>
        <v>0</v>
      </c>
      <c r="AV33" s="116">
        <v>0</v>
      </c>
    </row>
    <row r="34" spans="1:48" s="111" customFormat="1" ht="15" customHeight="1">
      <c r="A34" s="72">
        <v>26</v>
      </c>
      <c r="B34" s="29" t="s">
        <v>237</v>
      </c>
      <c r="C34" s="29" t="s">
        <v>236</v>
      </c>
      <c r="D34" s="62" t="s">
        <v>10</v>
      </c>
      <c r="E34" s="250" t="s">
        <v>340</v>
      </c>
      <c r="F34" s="264">
        <v>29</v>
      </c>
      <c r="G34" s="16">
        <v>118748</v>
      </c>
      <c r="H34" s="16">
        <v>4394855</v>
      </c>
      <c r="I34" s="16">
        <v>0</v>
      </c>
      <c r="J34" s="16">
        <v>0</v>
      </c>
      <c r="K34" s="16">
        <v>0</v>
      </c>
      <c r="L34" s="16"/>
      <c r="M34" s="16"/>
      <c r="N34" s="16"/>
      <c r="O34" s="142">
        <v>0</v>
      </c>
      <c r="P34" s="122">
        <f t="shared" ref="P34:P35" si="53">+H34/173</f>
        <v>25403.78612716763</v>
      </c>
      <c r="Q34" s="24">
        <f t="shared" ref="Q34:Q35" si="54">+O34*P34</f>
        <v>0</v>
      </c>
      <c r="R34" s="24">
        <f t="shared" ref="R34:R35" si="55">+N34+Q34</f>
        <v>0</v>
      </c>
      <c r="S34" s="24"/>
      <c r="T34" s="24"/>
      <c r="U34" s="24">
        <v>92000</v>
      </c>
      <c r="V34" s="24"/>
      <c r="W34" s="25">
        <f t="shared" ref="W34:W35" si="56">+H34+I34+J34+K34+R34+U34+V34</f>
        <v>4486855</v>
      </c>
      <c r="X34" s="24">
        <f t="shared" si="17"/>
        <v>58038.810900000004</v>
      </c>
      <c r="Y34" s="24">
        <f t="shared" si="18"/>
        <v>97544.22</v>
      </c>
      <c r="Z34" s="24">
        <f t="shared" si="19"/>
        <v>97544.22</v>
      </c>
      <c r="AA34" s="24">
        <f t="shared" si="20"/>
        <v>195088.44</v>
      </c>
      <c r="AB34" s="25">
        <f t="shared" ref="AB34:AB35" si="57">SUM(X34:AA34)</f>
        <v>448215.69090000005</v>
      </c>
      <c r="AC34" s="25">
        <f t="shared" ref="AC34:AC35" si="58">+W34+AB34</f>
        <v>4935070.6908999998</v>
      </c>
      <c r="AD34" s="66">
        <f t="shared" si="21"/>
        <v>97544.22</v>
      </c>
      <c r="AE34" s="66">
        <f t="shared" si="22"/>
        <v>48772.11</v>
      </c>
      <c r="AF34" s="66">
        <f t="shared" si="23"/>
        <v>48772.11</v>
      </c>
      <c r="AG34" s="24">
        <v>0</v>
      </c>
      <c r="AH34" s="25">
        <f t="shared" ref="AH34:AH35" si="59">SUM(AD34:AG34)</f>
        <v>195088.44</v>
      </c>
      <c r="AI34" s="24">
        <v>0</v>
      </c>
      <c r="AJ34" s="25">
        <f t="shared" ref="AJ34:AJ35" si="60">+W34-AH34-AI34</f>
        <v>4291766.5599999996</v>
      </c>
      <c r="AK34" s="112"/>
      <c r="AM34" s="24">
        <v>4877211</v>
      </c>
      <c r="AN34" s="24">
        <v>4877211</v>
      </c>
      <c r="AO34" s="38">
        <f t="shared" ref="AO34:AO35" si="61">+W34+X34+AA34</f>
        <v>4739982.2509000003</v>
      </c>
      <c r="AP34" s="101">
        <f t="shared" ref="AP34:AP35" si="62">IF(AO34*$AP$7&gt;500000,500000,AO34*$AP$7)</f>
        <v>236999.11254500004</v>
      </c>
      <c r="AQ34" s="38">
        <f t="shared" ref="AQ34:AQ35" si="63">+AO34-AP34-AD34-AE34</f>
        <v>4356666.8083549999</v>
      </c>
      <c r="AR34" s="38">
        <f t="shared" ref="AR34:AR35" si="64">+AQ34*$AR$7</f>
        <v>52280001.700259998</v>
      </c>
      <c r="AS34" s="38">
        <f t="shared" ref="AS34:AS35" si="65">IF(D34="TK",54000000,(IF(OR(D34="TK1",D34="K"),58500000,(IF(OR(D34="TK2",D34="K1"),63000000,(IF(OR(OR(D34="TK3",D34="TK4"),D34="K2"),67500000,72000000)))))))</f>
        <v>54000000</v>
      </c>
      <c r="AT34" s="113">
        <f t="shared" ref="AT34:AT35" si="66">IF((+AR34-AS34)&lt;=0,0,TRUNC((AR34-AS34)/1000)*1000)</f>
        <v>0</v>
      </c>
      <c r="AU34" s="113">
        <f t="shared" ref="AU34:AU35" si="67">IF(AT34&lt;=60000000,AT34*5%,IF(AT34&lt;=250000000,3000000+((AT34-60000000)*15%),IF(AT34&lt;=500000000,31500000+((AT34-250000000)*25%),IF(AND(AT34&gt;=500000000,AT34&lt;=5000000000),94000000+((AT34-500000000)*30%),IF(AT34&gt;5000000000,(1444000000+(AT34-5000000000)*35%))))))</f>
        <v>0</v>
      </c>
      <c r="AV34" s="116">
        <v>0</v>
      </c>
    </row>
    <row r="35" spans="1:48" s="111" customFormat="1" ht="15" customHeight="1">
      <c r="A35" s="72">
        <v>27</v>
      </c>
      <c r="B35" s="29" t="s">
        <v>238</v>
      </c>
      <c r="C35" s="29" t="s">
        <v>239</v>
      </c>
      <c r="D35" s="62" t="s">
        <v>10</v>
      </c>
      <c r="E35" s="250" t="s">
        <v>341</v>
      </c>
      <c r="F35" s="264">
        <v>29</v>
      </c>
      <c r="G35" s="16">
        <v>118748</v>
      </c>
      <c r="H35" s="16">
        <v>4394855</v>
      </c>
      <c r="I35" s="16">
        <v>0</v>
      </c>
      <c r="J35" s="16">
        <v>0</v>
      </c>
      <c r="K35" s="16">
        <v>0</v>
      </c>
      <c r="L35" s="16"/>
      <c r="M35" s="16"/>
      <c r="N35" s="16"/>
      <c r="O35" s="142">
        <v>0</v>
      </c>
      <c r="P35" s="122">
        <f t="shared" si="53"/>
        <v>25403.78612716763</v>
      </c>
      <c r="Q35" s="24">
        <f t="shared" si="54"/>
        <v>0</v>
      </c>
      <c r="R35" s="24">
        <f t="shared" si="55"/>
        <v>0</v>
      </c>
      <c r="S35" s="24"/>
      <c r="T35" s="24"/>
      <c r="U35" s="24">
        <v>96000</v>
      </c>
      <c r="V35" s="24"/>
      <c r="W35" s="25">
        <f t="shared" si="56"/>
        <v>4490855</v>
      </c>
      <c r="X35" s="24">
        <f t="shared" si="17"/>
        <v>58038.810900000004</v>
      </c>
      <c r="Y35" s="24">
        <f t="shared" si="18"/>
        <v>97544.22</v>
      </c>
      <c r="Z35" s="24">
        <f t="shared" si="19"/>
        <v>97544.22</v>
      </c>
      <c r="AA35" s="24">
        <f t="shared" si="20"/>
        <v>195088.44</v>
      </c>
      <c r="AB35" s="25">
        <f t="shared" si="57"/>
        <v>448215.69090000005</v>
      </c>
      <c r="AC35" s="25">
        <f t="shared" si="58"/>
        <v>4939070.6908999998</v>
      </c>
      <c r="AD35" s="66">
        <f t="shared" si="21"/>
        <v>97544.22</v>
      </c>
      <c r="AE35" s="66">
        <f t="shared" si="22"/>
        <v>48772.11</v>
      </c>
      <c r="AF35" s="66">
        <f t="shared" si="23"/>
        <v>48772.11</v>
      </c>
      <c r="AG35" s="24">
        <v>0</v>
      </c>
      <c r="AH35" s="25">
        <f t="shared" si="59"/>
        <v>195088.44</v>
      </c>
      <c r="AI35" s="24">
        <v>0</v>
      </c>
      <c r="AJ35" s="25">
        <f t="shared" si="60"/>
        <v>4295766.5599999996</v>
      </c>
      <c r="AK35" s="112"/>
      <c r="AM35" s="24">
        <v>4877211</v>
      </c>
      <c r="AN35" s="24">
        <v>4877211</v>
      </c>
      <c r="AO35" s="38">
        <f t="shared" si="61"/>
        <v>4743982.2509000003</v>
      </c>
      <c r="AP35" s="101">
        <f t="shared" si="62"/>
        <v>237199.11254500004</v>
      </c>
      <c r="AQ35" s="38">
        <f t="shared" si="63"/>
        <v>4360466.8083549999</v>
      </c>
      <c r="AR35" s="38">
        <f t="shared" si="64"/>
        <v>52325601.700259998</v>
      </c>
      <c r="AS35" s="38">
        <f t="shared" si="65"/>
        <v>54000000</v>
      </c>
      <c r="AT35" s="113">
        <f t="shared" si="66"/>
        <v>0</v>
      </c>
      <c r="AU35" s="113">
        <f t="shared" si="67"/>
        <v>0</v>
      </c>
      <c r="AV35" s="116">
        <v>0</v>
      </c>
    </row>
    <row r="36" spans="1:48" s="111" customFormat="1" ht="15" customHeight="1">
      <c r="A36" s="72">
        <v>28</v>
      </c>
      <c r="B36" s="71" t="s">
        <v>94</v>
      </c>
      <c r="C36" s="57" t="s">
        <v>190</v>
      </c>
      <c r="D36" s="62" t="s">
        <v>10</v>
      </c>
      <c r="E36" s="244" t="s">
        <v>342</v>
      </c>
      <c r="F36" s="264">
        <v>30</v>
      </c>
      <c r="G36" s="16">
        <v>118748</v>
      </c>
      <c r="H36" s="16">
        <v>4394855</v>
      </c>
      <c r="I36" s="16">
        <v>0</v>
      </c>
      <c r="J36" s="16">
        <v>0</v>
      </c>
      <c r="K36" s="16">
        <v>0</v>
      </c>
      <c r="L36" s="16"/>
      <c r="M36" s="122"/>
      <c r="N36" s="16"/>
      <c r="O36" s="142">
        <v>0</v>
      </c>
      <c r="P36" s="122">
        <f t="shared" si="13"/>
        <v>25403.78612716763</v>
      </c>
      <c r="Q36" s="24">
        <f t="shared" si="33"/>
        <v>0</v>
      </c>
      <c r="R36" s="24">
        <f t="shared" si="34"/>
        <v>0</v>
      </c>
      <c r="S36" s="24">
        <f t="shared" si="2"/>
        <v>23</v>
      </c>
      <c r="T36" s="24">
        <v>4000</v>
      </c>
      <c r="U36" s="24">
        <v>92000</v>
      </c>
      <c r="V36" s="24"/>
      <c r="W36" s="25">
        <f t="shared" si="35"/>
        <v>4486855</v>
      </c>
      <c r="X36" s="24">
        <f t="shared" si="17"/>
        <v>58038.810900000004</v>
      </c>
      <c r="Y36" s="24">
        <f t="shared" si="18"/>
        <v>97544.22</v>
      </c>
      <c r="Z36" s="24">
        <f t="shared" si="19"/>
        <v>97544.22</v>
      </c>
      <c r="AA36" s="24">
        <f t="shared" si="20"/>
        <v>195088.44</v>
      </c>
      <c r="AB36" s="25">
        <f t="shared" si="44"/>
        <v>448215.69090000005</v>
      </c>
      <c r="AC36" s="25">
        <f t="shared" si="45"/>
        <v>4935070.6908999998</v>
      </c>
      <c r="AD36" s="66">
        <f t="shared" si="21"/>
        <v>97544.22</v>
      </c>
      <c r="AE36" s="66">
        <f t="shared" si="22"/>
        <v>48772.11</v>
      </c>
      <c r="AF36" s="66">
        <f t="shared" si="23"/>
        <v>48772.11</v>
      </c>
      <c r="AG36" s="24">
        <v>0</v>
      </c>
      <c r="AH36" s="25">
        <f t="shared" ref="AH36:AH42" si="68">SUM(AD36:AG36)</f>
        <v>195088.44</v>
      </c>
      <c r="AI36" s="24">
        <v>0</v>
      </c>
      <c r="AJ36" s="25">
        <f t="shared" ref="AJ36:AJ42" si="69">+W36-AH36-AI36</f>
        <v>4291766.5599999996</v>
      </c>
      <c r="AK36" s="112"/>
      <c r="AM36" s="24">
        <v>4877211</v>
      </c>
      <c r="AN36" s="24">
        <v>4877211</v>
      </c>
      <c r="AO36" s="38">
        <f t="shared" ref="AO36" si="70">+W36+X36+AA36</f>
        <v>4739982.2509000003</v>
      </c>
      <c r="AP36" s="38">
        <f t="shared" ref="AP36" si="71">IF(AO36*$AP$7&gt;500000,500000,AO36*$AP$7)</f>
        <v>236999.11254500004</v>
      </c>
      <c r="AQ36" s="38">
        <f t="shared" ref="AQ36" si="72">+AO36-AP36-AD36-AE36</f>
        <v>4356666.8083549999</v>
      </c>
      <c r="AR36" s="38">
        <f t="shared" ref="AR36" si="73">+AQ36*$AR$7</f>
        <v>52280001.700259998</v>
      </c>
      <c r="AS36" s="38">
        <f t="shared" ref="AS36" si="74">IF(D36="TK",54000000,(IF(OR(D36="TK1",D36="K"),58500000,(IF(OR(D36="TK2",D36="K1"),63000000,(IF(OR(OR(D36="TK3",D36="TK4"),D36="K2"),67500000,72000000)))))))</f>
        <v>54000000</v>
      </c>
      <c r="AT36" s="113">
        <f t="shared" si="51"/>
        <v>0</v>
      </c>
      <c r="AU36" s="113">
        <f t="shared" si="43"/>
        <v>0</v>
      </c>
      <c r="AV36" s="116" t="e">
        <f>AU36/#REF!</f>
        <v>#REF!</v>
      </c>
    </row>
    <row r="37" spans="1:48" s="111" customFormat="1" ht="15" customHeight="1">
      <c r="A37" s="72">
        <v>29</v>
      </c>
      <c r="B37" s="71" t="s">
        <v>189</v>
      </c>
      <c r="C37" s="57" t="s">
        <v>148</v>
      </c>
      <c r="D37" s="64" t="s">
        <v>10</v>
      </c>
      <c r="E37" s="244" t="s">
        <v>343</v>
      </c>
      <c r="F37" s="264">
        <v>30</v>
      </c>
      <c r="G37" s="16">
        <v>118748</v>
      </c>
      <c r="H37" s="16">
        <v>4394855</v>
      </c>
      <c r="I37" s="16">
        <v>0</v>
      </c>
      <c r="J37" s="16">
        <v>0</v>
      </c>
      <c r="K37" s="16">
        <v>0</v>
      </c>
      <c r="L37" s="16"/>
      <c r="M37" s="122"/>
      <c r="N37" s="16"/>
      <c r="O37" s="142">
        <v>0</v>
      </c>
      <c r="P37" s="122">
        <f t="shared" si="13"/>
        <v>25403.78612716763</v>
      </c>
      <c r="Q37" s="24">
        <f t="shared" ref="Q37:Q39" si="75">+O37*P37</f>
        <v>0</v>
      </c>
      <c r="R37" s="24">
        <f t="shared" ref="R37:R39" si="76">+N37+Q37</f>
        <v>0</v>
      </c>
      <c r="S37" s="24">
        <f t="shared" si="2"/>
        <v>23</v>
      </c>
      <c r="T37" s="24">
        <v>4000</v>
      </c>
      <c r="U37" s="24">
        <v>92000</v>
      </c>
      <c r="V37" s="24"/>
      <c r="W37" s="25">
        <f t="shared" si="16"/>
        <v>4486855</v>
      </c>
      <c r="X37" s="24">
        <f t="shared" si="17"/>
        <v>58038.810900000004</v>
      </c>
      <c r="Y37" s="24">
        <f t="shared" si="18"/>
        <v>97544.22</v>
      </c>
      <c r="Z37" s="24">
        <f t="shared" si="19"/>
        <v>97544.22</v>
      </c>
      <c r="AA37" s="24">
        <f t="shared" si="20"/>
        <v>195088.44</v>
      </c>
      <c r="AB37" s="25">
        <f t="shared" ref="AB37:AB39" si="77">SUM(X37:AA37)</f>
        <v>448215.69090000005</v>
      </c>
      <c r="AC37" s="25">
        <f t="shared" si="5"/>
        <v>4935070.6908999998</v>
      </c>
      <c r="AD37" s="66">
        <f t="shared" si="21"/>
        <v>97544.22</v>
      </c>
      <c r="AE37" s="66">
        <f t="shared" si="22"/>
        <v>48772.11</v>
      </c>
      <c r="AF37" s="66">
        <f t="shared" si="23"/>
        <v>48772.11</v>
      </c>
      <c r="AG37" s="24">
        <v>0</v>
      </c>
      <c r="AH37" s="25">
        <f t="shared" si="68"/>
        <v>195088.44</v>
      </c>
      <c r="AI37" s="24">
        <v>0</v>
      </c>
      <c r="AJ37" s="25">
        <f t="shared" si="69"/>
        <v>4291766.5599999996</v>
      </c>
      <c r="AK37" s="112"/>
      <c r="AM37" s="24">
        <v>4877211</v>
      </c>
      <c r="AN37" s="24">
        <v>4877211</v>
      </c>
      <c r="AO37" s="38">
        <f t="shared" si="25"/>
        <v>4739982.2509000003</v>
      </c>
      <c r="AP37" s="38">
        <f>IF(AO37*$AP$7&gt;500000,500000,AO37*$AP$7)</f>
        <v>236999.11254500004</v>
      </c>
      <c r="AQ37" s="38">
        <f t="shared" si="8"/>
        <v>4356666.8083549999</v>
      </c>
      <c r="AR37" s="38">
        <f>+AQ37*$AR$7</f>
        <v>52280001.700259998</v>
      </c>
      <c r="AS37" s="38">
        <f t="shared" si="10"/>
        <v>54000000</v>
      </c>
      <c r="AT37" s="113">
        <f t="shared" si="42"/>
        <v>0</v>
      </c>
      <c r="AU37" s="113">
        <f t="shared" si="43"/>
        <v>0</v>
      </c>
      <c r="AV37" s="143" t="e">
        <f>AU37/#REF!</f>
        <v>#REF!</v>
      </c>
    </row>
    <row r="38" spans="1:48" ht="15" customHeight="1">
      <c r="A38" s="72">
        <v>30</v>
      </c>
      <c r="B38" s="71" t="s">
        <v>95</v>
      </c>
      <c r="C38" s="57" t="s">
        <v>190</v>
      </c>
      <c r="D38" s="64" t="s">
        <v>10</v>
      </c>
      <c r="E38" s="244" t="s">
        <v>344</v>
      </c>
      <c r="F38" s="264">
        <v>30</v>
      </c>
      <c r="G38" s="16">
        <v>118748</v>
      </c>
      <c r="H38" s="16">
        <v>4394855</v>
      </c>
      <c r="I38" s="16">
        <v>0</v>
      </c>
      <c r="J38" s="16">
        <v>0</v>
      </c>
      <c r="K38" s="16">
        <v>0</v>
      </c>
      <c r="L38" s="16"/>
      <c r="M38" s="122"/>
      <c r="N38" s="16"/>
      <c r="O38" s="142">
        <v>0</v>
      </c>
      <c r="P38" s="122">
        <f t="shared" si="13"/>
        <v>25403.78612716763</v>
      </c>
      <c r="Q38" s="24">
        <f t="shared" si="75"/>
        <v>0</v>
      </c>
      <c r="R38" s="24">
        <f t="shared" si="76"/>
        <v>0</v>
      </c>
      <c r="S38" s="24">
        <f t="shared" si="2"/>
        <v>23</v>
      </c>
      <c r="T38" s="24">
        <v>4000</v>
      </c>
      <c r="U38" s="24">
        <v>92000</v>
      </c>
      <c r="V38" s="24"/>
      <c r="W38" s="25">
        <f t="shared" si="16"/>
        <v>4486855</v>
      </c>
      <c r="X38" s="24">
        <f t="shared" si="17"/>
        <v>58038.810900000004</v>
      </c>
      <c r="Y38" s="24">
        <f t="shared" si="18"/>
        <v>97544.22</v>
      </c>
      <c r="Z38" s="24">
        <f t="shared" si="19"/>
        <v>97544.22</v>
      </c>
      <c r="AA38" s="24">
        <f t="shared" si="20"/>
        <v>195088.44</v>
      </c>
      <c r="AB38" s="25">
        <f t="shared" si="77"/>
        <v>448215.69090000005</v>
      </c>
      <c r="AC38" s="25">
        <f t="shared" si="5"/>
        <v>4935070.6908999998</v>
      </c>
      <c r="AD38" s="66">
        <f t="shared" si="21"/>
        <v>97544.22</v>
      </c>
      <c r="AE38" s="66">
        <f t="shared" si="22"/>
        <v>48772.11</v>
      </c>
      <c r="AF38" s="66">
        <f t="shared" si="23"/>
        <v>48772.11</v>
      </c>
      <c r="AG38" s="24">
        <v>0</v>
      </c>
      <c r="AH38" s="25">
        <f t="shared" si="68"/>
        <v>195088.44</v>
      </c>
      <c r="AI38" s="24">
        <v>0</v>
      </c>
      <c r="AJ38" s="25">
        <f t="shared" si="69"/>
        <v>4291766.5599999996</v>
      </c>
      <c r="AM38" s="24">
        <v>4877211</v>
      </c>
      <c r="AN38" s="24">
        <v>4877211</v>
      </c>
      <c r="AO38" s="101">
        <f t="shared" si="25"/>
        <v>4739982.2509000003</v>
      </c>
      <c r="AP38" s="101">
        <f>IF(AO38*$AP$7&gt;500000,500000,AO38*$AP$7)</f>
        <v>236999.11254500004</v>
      </c>
      <c r="AQ38" s="101">
        <f t="shared" si="8"/>
        <v>4356666.8083549999</v>
      </c>
      <c r="AR38" s="101">
        <f>+AQ38*$AR$7</f>
        <v>52280001.700259998</v>
      </c>
      <c r="AS38" s="101">
        <f t="shared" si="10"/>
        <v>54000000</v>
      </c>
      <c r="AT38" s="113">
        <f t="shared" si="42"/>
        <v>0</v>
      </c>
      <c r="AU38" s="113">
        <f t="shared" si="43"/>
        <v>0</v>
      </c>
      <c r="AV38" s="116" t="e">
        <f>AU38/#REF!</f>
        <v>#REF!</v>
      </c>
    </row>
    <row r="39" spans="1:48" ht="15" customHeight="1">
      <c r="A39" s="72">
        <v>31</v>
      </c>
      <c r="B39" s="71" t="s">
        <v>96</v>
      </c>
      <c r="C39" s="57" t="s">
        <v>190</v>
      </c>
      <c r="D39" s="64" t="s">
        <v>10</v>
      </c>
      <c r="E39" s="244" t="s">
        <v>345</v>
      </c>
      <c r="F39" s="264">
        <v>30</v>
      </c>
      <c r="G39" s="16">
        <v>118748</v>
      </c>
      <c r="H39" s="16">
        <v>4394855</v>
      </c>
      <c r="I39" s="16">
        <v>0</v>
      </c>
      <c r="J39" s="16">
        <v>0</v>
      </c>
      <c r="K39" s="16">
        <v>0</v>
      </c>
      <c r="L39" s="16"/>
      <c r="M39" s="122"/>
      <c r="N39" s="16"/>
      <c r="O39" s="142">
        <v>0</v>
      </c>
      <c r="P39" s="122">
        <f t="shared" si="13"/>
        <v>25403.78612716763</v>
      </c>
      <c r="Q39" s="24">
        <f t="shared" si="75"/>
        <v>0</v>
      </c>
      <c r="R39" s="24">
        <f t="shared" si="76"/>
        <v>0</v>
      </c>
      <c r="S39" s="24">
        <f t="shared" si="2"/>
        <v>23</v>
      </c>
      <c r="T39" s="24">
        <v>4000</v>
      </c>
      <c r="U39" s="24">
        <v>92000</v>
      </c>
      <c r="V39" s="24"/>
      <c r="W39" s="25">
        <f t="shared" si="16"/>
        <v>4486855</v>
      </c>
      <c r="X39" s="24">
        <f t="shared" si="17"/>
        <v>58038.810900000004</v>
      </c>
      <c r="Y39" s="24">
        <f t="shared" si="18"/>
        <v>97544.22</v>
      </c>
      <c r="Z39" s="24">
        <f t="shared" si="19"/>
        <v>97544.22</v>
      </c>
      <c r="AA39" s="24">
        <f t="shared" si="20"/>
        <v>195088.44</v>
      </c>
      <c r="AB39" s="25">
        <f t="shared" si="77"/>
        <v>448215.69090000005</v>
      </c>
      <c r="AC39" s="25">
        <f t="shared" si="5"/>
        <v>4935070.6908999998</v>
      </c>
      <c r="AD39" s="66">
        <f t="shared" si="21"/>
        <v>97544.22</v>
      </c>
      <c r="AE39" s="66">
        <f t="shared" si="22"/>
        <v>48772.11</v>
      </c>
      <c r="AF39" s="66">
        <f t="shared" si="23"/>
        <v>48772.11</v>
      </c>
      <c r="AG39" s="24">
        <v>0</v>
      </c>
      <c r="AH39" s="25">
        <f t="shared" si="68"/>
        <v>195088.44</v>
      </c>
      <c r="AI39" s="24">
        <v>0</v>
      </c>
      <c r="AJ39" s="25">
        <f t="shared" si="69"/>
        <v>4291766.5599999996</v>
      </c>
      <c r="AM39" s="24">
        <v>4877211</v>
      </c>
      <c r="AN39" s="24">
        <v>4877211</v>
      </c>
      <c r="AO39" s="101">
        <f t="shared" si="25"/>
        <v>4739982.2509000003</v>
      </c>
      <c r="AP39" s="101">
        <f>IF(AO39*$AP$7&gt;500000,500000,AO39*$AP$7)</f>
        <v>236999.11254500004</v>
      </c>
      <c r="AQ39" s="101">
        <f t="shared" si="8"/>
        <v>4356666.8083549999</v>
      </c>
      <c r="AR39" s="101">
        <f>+AQ39*$AR$7</f>
        <v>52280001.700259998</v>
      </c>
      <c r="AS39" s="101">
        <f t="shared" si="10"/>
        <v>54000000</v>
      </c>
      <c r="AT39" s="113">
        <f t="shared" si="42"/>
        <v>0</v>
      </c>
      <c r="AU39" s="113">
        <f t="shared" si="43"/>
        <v>0</v>
      </c>
      <c r="AV39" s="116" t="e">
        <f>AU39/#REF!</f>
        <v>#REF!</v>
      </c>
    </row>
    <row r="40" spans="1:48" ht="15" customHeight="1">
      <c r="A40" s="72">
        <v>32</v>
      </c>
      <c r="B40" s="71" t="s">
        <v>360</v>
      </c>
      <c r="C40" s="57" t="s">
        <v>148</v>
      </c>
      <c r="D40" s="64" t="s">
        <v>10</v>
      </c>
      <c r="E40" s="244" t="s">
        <v>346</v>
      </c>
      <c r="F40" s="264">
        <v>30</v>
      </c>
      <c r="G40" s="16">
        <v>118748</v>
      </c>
      <c r="H40" s="16">
        <v>4394855</v>
      </c>
      <c r="I40" s="16">
        <v>0</v>
      </c>
      <c r="J40" s="16">
        <v>0</v>
      </c>
      <c r="K40" s="16">
        <v>0</v>
      </c>
      <c r="L40" s="16"/>
      <c r="M40" s="122"/>
      <c r="N40" s="16"/>
      <c r="O40" s="142">
        <v>0</v>
      </c>
      <c r="P40" s="122">
        <f t="shared" si="13"/>
        <v>25403.78612716763</v>
      </c>
      <c r="Q40" s="24">
        <f t="shared" ref="Q40:Q42" si="78">+O40*P40</f>
        <v>0</v>
      </c>
      <c r="R40" s="24">
        <f t="shared" ref="R40:R42" si="79">+N40+Q40</f>
        <v>0</v>
      </c>
      <c r="S40" s="24">
        <f t="shared" ref="S40:S42" si="80">+U40/T40</f>
        <v>23</v>
      </c>
      <c r="T40" s="24">
        <v>4000</v>
      </c>
      <c r="U40" s="24">
        <v>92000</v>
      </c>
      <c r="V40" s="24"/>
      <c r="W40" s="25">
        <f t="shared" ref="W40:W42" si="81">+H40+I40+J40+K40+R40+U40+V40</f>
        <v>4486855</v>
      </c>
      <c r="X40" s="24">
        <f t="shared" si="17"/>
        <v>58038.810900000004</v>
      </c>
      <c r="Y40" s="24">
        <f t="shared" si="18"/>
        <v>97544.22</v>
      </c>
      <c r="Z40" s="24">
        <f t="shared" si="19"/>
        <v>97544.22</v>
      </c>
      <c r="AA40" s="24">
        <f t="shared" si="20"/>
        <v>195088.44</v>
      </c>
      <c r="AB40" s="25">
        <f t="shared" ref="AB40:AB42" si="82">SUM(X40:AA40)</f>
        <v>448215.69090000005</v>
      </c>
      <c r="AC40" s="25">
        <f t="shared" ref="AC40:AC42" si="83">+W40+AB40</f>
        <v>4935070.6908999998</v>
      </c>
      <c r="AD40" s="66">
        <f t="shared" si="21"/>
        <v>97544.22</v>
      </c>
      <c r="AE40" s="66">
        <f t="shared" si="22"/>
        <v>48772.11</v>
      </c>
      <c r="AF40" s="66">
        <f t="shared" si="23"/>
        <v>48772.11</v>
      </c>
      <c r="AG40" s="24">
        <v>0</v>
      </c>
      <c r="AH40" s="25">
        <f t="shared" si="68"/>
        <v>195088.44</v>
      </c>
      <c r="AI40" s="24">
        <v>0</v>
      </c>
      <c r="AJ40" s="25">
        <f t="shared" si="69"/>
        <v>4291766.5599999996</v>
      </c>
      <c r="AM40" s="24">
        <v>4877211</v>
      </c>
      <c r="AN40" s="24">
        <v>4877211</v>
      </c>
      <c r="AO40" s="38">
        <f t="shared" ref="AO40:AO42" si="84">+W40+X40+AA40</f>
        <v>4739982.2509000003</v>
      </c>
      <c r="AP40" s="38">
        <f t="shared" ref="AP40:AP42" si="85">IF(AO40*$AP$7&gt;500000,500000,AO40*$AP$7)</f>
        <v>236999.11254500004</v>
      </c>
      <c r="AQ40" s="38">
        <f t="shared" ref="AQ40:AQ42" si="86">+AO40-AP40-AD40-AE40</f>
        <v>4356666.8083549999</v>
      </c>
      <c r="AR40" s="38">
        <f t="shared" ref="AR40:AR42" si="87">+AQ40*$AR$7</f>
        <v>52280001.700259998</v>
      </c>
      <c r="AS40" s="38">
        <f t="shared" ref="AS40:AS42" si="88">IF(D40="TK",54000000,(IF(OR(D40="TK1",D40="K"),58500000,(IF(OR(D40="TK2",D40="K1"),63000000,(IF(OR(OR(D40="TK3",D40="TK4"),D40="K2"),67500000,72000000)))))))</f>
        <v>54000000</v>
      </c>
      <c r="AT40" s="113">
        <f t="shared" ref="AT40:AT42" si="89">IF((+AR40-AS40)&lt;=0,0,TRUNC((AR40-AS40)/1000)*1000)</f>
        <v>0</v>
      </c>
      <c r="AU40" s="113">
        <f t="shared" ref="AU40:AU42" si="90">IF(AT40&lt;=60000000,AT40*5%,IF(AT40&lt;=250000000,3000000+((AT40-60000000)*15%),IF(AT40&lt;=500000000,31500000+((AT40-250000000)*25%),IF(AND(AT40&gt;=500000000,AT40&lt;=5000000000),94000000+((AT40-500000000)*30%),IF(AT40&gt;5000000000,(1444000000+(AT40-5000000000)*35%))))))</f>
        <v>0</v>
      </c>
      <c r="AV40" s="143" t="e">
        <f>AU40/#REF!</f>
        <v>#REF!</v>
      </c>
    </row>
    <row r="41" spans="1:48" ht="15" customHeight="1">
      <c r="A41" s="72">
        <v>33</v>
      </c>
      <c r="B41" s="71" t="s">
        <v>191</v>
      </c>
      <c r="C41" s="57" t="s">
        <v>190</v>
      </c>
      <c r="D41" s="64" t="s">
        <v>10</v>
      </c>
      <c r="E41" s="244" t="s">
        <v>347</v>
      </c>
      <c r="F41" s="264">
        <v>30</v>
      </c>
      <c r="G41" s="16">
        <v>118748</v>
      </c>
      <c r="H41" s="16">
        <v>4394855</v>
      </c>
      <c r="I41" s="16">
        <v>0</v>
      </c>
      <c r="J41" s="16">
        <v>0</v>
      </c>
      <c r="K41" s="16">
        <v>0</v>
      </c>
      <c r="L41" s="16"/>
      <c r="M41" s="122"/>
      <c r="N41" s="16"/>
      <c r="O41" s="142">
        <v>0</v>
      </c>
      <c r="P41" s="122">
        <f t="shared" si="13"/>
        <v>25403.78612716763</v>
      </c>
      <c r="Q41" s="24">
        <f t="shared" si="78"/>
        <v>0</v>
      </c>
      <c r="R41" s="24">
        <f t="shared" si="79"/>
        <v>0</v>
      </c>
      <c r="S41" s="24">
        <f t="shared" si="80"/>
        <v>23</v>
      </c>
      <c r="T41" s="24">
        <v>4000</v>
      </c>
      <c r="U41" s="24">
        <v>92000</v>
      </c>
      <c r="V41" s="24"/>
      <c r="W41" s="25">
        <f>+H41+I41+J41+K41+R41+U41+V41</f>
        <v>4486855</v>
      </c>
      <c r="X41" s="24">
        <f t="shared" si="17"/>
        <v>58038.810900000004</v>
      </c>
      <c r="Y41" s="24">
        <f t="shared" si="18"/>
        <v>97544.22</v>
      </c>
      <c r="Z41" s="24">
        <f t="shared" si="19"/>
        <v>97544.22</v>
      </c>
      <c r="AA41" s="24">
        <f t="shared" si="20"/>
        <v>195088.44</v>
      </c>
      <c r="AB41" s="25">
        <f t="shared" si="82"/>
        <v>448215.69090000005</v>
      </c>
      <c r="AC41" s="25">
        <f>+W41+AB41</f>
        <v>4935070.6908999998</v>
      </c>
      <c r="AD41" s="66">
        <f t="shared" si="21"/>
        <v>97544.22</v>
      </c>
      <c r="AE41" s="66">
        <f t="shared" si="22"/>
        <v>48772.11</v>
      </c>
      <c r="AF41" s="66">
        <f t="shared" si="23"/>
        <v>48772.11</v>
      </c>
      <c r="AG41" s="24">
        <v>0</v>
      </c>
      <c r="AH41" s="25">
        <f t="shared" si="68"/>
        <v>195088.44</v>
      </c>
      <c r="AI41" s="24">
        <v>0</v>
      </c>
      <c r="AJ41" s="25">
        <f t="shared" si="69"/>
        <v>4291766.5599999996</v>
      </c>
      <c r="AM41" s="24">
        <v>4877211</v>
      </c>
      <c r="AN41" s="24">
        <v>4877211</v>
      </c>
      <c r="AO41" s="101">
        <f t="shared" si="84"/>
        <v>4739982.2509000003</v>
      </c>
      <c r="AP41" s="101">
        <f t="shared" si="85"/>
        <v>236999.11254500004</v>
      </c>
      <c r="AQ41" s="101">
        <f t="shared" si="86"/>
        <v>4356666.8083549999</v>
      </c>
      <c r="AR41" s="101">
        <f t="shared" si="87"/>
        <v>52280001.700259998</v>
      </c>
      <c r="AS41" s="101">
        <f t="shared" si="88"/>
        <v>54000000</v>
      </c>
      <c r="AT41" s="113">
        <f t="shared" si="89"/>
        <v>0</v>
      </c>
      <c r="AU41" s="113">
        <f t="shared" si="90"/>
        <v>0</v>
      </c>
      <c r="AV41" s="116" t="e">
        <f>AU41/#REF!</f>
        <v>#REF!</v>
      </c>
    </row>
    <row r="42" spans="1:48" ht="15" customHeight="1">
      <c r="A42" s="72">
        <v>34</v>
      </c>
      <c r="B42" s="71" t="s">
        <v>192</v>
      </c>
      <c r="C42" s="57" t="s">
        <v>190</v>
      </c>
      <c r="D42" s="64" t="s">
        <v>10</v>
      </c>
      <c r="E42" s="244" t="s">
        <v>348</v>
      </c>
      <c r="F42" s="264">
        <v>30</v>
      </c>
      <c r="G42" s="16">
        <v>118748</v>
      </c>
      <c r="H42" s="16">
        <v>4394855</v>
      </c>
      <c r="I42" s="16">
        <v>0</v>
      </c>
      <c r="J42" s="16">
        <v>0</v>
      </c>
      <c r="K42" s="16">
        <v>0</v>
      </c>
      <c r="L42" s="16"/>
      <c r="M42" s="122"/>
      <c r="N42" s="16"/>
      <c r="O42" s="142">
        <v>0</v>
      </c>
      <c r="P42" s="122">
        <f t="shared" si="13"/>
        <v>25403.78612716763</v>
      </c>
      <c r="Q42" s="24">
        <f t="shared" si="78"/>
        <v>0</v>
      </c>
      <c r="R42" s="24">
        <f t="shared" si="79"/>
        <v>0</v>
      </c>
      <c r="S42" s="24">
        <f t="shared" si="80"/>
        <v>23</v>
      </c>
      <c r="T42" s="24">
        <v>4000</v>
      </c>
      <c r="U42" s="24">
        <v>92000</v>
      </c>
      <c r="V42" s="24"/>
      <c r="W42" s="25">
        <f t="shared" si="81"/>
        <v>4486855</v>
      </c>
      <c r="X42" s="24">
        <f t="shared" si="17"/>
        <v>58038.810900000004</v>
      </c>
      <c r="Y42" s="24">
        <f t="shared" si="18"/>
        <v>97544.22</v>
      </c>
      <c r="Z42" s="24">
        <f t="shared" si="19"/>
        <v>97544.22</v>
      </c>
      <c r="AA42" s="24">
        <f t="shared" si="20"/>
        <v>195088.44</v>
      </c>
      <c r="AB42" s="25">
        <f t="shared" si="82"/>
        <v>448215.69090000005</v>
      </c>
      <c r="AC42" s="25">
        <f t="shared" si="83"/>
        <v>4935070.6908999998</v>
      </c>
      <c r="AD42" s="66">
        <f t="shared" si="21"/>
        <v>97544.22</v>
      </c>
      <c r="AE42" s="66">
        <f t="shared" si="22"/>
        <v>48772.11</v>
      </c>
      <c r="AF42" s="66">
        <f t="shared" si="23"/>
        <v>48772.11</v>
      </c>
      <c r="AG42" s="24">
        <v>0</v>
      </c>
      <c r="AH42" s="25">
        <f t="shared" si="68"/>
        <v>195088.44</v>
      </c>
      <c r="AI42" s="24">
        <v>0</v>
      </c>
      <c r="AJ42" s="25">
        <f t="shared" si="69"/>
        <v>4291766.5599999996</v>
      </c>
      <c r="AM42" s="24">
        <v>4877211</v>
      </c>
      <c r="AN42" s="24">
        <v>4877211</v>
      </c>
      <c r="AO42" s="101">
        <f t="shared" si="84"/>
        <v>4739982.2509000003</v>
      </c>
      <c r="AP42" s="101">
        <f t="shared" si="85"/>
        <v>236999.11254500004</v>
      </c>
      <c r="AQ42" s="101">
        <f t="shared" si="86"/>
        <v>4356666.8083549999</v>
      </c>
      <c r="AR42" s="101">
        <f t="shared" si="87"/>
        <v>52280001.700259998</v>
      </c>
      <c r="AS42" s="101">
        <f t="shared" si="88"/>
        <v>54000000</v>
      </c>
      <c r="AT42" s="113">
        <f t="shared" si="89"/>
        <v>0</v>
      </c>
      <c r="AU42" s="113">
        <f t="shared" si="90"/>
        <v>0</v>
      </c>
      <c r="AV42" s="116" t="e">
        <f>AU42/#REF!</f>
        <v>#REF!</v>
      </c>
    </row>
    <row r="43" spans="1:48" ht="15" customHeight="1">
      <c r="A43" s="17"/>
      <c r="B43" s="72"/>
      <c r="C43" s="65"/>
      <c r="D43" s="17"/>
      <c r="E43" s="17"/>
      <c r="F43" s="24"/>
      <c r="G43" s="24"/>
      <c r="H43" s="24"/>
      <c r="I43" s="24"/>
      <c r="J43" s="24"/>
      <c r="K43" s="24"/>
      <c r="L43" s="24"/>
      <c r="M43" s="24"/>
      <c r="N43" s="24"/>
      <c r="O43" s="115"/>
      <c r="P43" s="24"/>
      <c r="Q43" s="24"/>
      <c r="R43" s="24"/>
      <c r="S43" s="24"/>
      <c r="T43" s="24"/>
      <c r="U43" s="24"/>
      <c r="V43" s="24"/>
      <c r="W43" s="25"/>
      <c r="X43" s="24"/>
      <c r="Y43" s="24"/>
      <c r="Z43" s="25"/>
      <c r="AA43" s="24"/>
      <c r="AB43" s="25"/>
      <c r="AC43" s="25"/>
      <c r="AD43" s="24"/>
      <c r="AE43" s="24"/>
      <c r="AF43" s="24"/>
      <c r="AG43" s="34"/>
      <c r="AH43" s="25"/>
      <c r="AI43" s="25"/>
      <c r="AJ43" s="25"/>
      <c r="AM43" s="6"/>
      <c r="AS43" s="6"/>
      <c r="AT43" s="111"/>
      <c r="AU43" s="111"/>
      <c r="AV43" s="112"/>
    </row>
    <row r="44" spans="1:48" ht="15" customHeight="1">
      <c r="A44" s="277" t="s">
        <v>11</v>
      </c>
      <c r="B44" s="277"/>
      <c r="C44" s="277"/>
      <c r="D44" s="277"/>
      <c r="E44" s="277"/>
      <c r="F44" s="137"/>
      <c r="G44" s="61"/>
      <c r="H44" s="61">
        <f>SUM(H8:H43)</f>
        <v>150125070</v>
      </c>
      <c r="I44" s="110">
        <f>SUM(I8:I43)</f>
        <v>560000</v>
      </c>
      <c r="J44" s="110">
        <f>SUM(J8:J43)</f>
        <v>410000</v>
      </c>
      <c r="K44" s="110">
        <f>SUM(K8:K43)</f>
        <v>0</v>
      </c>
      <c r="L44" s="110">
        <f>SUM(L8:L43)</f>
        <v>0</v>
      </c>
      <c r="M44" s="110"/>
      <c r="N44" s="110">
        <f>SUM(N8:N43)</f>
        <v>0</v>
      </c>
      <c r="O44" s="114">
        <f>SUM(O8:O43)</f>
        <v>138.5</v>
      </c>
      <c r="P44" s="110"/>
      <c r="Q44" s="110">
        <f t="shared" ref="Q44:AF44" si="91">SUM(Q8:Q43)</f>
        <v>3590967.7312138728</v>
      </c>
      <c r="R44" s="110">
        <f t="shared" si="91"/>
        <v>3590967.7312138728</v>
      </c>
      <c r="S44" s="110">
        <f t="shared" si="91"/>
        <v>604</v>
      </c>
      <c r="T44" s="110">
        <f t="shared" si="91"/>
        <v>104000</v>
      </c>
      <c r="U44" s="110">
        <f t="shared" si="91"/>
        <v>3164000</v>
      </c>
      <c r="V44" s="110">
        <f t="shared" si="91"/>
        <v>0</v>
      </c>
      <c r="W44" s="110">
        <f t="shared" si="91"/>
        <v>157850037.73121387</v>
      </c>
      <c r="X44" s="61">
        <f t="shared" si="91"/>
        <v>1973319.570599999</v>
      </c>
      <c r="Y44" s="61">
        <f t="shared" si="91"/>
        <v>3316503.4800000023</v>
      </c>
      <c r="Z44" s="61">
        <f t="shared" si="91"/>
        <v>3316503.4800000023</v>
      </c>
      <c r="AA44" s="61">
        <f t="shared" si="91"/>
        <v>6633006.9600000046</v>
      </c>
      <c r="AB44" s="61">
        <f t="shared" si="91"/>
        <v>15239333.490599995</v>
      </c>
      <c r="AC44" s="61">
        <f t="shared" si="91"/>
        <v>173089371.22181383</v>
      </c>
      <c r="AD44" s="61">
        <f t="shared" si="91"/>
        <v>3316503.4800000023</v>
      </c>
      <c r="AE44" s="61">
        <f t="shared" si="91"/>
        <v>1658251.7400000012</v>
      </c>
      <c r="AF44" s="61">
        <f t="shared" si="91"/>
        <v>1658251.7400000012</v>
      </c>
      <c r="AG44" s="61">
        <f>SUM(AG7:AG43)</f>
        <v>146316.34000000003</v>
      </c>
      <c r="AH44" s="61">
        <f>SUM(AH8:AH43)</f>
        <v>6779323.2900000047</v>
      </c>
      <c r="AI44" s="61">
        <f>SUM(AI8:AI43)</f>
        <v>64718</v>
      </c>
      <c r="AJ44" s="61">
        <f>SUM(AJ8:AJ43)</f>
        <v>151005996.44121394</v>
      </c>
      <c r="AM44" s="15" t="e">
        <f>+#REF!-#REF!</f>
        <v>#REF!</v>
      </c>
      <c r="AS44" s="6"/>
      <c r="AT44" s="6"/>
      <c r="AU44" s="6"/>
      <c r="AV44" s="15"/>
    </row>
    <row r="45" spans="1:48" ht="15" customHeight="1">
      <c r="A45" s="283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60">
        <f>+V44</f>
        <v>0</v>
      </c>
      <c r="W45" s="60">
        <f>+W44+X44+AA44</f>
        <v>166456364.26181388</v>
      </c>
      <c r="X45" s="60">
        <f>+X44+Y44+Z44+AD44+AE44</f>
        <v>13581081.750600006</v>
      </c>
      <c r="Y45" s="60"/>
      <c r="Z45" s="60"/>
      <c r="AA45" s="60">
        <f>+AA44+AF44+AG44</f>
        <v>8437575.0400000066</v>
      </c>
      <c r="AB45" s="60"/>
      <c r="AC45" s="60">
        <f>+X44+Y44+Z44+AD44+AE44</f>
        <v>13581081.750600006</v>
      </c>
      <c r="AD45" s="281"/>
      <c r="AE45" s="281"/>
      <c r="AF45" s="281"/>
      <c r="AG45" s="281"/>
      <c r="AH45" s="60">
        <f>+AA44+AF44+AG44</f>
        <v>8437575.0400000066</v>
      </c>
      <c r="AI45" s="60">
        <f>+AI44</f>
        <v>64718</v>
      </c>
      <c r="AJ45" s="60">
        <f>+AJ44</f>
        <v>151005996.44121394</v>
      </c>
      <c r="AM45" s="6"/>
      <c r="AS45" s="6"/>
      <c r="AT45" s="6"/>
      <c r="AU45" s="6"/>
    </row>
    <row r="46" spans="1:48" ht="15" customHeight="1">
      <c r="AJ46" s="15"/>
      <c r="AM46" s="6"/>
      <c r="AS46" s="6"/>
      <c r="AT46" s="6"/>
      <c r="AU46" s="6"/>
    </row>
    <row r="47" spans="1:48" ht="15" customHeight="1">
      <c r="H47" s="15">
        <f t="shared" ref="H47:AI47" si="92">SUM(H9:H33)</f>
        <v>110571375</v>
      </c>
      <c r="I47" s="15">
        <f t="shared" si="92"/>
        <v>560000</v>
      </c>
      <c r="J47" s="15">
        <f t="shared" si="92"/>
        <v>410000</v>
      </c>
      <c r="K47" s="15">
        <f t="shared" si="92"/>
        <v>0</v>
      </c>
      <c r="L47" s="15">
        <f t="shared" si="92"/>
        <v>0</v>
      </c>
      <c r="M47" s="15">
        <f t="shared" si="92"/>
        <v>301618</v>
      </c>
      <c r="N47" s="15">
        <f t="shared" si="92"/>
        <v>0</v>
      </c>
      <c r="O47" s="15">
        <f t="shared" si="92"/>
        <v>138.5</v>
      </c>
      <c r="P47" s="15">
        <f t="shared" si="92"/>
        <v>639140.89595375734</v>
      </c>
      <c r="Q47" s="15">
        <f t="shared" si="92"/>
        <v>3590967.7312138728</v>
      </c>
      <c r="R47" s="15">
        <f t="shared" si="92"/>
        <v>3590967.7312138728</v>
      </c>
      <c r="S47" s="15">
        <f t="shared" si="92"/>
        <v>443</v>
      </c>
      <c r="T47" s="15">
        <f t="shared" si="92"/>
        <v>76000</v>
      </c>
      <c r="U47" s="15">
        <f t="shared" si="92"/>
        <v>2332000</v>
      </c>
      <c r="V47" s="15">
        <f t="shared" si="92"/>
        <v>0</v>
      </c>
      <c r="W47" s="15">
        <f t="shared" si="92"/>
        <v>117464342.73121388</v>
      </c>
      <c r="X47" s="15">
        <f t="shared" si="92"/>
        <v>1450970.2724999997</v>
      </c>
      <c r="Y47" s="15">
        <f t="shared" si="92"/>
        <v>2438605.5000000005</v>
      </c>
      <c r="Z47" s="15">
        <f t="shared" si="92"/>
        <v>2438605.5000000005</v>
      </c>
      <c r="AA47" s="15">
        <f t="shared" si="92"/>
        <v>4877211.0000000009</v>
      </c>
      <c r="AB47" s="15">
        <f t="shared" si="92"/>
        <v>11205392.272499997</v>
      </c>
      <c r="AC47" s="15">
        <f t="shared" si="92"/>
        <v>128669735.00371383</v>
      </c>
      <c r="AD47" s="15">
        <f t="shared" si="92"/>
        <v>2438605.5000000005</v>
      </c>
      <c r="AE47" s="15">
        <f t="shared" si="92"/>
        <v>1219302.7500000002</v>
      </c>
      <c r="AF47" s="15">
        <f t="shared" si="92"/>
        <v>1219302.7500000002</v>
      </c>
      <c r="AG47" s="15">
        <f t="shared" si="92"/>
        <v>146316.33000000002</v>
      </c>
      <c r="AH47" s="15">
        <f t="shared" si="92"/>
        <v>5023527.330000001</v>
      </c>
      <c r="AI47" s="15">
        <f t="shared" si="92"/>
        <v>64718</v>
      </c>
      <c r="AJ47" s="15">
        <f>SUM(AJ44)</f>
        <v>151005996.44121394</v>
      </c>
      <c r="AM47" s="6"/>
      <c r="AO47" s="6">
        <v>25000</v>
      </c>
      <c r="AS47" s="6"/>
      <c r="AT47" s="6"/>
      <c r="AU47" s="6"/>
    </row>
    <row r="48" spans="1:48" ht="15" customHeight="1">
      <c r="H48" s="15">
        <f>+'PRODUKSI 1'!H45</f>
        <v>158719925</v>
      </c>
      <c r="I48" s="15">
        <f>+'PRODUKSI 1'!I45</f>
        <v>1800000</v>
      </c>
      <c r="J48" s="15">
        <f>+'PRODUKSI 1'!J45</f>
        <v>1850000</v>
      </c>
      <c r="K48" s="15">
        <f>+'PRODUKSI 1'!K45</f>
        <v>0</v>
      </c>
      <c r="L48" s="15">
        <f>+'PRODUKSI 1'!L45</f>
        <v>0</v>
      </c>
      <c r="M48" s="15">
        <f>+'PRODUKSI 1'!M45</f>
        <v>0</v>
      </c>
      <c r="N48" s="15">
        <f>+'PRODUKSI 1'!N45</f>
        <v>0</v>
      </c>
      <c r="O48" s="15">
        <f>+'PRODUKSI 1'!L45:Q45</f>
        <v>190.5</v>
      </c>
      <c r="Q48" s="15">
        <f>+'PRODUKSI 1'!R45</f>
        <v>5035085.9971098267</v>
      </c>
      <c r="S48" s="15" t="e">
        <f>+S47+'PRODUKSI 1'!#REF!</f>
        <v>#REF!</v>
      </c>
      <c r="U48" s="15">
        <f>+'PRODUKSI 1'!S45</f>
        <v>2968000</v>
      </c>
      <c r="V48" s="15">
        <f>+V47+'PRODUKSI 1'!T45</f>
        <v>0</v>
      </c>
      <c r="W48" s="15">
        <f>+'PRODUKSI 1'!V45</f>
        <v>170373010.9971098</v>
      </c>
      <c r="X48" s="15">
        <f>+'PRODUKSI 1'!W45</f>
        <v>2031358.381499999</v>
      </c>
      <c r="Y48" s="15">
        <f>+'PRODUKSI 1'!X45</f>
        <v>3414047.7000000025</v>
      </c>
      <c r="Z48" s="15">
        <f>+'PRODUKSI 1'!Y45</f>
        <v>3414047.7000000025</v>
      </c>
      <c r="AA48" s="15">
        <f>+'PRODUKSI 1'!Z45</f>
        <v>6828095.400000005</v>
      </c>
      <c r="AB48" s="15">
        <f>+'PRODUKSI 1'!AA45</f>
        <v>15687549.181499995</v>
      </c>
      <c r="AC48" s="15">
        <f>+'PRODUKSI 1'!AB45</f>
        <v>186060560.17860979</v>
      </c>
      <c r="AD48" s="15">
        <f>+'PRODUKSI 1'!AC45</f>
        <v>3414047.7000000025</v>
      </c>
      <c r="AE48" s="15">
        <f>+'PRODUKSI 1'!AD45</f>
        <v>1707023.8500000013</v>
      </c>
      <c r="AF48" s="15">
        <f>+'PRODUKSI 1'!AE45</f>
        <v>1707023.8500000013</v>
      </c>
      <c r="AH48" s="15">
        <f>+'PRODUKSI 1'!AG45</f>
        <v>7071955.6200000038</v>
      </c>
      <c r="AI48" s="15">
        <f>+'PRODUKSI 1'!AH45</f>
        <v>43937</v>
      </c>
      <c r="AJ48" s="15">
        <f>+'PRODUKSI 1'!AI45</f>
        <v>163257118.37710989</v>
      </c>
      <c r="AO48" s="6">
        <v>12.2</v>
      </c>
      <c r="AS48" s="6"/>
      <c r="AT48" s="6"/>
      <c r="AU48" s="6"/>
    </row>
    <row r="49" spans="8:47" ht="15" customHeight="1">
      <c r="W49" s="15"/>
      <c r="Z49" s="15"/>
      <c r="AB49" s="15"/>
      <c r="AC49" s="15"/>
      <c r="AH49" s="15"/>
      <c r="AI49" s="15"/>
      <c r="AJ49" s="15"/>
      <c r="AM49" s="6"/>
      <c r="AO49" s="6">
        <f>+AO47*AO48</f>
        <v>305000</v>
      </c>
      <c r="AS49" s="6"/>
      <c r="AT49" s="6"/>
      <c r="AU49" s="6"/>
    </row>
    <row r="50" spans="8:47" ht="15" customHeight="1">
      <c r="H50" s="15">
        <f t="shared" ref="H50:AI50" si="93">SUM(H47:H49)</f>
        <v>269291300</v>
      </c>
      <c r="I50" s="15">
        <f t="shared" si="93"/>
        <v>2360000</v>
      </c>
      <c r="J50" s="15">
        <f t="shared" si="93"/>
        <v>2260000</v>
      </c>
      <c r="K50" s="15">
        <f t="shared" si="93"/>
        <v>0</v>
      </c>
      <c r="L50" s="15">
        <f t="shared" si="93"/>
        <v>0</v>
      </c>
      <c r="M50" s="15">
        <f t="shared" si="93"/>
        <v>301618</v>
      </c>
      <c r="N50" s="15">
        <f t="shared" si="93"/>
        <v>0</v>
      </c>
      <c r="O50" s="15">
        <f t="shared" si="93"/>
        <v>329</v>
      </c>
      <c r="P50" s="15">
        <f t="shared" si="93"/>
        <v>639140.89595375734</v>
      </c>
      <c r="Q50" s="15">
        <f t="shared" si="93"/>
        <v>8626053.7283236999</v>
      </c>
      <c r="R50" s="15">
        <f t="shared" si="93"/>
        <v>3590967.7312138728</v>
      </c>
      <c r="S50" s="15" t="e">
        <f t="shared" si="93"/>
        <v>#REF!</v>
      </c>
      <c r="T50" s="15">
        <f t="shared" si="93"/>
        <v>76000</v>
      </c>
      <c r="U50" s="15">
        <f t="shared" si="93"/>
        <v>5300000</v>
      </c>
      <c r="V50" s="15">
        <f t="shared" si="93"/>
        <v>0</v>
      </c>
      <c r="W50" s="15">
        <f t="shared" si="93"/>
        <v>287837353.7283237</v>
      </c>
      <c r="X50" s="15">
        <f t="shared" si="93"/>
        <v>3482328.6539999987</v>
      </c>
      <c r="Y50" s="15">
        <f t="shared" si="93"/>
        <v>5852653.200000003</v>
      </c>
      <c r="Z50" s="15">
        <f t="shared" si="93"/>
        <v>5852653.200000003</v>
      </c>
      <c r="AA50" s="15">
        <f t="shared" si="93"/>
        <v>11705306.400000006</v>
      </c>
      <c r="AB50" s="15">
        <f t="shared" si="93"/>
        <v>26892941.453999992</v>
      </c>
      <c r="AC50" s="15">
        <f t="shared" si="93"/>
        <v>314730295.18232363</v>
      </c>
      <c r="AD50" s="15">
        <f t="shared" si="93"/>
        <v>5852653.200000003</v>
      </c>
      <c r="AE50" s="15">
        <f t="shared" si="93"/>
        <v>2926326.6000000015</v>
      </c>
      <c r="AF50" s="15">
        <f t="shared" si="93"/>
        <v>2926326.6000000015</v>
      </c>
      <c r="AG50" s="15">
        <f t="shared" si="93"/>
        <v>146316.33000000002</v>
      </c>
      <c r="AH50" s="15">
        <f t="shared" si="93"/>
        <v>12095482.950000005</v>
      </c>
      <c r="AI50" s="15">
        <f t="shared" si="93"/>
        <v>108655</v>
      </c>
      <c r="AJ50" s="15">
        <f>SUM(AJ47:AJ49)</f>
        <v>314263114.81832385</v>
      </c>
      <c r="AM50" s="144"/>
      <c r="AN50" s="145"/>
      <c r="AO50" s="39">
        <v>0</v>
      </c>
      <c r="AS50" s="6"/>
      <c r="AT50" s="6"/>
      <c r="AU50" s="6"/>
    </row>
    <row r="51" spans="8:47" ht="15" customHeight="1">
      <c r="AG51" s="321"/>
      <c r="AH51" s="321"/>
      <c r="AI51" s="134"/>
      <c r="AJ51" s="27">
        <v>-25490017</v>
      </c>
      <c r="AM51" s="6"/>
      <c r="AO51" s="6">
        <f>+AO49+AO50</f>
        <v>305000</v>
      </c>
      <c r="AQ51" s="6">
        <f>136100-116500</f>
        <v>19600</v>
      </c>
      <c r="AS51" s="6"/>
      <c r="AT51" s="6"/>
      <c r="AU51" s="6"/>
    </row>
    <row r="52" spans="8:47" ht="15" customHeight="1">
      <c r="W52" s="15"/>
      <c r="Z52" s="15"/>
      <c r="AB52" s="15"/>
      <c r="AC52" s="15"/>
      <c r="AH52" s="15"/>
      <c r="AI52" s="15"/>
      <c r="AJ52" s="27">
        <v>-28290894</v>
      </c>
      <c r="AM52" s="6"/>
      <c r="AO52" s="6">
        <f>3500*12.2</f>
        <v>42700</v>
      </c>
      <c r="AQ52" s="6">
        <f>+AQ51*11.9</f>
        <v>233240</v>
      </c>
      <c r="AS52" s="6"/>
      <c r="AT52" s="6"/>
      <c r="AU52" s="6"/>
    </row>
    <row r="53" spans="8:47" ht="15" customHeight="1">
      <c r="AJ53" s="124">
        <f>SUM(AJ50:AJ52)</f>
        <v>260482203.81832385</v>
      </c>
      <c r="AM53" s="6"/>
      <c r="AO53" s="6">
        <f>100*185</f>
        <v>18500</v>
      </c>
      <c r="AS53" s="6"/>
      <c r="AT53" s="6"/>
      <c r="AU53" s="6"/>
    </row>
    <row r="54" spans="8:47" ht="15" customHeight="1">
      <c r="Q54" s="314"/>
      <c r="R54" s="314"/>
      <c r="S54" s="314"/>
      <c r="T54" s="314"/>
      <c r="U54" s="314"/>
      <c r="AM54" s="6"/>
      <c r="AO54" s="6">
        <f>+AO51+AO52+AO53</f>
        <v>366200</v>
      </c>
      <c r="AQ54" s="6">
        <f>136100*11.9</f>
        <v>1619590</v>
      </c>
      <c r="AS54" s="6"/>
      <c r="AT54" s="6"/>
      <c r="AU54" s="6"/>
    </row>
    <row r="55" spans="8:47" ht="15" customHeight="1">
      <c r="AO55" s="6">
        <v>30000</v>
      </c>
    </row>
    <row r="56" spans="8:47" ht="15" customHeight="1" thickBot="1">
      <c r="AO56" s="6">
        <f>+AO54+AO55</f>
        <v>396200</v>
      </c>
    </row>
    <row r="57" spans="8:47" ht="15" customHeight="1" thickBot="1">
      <c r="M57" s="117"/>
    </row>
  </sheetData>
  <mergeCells count="46">
    <mergeCell ref="AG51:AH51"/>
    <mergeCell ref="AR5:AR6"/>
    <mergeCell ref="AS5:AS7"/>
    <mergeCell ref="AT5:AT7"/>
    <mergeCell ref="AJ5:AJ7"/>
    <mergeCell ref="AH5:AI5"/>
    <mergeCell ref="AU5:AU7"/>
    <mergeCell ref="AV5:AV7"/>
    <mergeCell ref="AM5:AM7"/>
    <mergeCell ref="AN5:AN7"/>
    <mergeCell ref="AO5:AO7"/>
    <mergeCell ref="AP5:AP6"/>
    <mergeCell ref="AQ5:AQ7"/>
    <mergeCell ref="W5:W7"/>
    <mergeCell ref="X5:AA5"/>
    <mergeCell ref="AB5:AB7"/>
    <mergeCell ref="AC5:AC7"/>
    <mergeCell ref="AD5:AG5"/>
    <mergeCell ref="A44:E44"/>
    <mergeCell ref="A45:U45"/>
    <mergeCell ref="AD45:AG45"/>
    <mergeCell ref="A5:A7"/>
    <mergeCell ref="B5:B7"/>
    <mergeCell ref="C5:C7"/>
    <mergeCell ref="D5:D7"/>
    <mergeCell ref="E5:E7"/>
    <mergeCell ref="F5:F7"/>
    <mergeCell ref="G5:G7"/>
    <mergeCell ref="H5:H7"/>
    <mergeCell ref="S5:S7"/>
    <mergeCell ref="I5:K5"/>
    <mergeCell ref="L5:Q5"/>
    <mergeCell ref="T5:T7"/>
    <mergeCell ref="U5:U7"/>
    <mergeCell ref="Q54:U54"/>
    <mergeCell ref="V5:V7"/>
    <mergeCell ref="R5:R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rintOptions horizontalCentered="1"/>
  <pageMargins left="1.1811023622047245" right="0" top="1.1811023622047245" bottom="0.39370078740157483" header="0.31496062992125984" footer="0.31496062992125984"/>
  <pageSetup paperSize="5" scale="50" orientation="landscape" r:id="rId1"/>
  <ignoredErrors>
    <ignoredError sqref="AG44" formula="1"/>
    <ignoredError sqref="AD44:AE44" formulaRange="1"/>
    <ignoredError sqref="E9:E4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655"/>
  <sheetViews>
    <sheetView topLeftCell="A402" workbookViewId="0">
      <selection activeCell="M419" sqref="M419"/>
    </sheetView>
  </sheetViews>
  <sheetFormatPr defaultRowHeight="15"/>
  <cols>
    <col min="1" max="1" width="3" customWidth="1"/>
    <col min="2" max="2" width="17.7109375" customWidth="1"/>
    <col min="3" max="3" width="2.5703125" customWidth="1"/>
    <col min="4" max="4" width="7" customWidth="1"/>
    <col min="5" max="5" width="4.5703125" customWidth="1"/>
    <col min="6" max="6" width="2.85546875" style="219" customWidth="1"/>
    <col min="7" max="7" width="7.85546875" customWidth="1"/>
    <col min="8" max="8" width="10.28515625" customWidth="1"/>
    <col min="9" max="9" width="3.28515625" customWidth="1"/>
    <col min="10" max="10" width="4" customWidth="1"/>
    <col min="11" max="11" width="3" customWidth="1"/>
    <col min="12" max="12" width="17.7109375" customWidth="1"/>
    <col min="13" max="13" width="2.28515625" customWidth="1"/>
    <col min="14" max="14" width="7" customWidth="1"/>
    <col min="15" max="15" width="4.5703125" customWidth="1"/>
    <col min="16" max="16" width="2.85546875" style="219" customWidth="1"/>
    <col min="17" max="17" width="7.85546875" customWidth="1"/>
    <col min="18" max="18" width="10.28515625" customWidth="1"/>
    <col min="19" max="19" width="3.28515625" customWidth="1"/>
  </cols>
  <sheetData>
    <row r="1" spans="1:19">
      <c r="A1" s="166"/>
      <c r="B1" s="167"/>
      <c r="C1" s="167"/>
      <c r="D1" s="167"/>
      <c r="E1" s="167"/>
      <c r="F1" s="223"/>
      <c r="G1" s="167"/>
      <c r="H1" s="167"/>
      <c r="I1" s="168"/>
      <c r="J1" s="169"/>
      <c r="K1" s="166"/>
      <c r="L1" s="167"/>
      <c r="M1" s="167"/>
      <c r="N1" s="167"/>
      <c r="O1" s="167"/>
      <c r="P1" s="223"/>
      <c r="Q1" s="167"/>
      <c r="R1" s="167"/>
      <c r="S1" s="168"/>
    </row>
    <row r="2" spans="1:19">
      <c r="A2" s="170"/>
      <c r="B2" s="169"/>
      <c r="C2" s="169"/>
      <c r="D2" s="169"/>
      <c r="E2" s="169"/>
      <c r="F2" s="224"/>
      <c r="G2" s="169"/>
      <c r="H2" s="169"/>
      <c r="I2" s="171"/>
      <c r="J2" s="169"/>
      <c r="K2" s="170"/>
      <c r="L2" s="169"/>
      <c r="M2" s="169"/>
      <c r="N2" s="169"/>
      <c r="O2" s="169"/>
      <c r="P2" s="224"/>
      <c r="Q2" s="169"/>
      <c r="R2" s="169"/>
      <c r="S2" s="171"/>
    </row>
    <row r="3" spans="1:19">
      <c r="A3" s="170"/>
      <c r="B3" s="169"/>
      <c r="C3" s="169"/>
      <c r="D3" s="169"/>
      <c r="E3" s="169"/>
      <c r="F3" s="224"/>
      <c r="G3" s="169"/>
      <c r="H3" s="169"/>
      <c r="I3" s="171"/>
      <c r="J3" s="169"/>
      <c r="K3" s="170"/>
      <c r="L3" s="169"/>
      <c r="M3" s="169"/>
      <c r="N3" s="169"/>
      <c r="O3" s="169"/>
      <c r="P3" s="224"/>
      <c r="Q3" s="169"/>
      <c r="R3" s="169"/>
      <c r="S3" s="171"/>
    </row>
    <row r="4" spans="1:19">
      <c r="A4" s="170"/>
      <c r="B4" s="294" t="s">
        <v>196</v>
      </c>
      <c r="C4" s="294"/>
      <c r="D4" s="294"/>
      <c r="E4" s="294"/>
      <c r="F4" s="294"/>
      <c r="G4" s="294"/>
      <c r="H4" s="294"/>
      <c r="I4" s="295"/>
      <c r="J4" s="169"/>
      <c r="K4" s="170"/>
      <c r="L4" s="294" t="s">
        <v>196</v>
      </c>
      <c r="M4" s="294"/>
      <c r="N4" s="294"/>
      <c r="O4" s="294"/>
      <c r="P4" s="294"/>
      <c r="Q4" s="294"/>
      <c r="R4" s="294"/>
      <c r="S4" s="295"/>
    </row>
    <row r="5" spans="1:19">
      <c r="A5" s="172"/>
      <c r="B5" s="173" t="s">
        <v>197</v>
      </c>
      <c r="C5" s="174" t="s">
        <v>198</v>
      </c>
      <c r="D5" s="211">
        <v>1</v>
      </c>
      <c r="E5" s="173"/>
      <c r="F5" s="225"/>
      <c r="G5" s="173"/>
      <c r="H5" s="173"/>
      <c r="I5" s="176"/>
      <c r="J5" s="173"/>
      <c r="K5" s="172"/>
      <c r="L5" s="173" t="s">
        <v>197</v>
      </c>
      <c r="M5" s="174" t="s">
        <v>198</v>
      </c>
      <c r="N5" s="211">
        <v>2</v>
      </c>
      <c r="O5" s="175"/>
      <c r="P5" s="225"/>
      <c r="Q5" s="173"/>
      <c r="R5" s="173"/>
      <c r="S5" s="176"/>
    </row>
    <row r="6" spans="1:19">
      <c r="A6" s="172"/>
      <c r="B6" s="173" t="s">
        <v>199</v>
      </c>
      <c r="C6" s="174" t="s">
        <v>198</v>
      </c>
      <c r="D6" s="177" t="s">
        <v>229</v>
      </c>
      <c r="E6" s="173"/>
      <c r="F6" s="225"/>
      <c r="G6" s="173"/>
      <c r="H6" s="173"/>
      <c r="I6" s="176"/>
      <c r="J6" s="173"/>
      <c r="K6" s="172"/>
      <c r="L6" s="173" t="s">
        <v>199</v>
      </c>
      <c r="M6" s="174" t="s">
        <v>198</v>
      </c>
      <c r="N6" s="177" t="s">
        <v>229</v>
      </c>
      <c r="O6" s="179"/>
      <c r="P6" s="225"/>
      <c r="Q6" s="173"/>
      <c r="R6" s="173"/>
      <c r="S6" s="176"/>
    </row>
    <row r="7" spans="1:19">
      <c r="A7" s="172"/>
      <c r="B7" s="173" t="s">
        <v>200</v>
      </c>
      <c r="C7" s="174" t="s">
        <v>198</v>
      </c>
      <c r="D7" s="177" t="str">
        <f>+'PRODUKSI 2'!B9</f>
        <v>PANJI AGUNG DEWANTARA</v>
      </c>
      <c r="E7" s="173"/>
      <c r="F7" s="225"/>
      <c r="G7" s="173"/>
      <c r="H7" s="173"/>
      <c r="I7" s="176"/>
      <c r="J7" s="173"/>
      <c r="K7" s="172"/>
      <c r="L7" s="173" t="s">
        <v>200</v>
      </c>
      <c r="M7" s="174" t="s">
        <v>198</v>
      </c>
      <c r="N7" s="178" t="e">
        <f>+'PRODUKSI 2'!#REF!</f>
        <v>#REF!</v>
      </c>
      <c r="O7" s="173"/>
      <c r="P7" s="225"/>
      <c r="Q7" s="173"/>
      <c r="R7" s="173"/>
      <c r="S7" s="176"/>
    </row>
    <row r="8" spans="1:19" ht="15.75" thickBot="1">
      <c r="A8" s="172"/>
      <c r="B8" s="173" t="s">
        <v>201</v>
      </c>
      <c r="C8" s="174" t="s">
        <v>198</v>
      </c>
      <c r="D8" s="177" t="str">
        <f>+'PRODUKSI 2'!C9</f>
        <v>PRINTER 4</v>
      </c>
      <c r="E8" s="173"/>
      <c r="F8" s="225"/>
      <c r="G8" s="173"/>
      <c r="H8" s="173"/>
      <c r="I8" s="176"/>
      <c r="J8" s="173"/>
      <c r="K8" s="172"/>
      <c r="L8" s="173" t="s">
        <v>201</v>
      </c>
      <c r="M8" s="174" t="s">
        <v>198</v>
      </c>
      <c r="N8" s="178" t="e">
        <f>+'PRODUKSI 2'!#REF!</f>
        <v>#REF!</v>
      </c>
      <c r="O8" s="179"/>
      <c r="P8" s="225"/>
      <c r="Q8" s="173"/>
      <c r="R8" s="173"/>
      <c r="S8" s="176"/>
    </row>
    <row r="9" spans="1:19" ht="10.5" customHeight="1" thickTop="1">
      <c r="A9" s="170"/>
      <c r="B9" s="182"/>
      <c r="C9" s="182"/>
      <c r="D9" s="182"/>
      <c r="E9" s="182"/>
      <c r="F9" s="182"/>
      <c r="G9" s="182"/>
      <c r="H9" s="182"/>
      <c r="I9" s="183"/>
      <c r="J9" s="169"/>
      <c r="K9" s="170"/>
      <c r="L9" s="182"/>
      <c r="M9" s="182"/>
      <c r="N9" s="182"/>
      <c r="O9" s="182"/>
      <c r="P9" s="182"/>
      <c r="Q9" s="182"/>
      <c r="R9" s="182"/>
      <c r="S9" s="183"/>
    </row>
    <row r="10" spans="1:19">
      <c r="A10" s="170"/>
      <c r="B10" s="184" t="s">
        <v>202</v>
      </c>
      <c r="C10" s="185"/>
      <c r="D10" s="185"/>
      <c r="E10" s="185"/>
      <c r="F10" s="227"/>
      <c r="G10" s="185"/>
      <c r="H10" s="185"/>
      <c r="I10" s="183"/>
      <c r="J10" s="169"/>
      <c r="K10" s="170"/>
      <c r="L10" s="184" t="s">
        <v>202</v>
      </c>
      <c r="M10" s="184"/>
      <c r="N10" s="185"/>
      <c r="O10" s="185"/>
      <c r="P10" s="227"/>
      <c r="Q10" s="185"/>
      <c r="R10" s="185"/>
      <c r="S10" s="183"/>
    </row>
    <row r="11" spans="1:19" ht="14.25" customHeight="1">
      <c r="A11" s="170"/>
      <c r="B11" s="186" t="s">
        <v>111</v>
      </c>
      <c r="C11" s="186"/>
      <c r="D11" s="186"/>
      <c r="E11" s="186"/>
      <c r="F11" s="197"/>
      <c r="G11" s="187"/>
      <c r="H11" s="187">
        <f>+'PRODUKSI 2'!H9</f>
        <v>4494855</v>
      </c>
      <c r="I11" s="188"/>
      <c r="J11" s="187"/>
      <c r="K11" s="170"/>
      <c r="L11" s="186" t="s">
        <v>111</v>
      </c>
      <c r="M11" s="186"/>
      <c r="N11" s="186"/>
      <c r="O11" s="186"/>
      <c r="P11" s="197"/>
      <c r="Q11" s="187"/>
      <c r="R11" s="187" t="e">
        <f>+'PRODUKSI 2'!#REF!</f>
        <v>#REF!</v>
      </c>
      <c r="S11" s="188"/>
    </row>
    <row r="12" spans="1:19" ht="14.25" customHeight="1">
      <c r="A12" s="170"/>
      <c r="B12" s="186" t="s">
        <v>203</v>
      </c>
      <c r="C12" s="186"/>
      <c r="D12" s="186"/>
      <c r="E12" s="186"/>
      <c r="F12" s="197"/>
      <c r="G12" s="187"/>
      <c r="H12" s="187">
        <f>+'PRODUKSI 2'!I9</f>
        <v>0</v>
      </c>
      <c r="I12" s="188"/>
      <c r="J12" s="209"/>
      <c r="K12" s="170"/>
      <c r="L12" s="186" t="s">
        <v>203</v>
      </c>
      <c r="M12" s="186"/>
      <c r="N12" s="186"/>
      <c r="O12" s="186"/>
      <c r="P12" s="197"/>
      <c r="Q12" s="187"/>
      <c r="R12" s="187" t="e">
        <f>+'PRODUKSI 2'!#REF!</f>
        <v>#REF!</v>
      </c>
      <c r="S12" s="188"/>
    </row>
    <row r="13" spans="1:19" ht="14.25" customHeight="1">
      <c r="A13" s="170"/>
      <c r="B13" s="186" t="s">
        <v>227</v>
      </c>
      <c r="C13" s="186"/>
      <c r="D13" s="186"/>
      <c r="E13" s="186"/>
      <c r="F13" s="197"/>
      <c r="G13" s="187"/>
      <c r="H13" s="187">
        <f>+'PRODUKSI 2'!J9</f>
        <v>0</v>
      </c>
      <c r="I13" s="188"/>
      <c r="J13" s="209"/>
      <c r="K13" s="170"/>
      <c r="L13" s="186" t="s">
        <v>227</v>
      </c>
      <c r="M13" s="186"/>
      <c r="N13" s="186"/>
      <c r="O13" s="186"/>
      <c r="P13" s="197"/>
      <c r="Q13" s="187"/>
      <c r="R13" s="187" t="e">
        <f>+'PRODUKSI 2'!#REF!</f>
        <v>#REF!</v>
      </c>
      <c r="S13" s="188"/>
    </row>
    <row r="14" spans="1:19" ht="14.25" customHeight="1">
      <c r="A14" s="170"/>
      <c r="B14" s="186" t="s">
        <v>228</v>
      </c>
      <c r="C14" s="186"/>
      <c r="D14" s="186"/>
      <c r="E14" s="186"/>
      <c r="F14" s="197"/>
      <c r="G14" s="187"/>
      <c r="H14" s="187">
        <f>+'PRODUKSI 2'!K9</f>
        <v>0</v>
      </c>
      <c r="I14" s="188"/>
      <c r="J14" s="209"/>
      <c r="K14" s="170"/>
      <c r="L14" s="186" t="s">
        <v>228</v>
      </c>
      <c r="M14" s="186"/>
      <c r="N14" s="186"/>
      <c r="O14" s="186"/>
      <c r="P14" s="197"/>
      <c r="Q14" s="187"/>
      <c r="R14" s="187" t="e">
        <f>+'PRODUKSI 2'!#REF!</f>
        <v>#REF!</v>
      </c>
      <c r="S14" s="188"/>
    </row>
    <row r="15" spans="1:19" ht="14.25" customHeight="1">
      <c r="A15" s="170"/>
      <c r="B15" s="186" t="s">
        <v>224</v>
      </c>
      <c r="C15" s="186"/>
      <c r="D15" s="186"/>
      <c r="E15" s="186"/>
      <c r="F15" s="197"/>
      <c r="G15" s="187"/>
      <c r="H15" s="187">
        <f>+'PRODUKSI 2'!AB9</f>
        <v>448215.69090000005</v>
      </c>
      <c r="I15" s="188"/>
      <c r="J15" s="209"/>
      <c r="K15" s="170"/>
      <c r="L15" s="186" t="s">
        <v>224</v>
      </c>
      <c r="M15" s="186"/>
      <c r="N15" s="186"/>
      <c r="O15" s="186"/>
      <c r="P15" s="197"/>
      <c r="Q15" s="187"/>
      <c r="R15" s="187" t="e">
        <f>+'PRODUKSI 2'!#REF!</f>
        <v>#REF!</v>
      </c>
      <c r="S15" s="188"/>
    </row>
    <row r="16" spans="1:19" ht="14.25" customHeight="1">
      <c r="A16" s="170"/>
      <c r="B16" s="186" t="s">
        <v>195</v>
      </c>
      <c r="C16" s="186"/>
      <c r="D16" s="187"/>
      <c r="E16" s="186"/>
      <c r="F16" s="197"/>
      <c r="G16" s="187"/>
      <c r="H16" s="187">
        <f>+'PRODUKSI 2'!U9</f>
        <v>76000</v>
      </c>
      <c r="I16" s="188"/>
      <c r="J16" s="187"/>
      <c r="K16" s="170"/>
      <c r="L16" s="186" t="s">
        <v>195</v>
      </c>
      <c r="M16" s="186"/>
      <c r="N16" s="187"/>
      <c r="O16" s="186"/>
      <c r="P16" s="197"/>
      <c r="Q16" s="187"/>
      <c r="R16" s="187" t="e">
        <f>+'PRODUKSI 2'!#REF!</f>
        <v>#REF!</v>
      </c>
      <c r="S16" s="188"/>
    </row>
    <row r="17" spans="1:20" ht="14.25" customHeight="1">
      <c r="A17" s="170"/>
      <c r="B17" s="220" t="s">
        <v>233</v>
      </c>
      <c r="C17" s="186"/>
      <c r="D17" s="187"/>
      <c r="E17" s="186"/>
      <c r="F17" s="197"/>
      <c r="G17" s="187"/>
      <c r="H17" s="187"/>
      <c r="I17" s="188"/>
      <c r="J17" s="209"/>
      <c r="K17" s="170"/>
      <c r="L17" s="220" t="s">
        <v>233</v>
      </c>
      <c r="M17" s="186"/>
      <c r="N17" s="187"/>
      <c r="O17" s="186"/>
      <c r="P17" s="197"/>
      <c r="Q17" s="187"/>
      <c r="R17" s="187"/>
      <c r="S17" s="188"/>
      <c r="T17" s="218"/>
    </row>
    <row r="18" spans="1:20" ht="14.25" customHeight="1">
      <c r="A18" s="170"/>
      <c r="B18" s="186" t="s">
        <v>206</v>
      </c>
      <c r="C18" s="186"/>
      <c r="D18" s="212">
        <v>0</v>
      </c>
      <c r="E18" s="186" t="s">
        <v>207</v>
      </c>
      <c r="F18" s="197" t="s">
        <v>205</v>
      </c>
      <c r="G18" s="187">
        <v>23768</v>
      </c>
      <c r="H18" s="187">
        <f>G18*D18</f>
        <v>0</v>
      </c>
      <c r="I18" s="188"/>
      <c r="J18" s="187"/>
      <c r="K18" s="170"/>
      <c r="L18" s="186" t="s">
        <v>206</v>
      </c>
      <c r="M18" s="186"/>
      <c r="N18" s="212">
        <v>0</v>
      </c>
      <c r="O18" s="186" t="s">
        <v>207</v>
      </c>
      <c r="P18" s="197" t="s">
        <v>205</v>
      </c>
      <c r="Q18" s="187">
        <v>23015</v>
      </c>
      <c r="R18" s="187">
        <f>Q18*N18</f>
        <v>0</v>
      </c>
      <c r="S18" s="188"/>
    </row>
    <row r="19" spans="1:20" ht="14.25" customHeight="1" thickBot="1">
      <c r="A19" s="170"/>
      <c r="B19" s="190" t="s">
        <v>208</v>
      </c>
      <c r="C19" s="190"/>
      <c r="D19" s="213">
        <v>0</v>
      </c>
      <c r="E19" s="190" t="s">
        <v>207</v>
      </c>
      <c r="F19" s="228" t="s">
        <v>205</v>
      </c>
      <c r="G19" s="192">
        <f>G18</f>
        <v>23768</v>
      </c>
      <c r="H19" s="192">
        <f>G19*D19</f>
        <v>0</v>
      </c>
      <c r="I19" s="188"/>
      <c r="J19" s="187"/>
      <c r="K19" s="170"/>
      <c r="L19" s="190" t="s">
        <v>208</v>
      </c>
      <c r="M19" s="190"/>
      <c r="N19" s="213">
        <v>26</v>
      </c>
      <c r="O19" s="190" t="s">
        <v>207</v>
      </c>
      <c r="P19" s="228" t="s">
        <v>205</v>
      </c>
      <c r="Q19" s="192">
        <f>Q18</f>
        <v>23015</v>
      </c>
      <c r="R19" s="192">
        <f>Q19*N19</f>
        <v>598390</v>
      </c>
      <c r="S19" s="188"/>
    </row>
    <row r="20" spans="1:20" ht="15.75" thickBot="1">
      <c r="A20" s="170"/>
      <c r="B20" s="190" t="s">
        <v>219</v>
      </c>
      <c r="C20" s="190"/>
      <c r="D20" s="213">
        <f>SUM(D17:D19)</f>
        <v>0</v>
      </c>
      <c r="E20" s="190"/>
      <c r="F20" s="228"/>
      <c r="G20" s="192"/>
      <c r="H20" s="192">
        <f>SUM(H11:H19)</f>
        <v>5019070.6908999998</v>
      </c>
      <c r="I20" s="188"/>
      <c r="J20" s="187"/>
      <c r="K20" s="170"/>
      <c r="L20" s="190" t="s">
        <v>219</v>
      </c>
      <c r="M20" s="190"/>
      <c r="N20" s="213">
        <f>SUM(N17:N19)</f>
        <v>26</v>
      </c>
      <c r="O20" s="190"/>
      <c r="P20" s="228"/>
      <c r="Q20" s="192"/>
      <c r="R20" s="192" t="e">
        <f>SUM(R11:R19)</f>
        <v>#REF!</v>
      </c>
      <c r="S20" s="188"/>
    </row>
    <row r="21" spans="1:20">
      <c r="A21" s="170"/>
      <c r="B21" s="196" t="s">
        <v>113</v>
      </c>
      <c r="C21" s="186"/>
      <c r="D21" s="186"/>
      <c r="E21" s="186"/>
      <c r="F21" s="197"/>
      <c r="G21" s="187"/>
      <c r="H21" s="187"/>
      <c r="I21" s="188"/>
      <c r="J21" s="209"/>
      <c r="K21" s="170"/>
      <c r="L21" s="196" t="s">
        <v>113</v>
      </c>
      <c r="M21" s="186"/>
      <c r="N21" s="186"/>
      <c r="O21" s="186"/>
      <c r="P21" s="197"/>
      <c r="Q21" s="187"/>
      <c r="R21" s="187"/>
      <c r="S21" s="188"/>
    </row>
    <row r="22" spans="1:20" ht="14.25" customHeight="1">
      <c r="A22" s="170"/>
      <c r="B22" s="186" t="s">
        <v>209</v>
      </c>
      <c r="C22" s="186"/>
      <c r="D22" s="197"/>
      <c r="E22" s="186"/>
      <c r="F22" s="197"/>
      <c r="G22" s="198" t="str">
        <f>+'PRODUKSI 2'!D9</f>
        <v>TK</v>
      </c>
      <c r="H22" s="187">
        <f>+'PRODUKSI 2'!AI9</f>
        <v>0</v>
      </c>
      <c r="I22" s="188"/>
      <c r="J22" s="209"/>
      <c r="K22" s="170"/>
      <c r="L22" s="186" t="s">
        <v>209</v>
      </c>
      <c r="M22" s="186"/>
      <c r="N22" s="198"/>
      <c r="O22" s="186"/>
      <c r="P22" s="197"/>
      <c r="Q22" s="198" t="e">
        <f>+'PRODUKSI 2'!#REF!</f>
        <v>#REF!</v>
      </c>
      <c r="R22" s="187" t="e">
        <f>+'PRODUKSI 2'!#REF!</f>
        <v>#REF!</v>
      </c>
      <c r="S22" s="188"/>
    </row>
    <row r="23" spans="1:20" ht="14.25" customHeight="1">
      <c r="A23" s="170"/>
      <c r="B23" s="186" t="s">
        <v>225</v>
      </c>
      <c r="C23" s="186"/>
      <c r="D23" s="197"/>
      <c r="E23" s="186"/>
      <c r="F23" s="197"/>
      <c r="G23" s="198"/>
      <c r="H23" s="187">
        <f>+'PRODUKSI 2'!AF9+'PRODUKSI 2'!AG9</f>
        <v>48772.11</v>
      </c>
      <c r="I23" s="188"/>
      <c r="J23" s="209"/>
      <c r="K23" s="170"/>
      <c r="L23" s="186" t="s">
        <v>225</v>
      </c>
      <c r="M23" s="186"/>
      <c r="N23" s="198"/>
      <c r="O23" s="186"/>
      <c r="P23" s="197"/>
      <c r="Q23" s="198"/>
      <c r="R23" s="187" t="e">
        <f>+'PRODUKSI 2'!#REF!+'PRODUKSI 2'!#REF!</f>
        <v>#REF!</v>
      </c>
      <c r="S23" s="188"/>
    </row>
    <row r="24" spans="1:20" ht="14.25" customHeight="1">
      <c r="A24" s="170"/>
      <c r="B24" s="186" t="s">
        <v>226</v>
      </c>
      <c r="C24" s="186"/>
      <c r="D24" s="197"/>
      <c r="E24" s="186"/>
      <c r="F24" s="197"/>
      <c r="G24" s="198"/>
      <c r="H24" s="187">
        <f>+'PRODUKSI 2'!AD9+'PRODUKSI 2'!AE9</f>
        <v>146316.33000000002</v>
      </c>
      <c r="I24" s="188"/>
      <c r="J24" s="209"/>
      <c r="K24" s="170"/>
      <c r="L24" s="186" t="s">
        <v>226</v>
      </c>
      <c r="M24" s="186"/>
      <c r="N24" s="198"/>
      <c r="O24" s="186"/>
      <c r="P24" s="197"/>
      <c r="Q24" s="198"/>
      <c r="R24" s="187" t="e">
        <f>+'PRODUKSI 2'!#REF!+'PRODUKSI 2'!#REF!</f>
        <v>#REF!</v>
      </c>
      <c r="S24" s="188"/>
    </row>
    <row r="25" spans="1:20" ht="14.25" customHeight="1">
      <c r="A25" s="170"/>
      <c r="B25" s="186" t="s">
        <v>103</v>
      </c>
      <c r="C25" s="186"/>
      <c r="D25" s="186"/>
      <c r="E25" s="186"/>
      <c r="F25" s="197"/>
      <c r="G25" s="198"/>
      <c r="H25" s="187">
        <f>+H15</f>
        <v>448215.69090000005</v>
      </c>
      <c r="I25" s="188"/>
      <c r="J25" s="209"/>
      <c r="K25" s="170"/>
      <c r="L25" s="186" t="s">
        <v>103</v>
      </c>
      <c r="M25" s="186"/>
      <c r="N25" s="186"/>
      <c r="O25" s="186"/>
      <c r="P25" s="197"/>
      <c r="Q25" s="187"/>
      <c r="R25" s="187" t="e">
        <f>+R15</f>
        <v>#REF!</v>
      </c>
      <c r="S25" s="188"/>
    </row>
    <row r="26" spans="1:20" ht="14.25" customHeight="1" thickBot="1">
      <c r="A26" s="170"/>
      <c r="B26" s="190" t="s">
        <v>211</v>
      </c>
      <c r="C26" s="190"/>
      <c r="D26" s="190"/>
      <c r="E26" s="190"/>
      <c r="F26" s="228"/>
      <c r="G26" s="192"/>
      <c r="H26" s="192">
        <f>SUM(H22:H25)</f>
        <v>643304.13089999999</v>
      </c>
      <c r="I26" s="188"/>
      <c r="J26" s="209"/>
      <c r="K26" s="170"/>
      <c r="L26" s="190" t="s">
        <v>211</v>
      </c>
      <c r="M26" s="190"/>
      <c r="N26" s="190"/>
      <c r="O26" s="190"/>
      <c r="P26" s="228"/>
      <c r="Q26" s="192"/>
      <c r="R26" s="192" t="e">
        <f>SUM(R22:R25)</f>
        <v>#REF!</v>
      </c>
      <c r="S26" s="188"/>
    </row>
    <row r="27" spans="1:20" ht="15.75" thickBot="1">
      <c r="A27" s="170"/>
      <c r="B27" s="193" t="s">
        <v>220</v>
      </c>
      <c r="C27" s="193"/>
      <c r="D27" s="193"/>
      <c r="E27" s="193"/>
      <c r="F27" s="229"/>
      <c r="G27" s="195"/>
      <c r="H27" s="195">
        <f>H20-H26</f>
        <v>4375766.5599999996</v>
      </c>
      <c r="I27" s="188"/>
      <c r="J27" s="209"/>
      <c r="K27" s="170"/>
      <c r="L27" s="193" t="s">
        <v>220</v>
      </c>
      <c r="M27" s="193"/>
      <c r="N27" s="193"/>
      <c r="O27" s="193"/>
      <c r="P27" s="229"/>
      <c r="Q27" s="195"/>
      <c r="R27" s="195" t="e">
        <f>SUM(R20-R26)</f>
        <v>#REF!</v>
      </c>
      <c r="S27" s="188"/>
    </row>
    <row r="28" spans="1:20">
      <c r="A28" s="170"/>
      <c r="B28" s="186" t="s">
        <v>230</v>
      </c>
      <c r="C28" s="186"/>
      <c r="D28" s="186"/>
      <c r="E28" s="186"/>
      <c r="F28" s="197"/>
      <c r="G28" s="187"/>
      <c r="H28" s="187">
        <v>10000</v>
      </c>
      <c r="I28" s="188"/>
      <c r="J28" s="209"/>
      <c r="K28" s="170"/>
      <c r="L28" s="186" t="s">
        <v>221</v>
      </c>
      <c r="M28" s="186"/>
      <c r="N28" s="186"/>
      <c r="O28" s="186"/>
      <c r="P28" s="197"/>
      <c r="Q28" s="187"/>
      <c r="R28" s="187">
        <f>'[2]Urutan Nm'!H68</f>
        <v>10000</v>
      </c>
      <c r="S28" s="188"/>
    </row>
    <row r="29" spans="1:20" ht="10.5" customHeight="1" thickBot="1">
      <c r="A29" s="170"/>
      <c r="B29" s="199"/>
      <c r="C29" s="190"/>
      <c r="D29" s="190"/>
      <c r="E29" s="190"/>
      <c r="F29" s="228"/>
      <c r="G29" s="192"/>
      <c r="H29" s="192"/>
      <c r="I29" s="188"/>
      <c r="J29" s="187"/>
      <c r="K29" s="170"/>
      <c r="L29" s="199"/>
      <c r="M29" s="190"/>
      <c r="N29" s="190"/>
      <c r="O29" s="190"/>
      <c r="P29" s="228"/>
      <c r="Q29" s="192"/>
      <c r="R29" s="192"/>
      <c r="S29" s="188"/>
    </row>
    <row r="30" spans="1:20" ht="15.75" thickBot="1">
      <c r="A30" s="170"/>
      <c r="B30" s="200" t="s">
        <v>212</v>
      </c>
      <c r="C30" s="200"/>
      <c r="D30" s="200"/>
      <c r="E30" s="200"/>
      <c r="F30" s="230"/>
      <c r="G30" s="201"/>
      <c r="H30" s="201">
        <f>SUM(H27-H28)</f>
        <v>4365766.5599999996</v>
      </c>
      <c r="I30" s="188"/>
      <c r="J30" s="187"/>
      <c r="K30" s="170"/>
      <c r="L30" s="200" t="s">
        <v>212</v>
      </c>
      <c r="M30" s="200"/>
      <c r="N30" s="200"/>
      <c r="O30" s="200"/>
      <c r="P30" s="230"/>
      <c r="Q30" s="201"/>
      <c r="R30" s="201" t="e">
        <f>SUM(R27-R28)</f>
        <v>#REF!</v>
      </c>
      <c r="S30" s="188"/>
    </row>
    <row r="31" spans="1:20" ht="15.75" thickTop="1">
      <c r="A31" s="170"/>
      <c r="B31" s="202" t="s">
        <v>213</v>
      </c>
      <c r="C31" s="186"/>
      <c r="D31" s="186"/>
      <c r="E31" s="186"/>
      <c r="F31" s="197"/>
      <c r="G31" s="296" t="s">
        <v>214</v>
      </c>
      <c r="H31" s="296"/>
      <c r="I31" s="188"/>
      <c r="J31" s="187"/>
      <c r="K31" s="170"/>
      <c r="L31" s="202" t="s">
        <v>213</v>
      </c>
      <c r="M31" s="186"/>
      <c r="N31" s="186"/>
      <c r="O31" s="186"/>
      <c r="P31" s="197"/>
      <c r="Q31" s="296" t="s">
        <v>214</v>
      </c>
      <c r="R31" s="296"/>
      <c r="S31" s="188"/>
    </row>
    <row r="32" spans="1:20" ht="12.75" customHeight="1">
      <c r="A32" s="170"/>
      <c r="B32" s="186"/>
      <c r="C32" s="186"/>
      <c r="D32" s="186"/>
      <c r="E32" s="186"/>
      <c r="F32" s="197"/>
      <c r="G32" s="187"/>
      <c r="H32" s="187"/>
      <c r="I32" s="188"/>
      <c r="J32" s="187"/>
      <c r="K32" s="170"/>
      <c r="L32" s="186"/>
      <c r="M32" s="186"/>
      <c r="N32" s="186"/>
      <c r="O32" s="186"/>
      <c r="P32" s="197"/>
      <c r="Q32" s="187"/>
      <c r="R32" s="187"/>
      <c r="S32" s="188"/>
    </row>
    <row r="33" spans="1:19" ht="12.75" customHeight="1">
      <c r="A33" s="170"/>
      <c r="B33" s="186"/>
      <c r="C33" s="186"/>
      <c r="D33" s="186"/>
      <c r="E33" s="186"/>
      <c r="F33" s="197"/>
      <c r="G33" s="187"/>
      <c r="H33" s="187"/>
      <c r="I33" s="188"/>
      <c r="J33" s="187"/>
      <c r="K33" s="170"/>
      <c r="L33" s="186"/>
      <c r="M33" s="186"/>
      <c r="N33" s="186"/>
      <c r="O33" s="186"/>
      <c r="P33" s="197"/>
      <c r="Q33" s="187"/>
      <c r="R33" s="187"/>
      <c r="S33" s="188"/>
    </row>
    <row r="34" spans="1:19" ht="12.75" customHeight="1">
      <c r="A34" s="170"/>
      <c r="B34" s="203" t="s">
        <v>215</v>
      </c>
      <c r="C34" s="186"/>
      <c r="D34" s="186"/>
      <c r="E34" s="186"/>
      <c r="F34" s="197"/>
      <c r="G34" s="297" t="s">
        <v>216</v>
      </c>
      <c r="H34" s="297"/>
      <c r="I34" s="188"/>
      <c r="J34" s="187"/>
      <c r="K34" s="170"/>
      <c r="L34" s="203" t="s">
        <v>215</v>
      </c>
      <c r="M34" s="186"/>
      <c r="N34" s="186"/>
      <c r="O34" s="186"/>
      <c r="P34" s="197"/>
      <c r="Q34" s="297" t="s">
        <v>216</v>
      </c>
      <c r="R34" s="297"/>
      <c r="S34" s="188"/>
    </row>
    <row r="35" spans="1:19" ht="7.5" customHeight="1">
      <c r="A35" s="204"/>
      <c r="B35" s="205"/>
      <c r="C35" s="206"/>
      <c r="D35" s="206"/>
      <c r="E35" s="206"/>
      <c r="F35" s="231"/>
      <c r="G35" s="207"/>
      <c r="H35" s="205"/>
      <c r="I35" s="208"/>
      <c r="J35" s="187"/>
      <c r="K35" s="204"/>
      <c r="L35" s="205"/>
      <c r="M35" s="206"/>
      <c r="N35" s="206"/>
      <c r="O35" s="206"/>
      <c r="P35" s="231"/>
      <c r="Q35" s="207"/>
      <c r="R35" s="205"/>
      <c r="S35" s="208"/>
    </row>
    <row r="37" spans="1:19">
      <c r="A37" s="166"/>
      <c r="B37" s="167"/>
      <c r="C37" s="167"/>
      <c r="D37" s="167"/>
      <c r="E37" s="167"/>
      <c r="F37" s="223"/>
      <c r="G37" s="167"/>
      <c r="H37" s="167"/>
      <c r="I37" s="168"/>
      <c r="J37" s="169"/>
      <c r="K37" s="166"/>
      <c r="L37" s="167"/>
      <c r="M37" s="167"/>
      <c r="N37" s="167"/>
      <c r="O37" s="167"/>
      <c r="P37" s="223"/>
      <c r="Q37" s="167"/>
      <c r="R37" s="167"/>
      <c r="S37" s="168"/>
    </row>
    <row r="38" spans="1:19">
      <c r="A38" s="170"/>
      <c r="B38" s="169"/>
      <c r="C38" s="169"/>
      <c r="D38" s="169"/>
      <c r="E38" s="169"/>
      <c r="F38" s="224"/>
      <c r="G38" s="169"/>
      <c r="H38" s="169"/>
      <c r="I38" s="171"/>
      <c r="J38" s="169"/>
      <c r="K38" s="170"/>
      <c r="L38" s="169"/>
      <c r="M38" s="169"/>
      <c r="N38" s="169"/>
      <c r="O38" s="169"/>
      <c r="P38" s="224"/>
      <c r="Q38" s="169"/>
      <c r="R38" s="169"/>
      <c r="S38" s="171"/>
    </row>
    <row r="39" spans="1:19">
      <c r="A39" s="170"/>
      <c r="B39" s="169"/>
      <c r="C39" s="169"/>
      <c r="D39" s="169"/>
      <c r="E39" s="169"/>
      <c r="F39" s="224"/>
      <c r="G39" s="169"/>
      <c r="H39" s="169"/>
      <c r="I39" s="171"/>
      <c r="J39" s="169"/>
      <c r="K39" s="170"/>
      <c r="L39" s="169"/>
      <c r="M39" s="169"/>
      <c r="N39" s="169"/>
      <c r="O39" s="169"/>
      <c r="P39" s="224"/>
      <c r="Q39" s="169"/>
      <c r="R39" s="169"/>
      <c r="S39" s="171"/>
    </row>
    <row r="40" spans="1:19">
      <c r="A40" s="170"/>
      <c r="B40" s="294" t="s">
        <v>196</v>
      </c>
      <c r="C40" s="294"/>
      <c r="D40" s="294"/>
      <c r="E40" s="294"/>
      <c r="F40" s="294"/>
      <c r="G40" s="294"/>
      <c r="H40" s="294"/>
      <c r="I40" s="295"/>
      <c r="J40" s="169"/>
      <c r="K40" s="170"/>
      <c r="L40" s="294" t="s">
        <v>196</v>
      </c>
      <c r="M40" s="294"/>
      <c r="N40" s="294"/>
      <c r="O40" s="294"/>
      <c r="P40" s="294"/>
      <c r="Q40" s="294"/>
      <c r="R40" s="294"/>
      <c r="S40" s="295"/>
    </row>
    <row r="41" spans="1:19">
      <c r="A41" s="172"/>
      <c r="B41" s="173" t="s">
        <v>197</v>
      </c>
      <c r="C41" s="174" t="s">
        <v>198</v>
      </c>
      <c r="D41" s="211">
        <v>3</v>
      </c>
      <c r="E41" s="173"/>
      <c r="F41" s="225"/>
      <c r="G41" s="173"/>
      <c r="H41" s="173"/>
      <c r="I41" s="176"/>
      <c r="J41" s="173"/>
      <c r="K41" s="172"/>
      <c r="L41" s="173" t="s">
        <v>197</v>
      </c>
      <c r="M41" s="174" t="s">
        <v>198</v>
      </c>
      <c r="N41" s="211">
        <v>4</v>
      </c>
      <c r="O41" s="175"/>
      <c r="P41" s="225"/>
      <c r="Q41" s="173"/>
      <c r="R41" s="173"/>
      <c r="S41" s="176"/>
    </row>
    <row r="42" spans="1:19">
      <c r="A42" s="172"/>
      <c r="B42" s="173" t="s">
        <v>199</v>
      </c>
      <c r="C42" s="174" t="s">
        <v>198</v>
      </c>
      <c r="D42" s="177" t="s">
        <v>229</v>
      </c>
      <c r="E42" s="173"/>
      <c r="F42" s="225"/>
      <c r="G42" s="173"/>
      <c r="H42" s="173"/>
      <c r="I42" s="176"/>
      <c r="J42" s="173"/>
      <c r="K42" s="172"/>
      <c r="L42" s="173" t="s">
        <v>199</v>
      </c>
      <c r="M42" s="174" t="s">
        <v>198</v>
      </c>
      <c r="N42" s="177" t="s">
        <v>229</v>
      </c>
      <c r="O42" s="179"/>
      <c r="P42" s="225"/>
      <c r="Q42" s="173"/>
      <c r="R42" s="173"/>
      <c r="S42" s="176"/>
    </row>
    <row r="43" spans="1:19">
      <c r="A43" s="172"/>
      <c r="B43" s="173" t="s">
        <v>200</v>
      </c>
      <c r="C43" s="174" t="s">
        <v>198</v>
      </c>
      <c r="D43" s="177" t="str">
        <f>+'PRODUKSI 2'!B10</f>
        <v>DENDI JULIANA</v>
      </c>
      <c r="E43" s="173"/>
      <c r="F43" s="225"/>
      <c r="G43" s="173"/>
      <c r="H43" s="173"/>
      <c r="I43" s="176"/>
      <c r="J43" s="173"/>
      <c r="K43" s="172"/>
      <c r="L43" s="173" t="s">
        <v>200</v>
      </c>
      <c r="M43" s="174" t="s">
        <v>198</v>
      </c>
      <c r="N43" s="178" t="str">
        <f>+'PRODUKSI 2'!B11</f>
        <v>RISKI</v>
      </c>
      <c r="O43" s="173"/>
      <c r="P43" s="225"/>
      <c r="Q43" s="173"/>
      <c r="R43" s="173"/>
      <c r="S43" s="176"/>
    </row>
    <row r="44" spans="1:19" ht="15.75" thickBot="1">
      <c r="A44" s="172"/>
      <c r="B44" s="173" t="s">
        <v>201</v>
      </c>
      <c r="C44" s="174" t="s">
        <v>198</v>
      </c>
      <c r="D44" s="177" t="str">
        <f>+'PRODUKSI 2'!C10</f>
        <v>SLITER 1</v>
      </c>
      <c r="E44" s="173"/>
      <c r="F44" s="225"/>
      <c r="G44" s="173"/>
      <c r="H44" s="173"/>
      <c r="I44" s="176"/>
      <c r="J44" s="173"/>
      <c r="K44" s="172"/>
      <c r="L44" s="173" t="s">
        <v>201</v>
      </c>
      <c r="M44" s="174" t="s">
        <v>198</v>
      </c>
      <c r="N44" s="178" t="str">
        <f>+'PRODUKSI 2'!C11</f>
        <v>OP SLITER 2</v>
      </c>
      <c r="O44" s="179"/>
      <c r="P44" s="225"/>
      <c r="Q44" s="173"/>
      <c r="R44" s="173"/>
      <c r="S44" s="176"/>
    </row>
    <row r="45" spans="1:19" ht="10.5" customHeight="1" thickTop="1">
      <c r="A45" s="170"/>
      <c r="B45" s="182"/>
      <c r="C45" s="182"/>
      <c r="D45" s="182"/>
      <c r="E45" s="182"/>
      <c r="F45" s="182"/>
      <c r="G45" s="182"/>
      <c r="H45" s="182"/>
      <c r="I45" s="183"/>
      <c r="J45" s="169"/>
      <c r="K45" s="170"/>
      <c r="L45" s="182"/>
      <c r="M45" s="182"/>
      <c r="N45" s="182"/>
      <c r="O45" s="182"/>
      <c r="P45" s="182"/>
      <c r="Q45" s="182"/>
      <c r="R45" s="182"/>
      <c r="S45" s="183"/>
    </row>
    <row r="46" spans="1:19">
      <c r="A46" s="170"/>
      <c r="B46" s="184" t="s">
        <v>202</v>
      </c>
      <c r="C46" s="185"/>
      <c r="D46" s="185"/>
      <c r="E46" s="185"/>
      <c r="F46" s="227"/>
      <c r="G46" s="185"/>
      <c r="H46" s="185"/>
      <c r="I46" s="183"/>
      <c r="J46" s="169"/>
      <c r="K46" s="170"/>
      <c r="L46" s="184" t="s">
        <v>202</v>
      </c>
      <c r="M46" s="184"/>
      <c r="N46" s="185"/>
      <c r="O46" s="185"/>
      <c r="P46" s="227"/>
      <c r="Q46" s="185"/>
      <c r="R46" s="185"/>
      <c r="S46" s="183"/>
    </row>
    <row r="47" spans="1:19" ht="14.25" customHeight="1">
      <c r="A47" s="170"/>
      <c r="B47" s="186" t="s">
        <v>111</v>
      </c>
      <c r="C47" s="186"/>
      <c r="D47" s="186"/>
      <c r="E47" s="186"/>
      <c r="F47" s="197"/>
      <c r="G47" s="187"/>
      <c r="H47" s="187">
        <f>+'PRODUKSI 2'!H10</f>
        <v>4494855</v>
      </c>
      <c r="I47" s="188"/>
      <c r="J47" s="187"/>
      <c r="K47" s="170"/>
      <c r="L47" s="186" t="s">
        <v>111</v>
      </c>
      <c r="M47" s="186"/>
      <c r="N47" s="186"/>
      <c r="O47" s="186"/>
      <c r="P47" s="197"/>
      <c r="Q47" s="187"/>
      <c r="R47" s="187">
        <f>+'PRODUKSI 2'!H11</f>
        <v>4494855</v>
      </c>
      <c r="S47" s="188"/>
    </row>
    <row r="48" spans="1:19" ht="14.25" customHeight="1">
      <c r="A48" s="170"/>
      <c r="B48" s="186" t="s">
        <v>203</v>
      </c>
      <c r="C48" s="186"/>
      <c r="D48" s="186"/>
      <c r="E48" s="186"/>
      <c r="F48" s="197"/>
      <c r="G48" s="187"/>
      <c r="H48" s="187">
        <f>+'PRODUKSI 2'!I10</f>
        <v>80000</v>
      </c>
      <c r="I48" s="188"/>
      <c r="J48" s="209"/>
      <c r="K48" s="170"/>
      <c r="L48" s="186" t="s">
        <v>203</v>
      </c>
      <c r="M48" s="186"/>
      <c r="N48" s="186"/>
      <c r="O48" s="186"/>
      <c r="P48" s="197"/>
      <c r="Q48" s="187"/>
      <c r="R48" s="187">
        <f>+'PRODUKSI 2'!I11</f>
        <v>80000</v>
      </c>
      <c r="S48" s="188"/>
    </row>
    <row r="49" spans="1:20" ht="14.25" customHeight="1">
      <c r="A49" s="170"/>
      <c r="B49" s="186" t="s">
        <v>227</v>
      </c>
      <c r="C49" s="186"/>
      <c r="D49" s="186"/>
      <c r="E49" s="186"/>
      <c r="F49" s="197"/>
      <c r="G49" s="187"/>
      <c r="H49" s="187">
        <f>+'PRODUKSI 2'!J10</f>
        <v>80000</v>
      </c>
      <c r="I49" s="188"/>
      <c r="J49" s="209"/>
      <c r="K49" s="170"/>
      <c r="L49" s="186" t="s">
        <v>227</v>
      </c>
      <c r="M49" s="186"/>
      <c r="N49" s="186"/>
      <c r="O49" s="186"/>
      <c r="P49" s="197"/>
      <c r="Q49" s="187"/>
      <c r="R49" s="187">
        <f>+'PRODUKSI 2'!J11</f>
        <v>80000</v>
      </c>
      <c r="S49" s="188"/>
    </row>
    <row r="50" spans="1:20" ht="14.25" customHeight="1">
      <c r="A50" s="170"/>
      <c r="B50" s="186" t="s">
        <v>228</v>
      </c>
      <c r="C50" s="186"/>
      <c r="D50" s="186"/>
      <c r="E50" s="186"/>
      <c r="F50" s="197"/>
      <c r="G50" s="187"/>
      <c r="H50" s="187">
        <f>+'PRODUKSI 2'!K10</f>
        <v>0</v>
      </c>
      <c r="I50" s="188"/>
      <c r="J50" s="209"/>
      <c r="K50" s="170"/>
      <c r="L50" s="186" t="s">
        <v>228</v>
      </c>
      <c r="M50" s="186"/>
      <c r="N50" s="186"/>
      <c r="O50" s="186"/>
      <c r="P50" s="197"/>
      <c r="Q50" s="187"/>
      <c r="R50" s="187">
        <f>+'PRODUKSI 2'!K11</f>
        <v>0</v>
      </c>
      <c r="S50" s="188"/>
    </row>
    <row r="51" spans="1:20" ht="14.25" customHeight="1">
      <c r="A51" s="170"/>
      <c r="B51" s="186" t="s">
        <v>224</v>
      </c>
      <c r="C51" s="186"/>
      <c r="D51" s="186"/>
      <c r="E51" s="186"/>
      <c r="F51" s="197"/>
      <c r="G51" s="187"/>
      <c r="H51" s="187">
        <f>+'PRODUKSI 2'!AB10</f>
        <v>448215.69090000005</v>
      </c>
      <c r="I51" s="188"/>
      <c r="J51" s="209"/>
      <c r="K51" s="170"/>
      <c r="L51" s="186" t="s">
        <v>224</v>
      </c>
      <c r="M51" s="186"/>
      <c r="N51" s="186"/>
      <c r="O51" s="186"/>
      <c r="P51" s="197"/>
      <c r="Q51" s="187"/>
      <c r="R51" s="187">
        <f>+'PRODUKSI 2'!AB11</f>
        <v>448215.69090000005</v>
      </c>
      <c r="S51" s="188"/>
    </row>
    <row r="52" spans="1:20" ht="14.25" customHeight="1">
      <c r="A52" s="170"/>
      <c r="B52" s="186" t="s">
        <v>195</v>
      </c>
      <c r="C52" s="186"/>
      <c r="D52" s="187"/>
      <c r="E52" s="186"/>
      <c r="F52" s="197"/>
      <c r="G52" s="187"/>
      <c r="H52" s="187">
        <f>+'PRODUKSI 2'!U10</f>
        <v>92000</v>
      </c>
      <c r="I52" s="188"/>
      <c r="J52" s="187"/>
      <c r="K52" s="170"/>
      <c r="L52" s="186" t="s">
        <v>195</v>
      </c>
      <c r="M52" s="186"/>
      <c r="N52" s="187"/>
      <c r="O52" s="186"/>
      <c r="P52" s="197"/>
      <c r="Q52" s="187"/>
      <c r="R52" s="187">
        <f>+'PRODUKSI 2'!U11</f>
        <v>96000</v>
      </c>
      <c r="S52" s="188"/>
    </row>
    <row r="53" spans="1:20" ht="14.25" customHeight="1">
      <c r="A53" s="170"/>
      <c r="B53" s="220" t="s">
        <v>233</v>
      </c>
      <c r="C53" s="186"/>
      <c r="D53" s="187"/>
      <c r="E53" s="186"/>
      <c r="F53" s="197"/>
      <c r="G53" s="187"/>
      <c r="H53" s="187"/>
      <c r="I53" s="188"/>
      <c r="J53" s="209"/>
      <c r="K53" s="170"/>
      <c r="L53" s="220" t="s">
        <v>233</v>
      </c>
      <c r="M53" s="186"/>
      <c r="N53" s="187"/>
      <c r="O53" s="186"/>
      <c r="P53" s="197"/>
      <c r="Q53" s="187"/>
      <c r="R53" s="187"/>
      <c r="S53" s="188"/>
      <c r="T53" s="218"/>
    </row>
    <row r="54" spans="1:20" ht="14.25" customHeight="1">
      <c r="A54" s="170"/>
      <c r="B54" s="186" t="s">
        <v>206</v>
      </c>
      <c r="C54" s="186"/>
      <c r="D54" s="212">
        <v>0</v>
      </c>
      <c r="E54" s="186" t="s">
        <v>207</v>
      </c>
      <c r="F54" s="197" t="s">
        <v>205</v>
      </c>
      <c r="G54" s="187">
        <v>23768</v>
      </c>
      <c r="H54" s="187">
        <f>G54*D54</f>
        <v>0</v>
      </c>
      <c r="I54" s="188"/>
      <c r="J54" s="187"/>
      <c r="K54" s="170"/>
      <c r="L54" s="186" t="s">
        <v>206</v>
      </c>
      <c r="M54" s="186"/>
      <c r="N54" s="212">
        <v>0</v>
      </c>
      <c r="O54" s="186" t="s">
        <v>207</v>
      </c>
      <c r="P54" s="197" t="s">
        <v>205</v>
      </c>
      <c r="Q54" s="187">
        <v>23768</v>
      </c>
      <c r="R54" s="187">
        <f>Q54*N54</f>
        <v>0</v>
      </c>
      <c r="S54" s="188"/>
    </row>
    <row r="55" spans="1:20" ht="14.25" customHeight="1" thickBot="1">
      <c r="A55" s="170"/>
      <c r="B55" s="190" t="s">
        <v>208</v>
      </c>
      <c r="C55" s="190"/>
      <c r="D55" s="213">
        <v>0</v>
      </c>
      <c r="E55" s="190" t="s">
        <v>207</v>
      </c>
      <c r="F55" s="228" t="s">
        <v>205</v>
      </c>
      <c r="G55" s="192">
        <f>G54</f>
        <v>23768</v>
      </c>
      <c r="H55" s="192">
        <f>G55*D55</f>
        <v>0</v>
      </c>
      <c r="I55" s="188"/>
      <c r="J55" s="187"/>
      <c r="K55" s="170"/>
      <c r="L55" s="190" t="s">
        <v>208</v>
      </c>
      <c r="M55" s="190"/>
      <c r="N55" s="213">
        <v>0</v>
      </c>
      <c r="O55" s="190" t="s">
        <v>207</v>
      </c>
      <c r="P55" s="228" t="s">
        <v>205</v>
      </c>
      <c r="Q55" s="192">
        <f>Q54</f>
        <v>23768</v>
      </c>
      <c r="R55" s="192">
        <f>Q55*N55</f>
        <v>0</v>
      </c>
      <c r="S55" s="188"/>
    </row>
    <row r="56" spans="1:20" ht="15.75" thickBot="1">
      <c r="A56" s="170"/>
      <c r="B56" s="190" t="s">
        <v>219</v>
      </c>
      <c r="C56" s="190"/>
      <c r="D56" s="213">
        <f>SUM(D53:D55)</f>
        <v>0</v>
      </c>
      <c r="E56" s="190"/>
      <c r="F56" s="228"/>
      <c r="G56" s="192"/>
      <c r="H56" s="192">
        <f>SUM(H47:H55)</f>
        <v>5195070.6908999998</v>
      </c>
      <c r="I56" s="188"/>
      <c r="J56" s="187"/>
      <c r="K56" s="170"/>
      <c r="L56" s="190" t="s">
        <v>219</v>
      </c>
      <c r="M56" s="190"/>
      <c r="N56" s="213">
        <f>SUM(N53:N55)</f>
        <v>0</v>
      </c>
      <c r="O56" s="190"/>
      <c r="P56" s="228"/>
      <c r="Q56" s="192"/>
      <c r="R56" s="192">
        <f>SUM(R47:R55)</f>
        <v>5199070.6908999998</v>
      </c>
      <c r="S56" s="188"/>
    </row>
    <row r="57" spans="1:20">
      <c r="A57" s="170"/>
      <c r="B57" s="196" t="s">
        <v>113</v>
      </c>
      <c r="C57" s="186"/>
      <c r="D57" s="186"/>
      <c r="E57" s="186"/>
      <c r="F57" s="197"/>
      <c r="G57" s="187"/>
      <c r="H57" s="187"/>
      <c r="I57" s="188"/>
      <c r="J57" s="209"/>
      <c r="K57" s="170"/>
      <c r="L57" s="196" t="s">
        <v>113</v>
      </c>
      <c r="M57" s="186"/>
      <c r="N57" s="186"/>
      <c r="O57" s="186"/>
      <c r="P57" s="197"/>
      <c r="Q57" s="187"/>
      <c r="R57" s="187"/>
      <c r="S57" s="188"/>
    </row>
    <row r="58" spans="1:20" ht="14.25" customHeight="1">
      <c r="A58" s="170"/>
      <c r="B58" s="186" t="s">
        <v>209</v>
      </c>
      <c r="C58" s="186"/>
      <c r="D58" s="197"/>
      <c r="E58" s="186"/>
      <c r="F58" s="197"/>
      <c r="G58" s="198" t="str">
        <f>+'PRODUKSI 2'!D10</f>
        <v>K</v>
      </c>
      <c r="H58" s="187">
        <f>+'PRODUKSI 2'!AI10</f>
        <v>0</v>
      </c>
      <c r="I58" s="188"/>
      <c r="J58" s="209"/>
      <c r="K58" s="170"/>
      <c r="L58" s="186" t="s">
        <v>209</v>
      </c>
      <c r="M58" s="186"/>
      <c r="N58" s="198"/>
      <c r="O58" s="186"/>
      <c r="P58" s="197"/>
      <c r="Q58" s="198" t="str">
        <f>+'PRODUKSI 2'!D11</f>
        <v>TK</v>
      </c>
      <c r="R58" s="187">
        <f>+'PRODUKSI 2'!AI11</f>
        <v>0</v>
      </c>
      <c r="S58" s="188"/>
    </row>
    <row r="59" spans="1:20" ht="14.25" customHeight="1">
      <c r="A59" s="170"/>
      <c r="B59" s="186" t="s">
        <v>225</v>
      </c>
      <c r="C59" s="186"/>
      <c r="D59" s="197"/>
      <c r="E59" s="186"/>
      <c r="F59" s="197"/>
      <c r="G59" s="198"/>
      <c r="H59" s="187">
        <f>+'PRODUKSI 2'!AF10+'PRODUKSI 2'!AG10</f>
        <v>48772.11</v>
      </c>
      <c r="I59" s="188"/>
      <c r="J59" s="209"/>
      <c r="K59" s="170"/>
      <c r="L59" s="186" t="s">
        <v>225</v>
      </c>
      <c r="M59" s="186"/>
      <c r="N59" s="198"/>
      <c r="O59" s="186"/>
      <c r="P59" s="197"/>
      <c r="Q59" s="198"/>
      <c r="R59" s="187">
        <f>+'PRODUKSI 2'!AF11+'PRODUKSI 2'!AG11</f>
        <v>48772.11</v>
      </c>
      <c r="S59" s="188"/>
    </row>
    <row r="60" spans="1:20" ht="14.25" customHeight="1">
      <c r="A60" s="170"/>
      <c r="B60" s="186" t="s">
        <v>226</v>
      </c>
      <c r="C60" s="186"/>
      <c r="D60" s="197"/>
      <c r="E60" s="186"/>
      <c r="F60" s="197"/>
      <c r="G60" s="198"/>
      <c r="H60" s="187">
        <f>+'PRODUKSI 2'!AD10+'PRODUKSI 2'!AE10</f>
        <v>146316.33000000002</v>
      </c>
      <c r="I60" s="188"/>
      <c r="J60" s="209"/>
      <c r="K60" s="170"/>
      <c r="L60" s="186" t="s">
        <v>226</v>
      </c>
      <c r="M60" s="186"/>
      <c r="N60" s="198"/>
      <c r="O60" s="186"/>
      <c r="P60" s="197"/>
      <c r="Q60" s="198"/>
      <c r="R60" s="187">
        <f>+'PRODUKSI 2'!AD11+'PRODUKSI 2'!AE11</f>
        <v>146316.33000000002</v>
      </c>
      <c r="S60" s="188"/>
    </row>
    <row r="61" spans="1:20" ht="14.25" customHeight="1">
      <c r="A61" s="170"/>
      <c r="B61" s="186" t="s">
        <v>103</v>
      </c>
      <c r="C61" s="186"/>
      <c r="D61" s="186"/>
      <c r="E61" s="186"/>
      <c r="F61" s="197"/>
      <c r="G61" s="198"/>
      <c r="H61" s="187">
        <f>+H51</f>
        <v>448215.69090000005</v>
      </c>
      <c r="I61" s="188"/>
      <c r="J61" s="209"/>
      <c r="K61" s="170"/>
      <c r="L61" s="186" t="s">
        <v>103</v>
      </c>
      <c r="M61" s="186"/>
      <c r="N61" s="186"/>
      <c r="O61" s="186"/>
      <c r="P61" s="197"/>
      <c r="Q61" s="187"/>
      <c r="R61" s="187">
        <f>+R51</f>
        <v>448215.69090000005</v>
      </c>
      <c r="S61" s="188"/>
    </row>
    <row r="62" spans="1:20" ht="14.25" customHeight="1" thickBot="1">
      <c r="A62" s="170"/>
      <c r="B62" s="190" t="s">
        <v>211</v>
      </c>
      <c r="C62" s="190"/>
      <c r="D62" s="190"/>
      <c r="E62" s="190"/>
      <c r="F62" s="228"/>
      <c r="G62" s="192"/>
      <c r="H62" s="192">
        <f>SUM(H58:H61)</f>
        <v>643304.13089999999</v>
      </c>
      <c r="I62" s="188"/>
      <c r="J62" s="209"/>
      <c r="K62" s="170"/>
      <c r="L62" s="190" t="s">
        <v>211</v>
      </c>
      <c r="M62" s="190"/>
      <c r="N62" s="190"/>
      <c r="O62" s="190"/>
      <c r="P62" s="228"/>
      <c r="Q62" s="192"/>
      <c r="R62" s="192">
        <f>SUM(R58:R61)</f>
        <v>643304.13089999999</v>
      </c>
      <c r="S62" s="188"/>
    </row>
    <row r="63" spans="1:20" ht="15.75" thickBot="1">
      <c r="A63" s="170"/>
      <c r="B63" s="193" t="s">
        <v>220</v>
      </c>
      <c r="C63" s="193"/>
      <c r="D63" s="193"/>
      <c r="E63" s="193"/>
      <c r="F63" s="229"/>
      <c r="G63" s="195"/>
      <c r="H63" s="195">
        <f>H56-H62</f>
        <v>4551766.5599999996</v>
      </c>
      <c r="I63" s="188"/>
      <c r="J63" s="209"/>
      <c r="K63" s="170"/>
      <c r="L63" s="193" t="s">
        <v>220</v>
      </c>
      <c r="M63" s="193"/>
      <c r="N63" s="193"/>
      <c r="O63" s="193"/>
      <c r="P63" s="229"/>
      <c r="Q63" s="195"/>
      <c r="R63" s="195">
        <f>SUM(R56-R62)</f>
        <v>4555766.5599999996</v>
      </c>
      <c r="S63" s="188"/>
    </row>
    <row r="64" spans="1:20">
      <c r="A64" s="170"/>
      <c r="B64" s="186" t="s">
        <v>231</v>
      </c>
      <c r="C64" s="186"/>
      <c r="D64" s="186"/>
      <c r="E64" s="186"/>
      <c r="F64" s="197"/>
      <c r="G64" s="187"/>
      <c r="H64" s="187">
        <v>10000</v>
      </c>
      <c r="I64" s="188"/>
      <c r="J64" s="209"/>
      <c r="K64" s="170"/>
      <c r="L64" s="186" t="s">
        <v>221</v>
      </c>
      <c r="M64" s="186"/>
      <c r="N64" s="186"/>
      <c r="O64" s="186"/>
      <c r="P64" s="197"/>
      <c r="Q64" s="187"/>
      <c r="R64" s="187">
        <v>10000</v>
      </c>
      <c r="S64" s="188"/>
    </row>
    <row r="65" spans="1:19" ht="10.5" customHeight="1" thickBot="1">
      <c r="A65" s="170"/>
      <c r="B65" s="199"/>
      <c r="C65" s="190"/>
      <c r="D65" s="190"/>
      <c r="E65" s="190"/>
      <c r="F65" s="228"/>
      <c r="G65" s="192"/>
      <c r="H65" s="192"/>
      <c r="I65" s="188"/>
      <c r="J65" s="187"/>
      <c r="K65" s="170"/>
      <c r="L65" s="199"/>
      <c r="M65" s="190"/>
      <c r="N65" s="190"/>
      <c r="O65" s="190"/>
      <c r="P65" s="228"/>
      <c r="Q65" s="192"/>
      <c r="R65" s="192"/>
      <c r="S65" s="188"/>
    </row>
    <row r="66" spans="1:19" ht="15.75" thickBot="1">
      <c r="A66" s="170"/>
      <c r="B66" s="200" t="s">
        <v>212</v>
      </c>
      <c r="C66" s="200"/>
      <c r="D66" s="200"/>
      <c r="E66" s="200"/>
      <c r="F66" s="230"/>
      <c r="G66" s="201"/>
      <c r="H66" s="201">
        <f>SUM(H63-H64)</f>
        <v>4541766.5599999996</v>
      </c>
      <c r="I66" s="188"/>
      <c r="J66" s="187"/>
      <c r="K66" s="170"/>
      <c r="L66" s="200" t="s">
        <v>212</v>
      </c>
      <c r="M66" s="200"/>
      <c r="N66" s="200"/>
      <c r="O66" s="200"/>
      <c r="P66" s="230"/>
      <c r="Q66" s="201"/>
      <c r="R66" s="201">
        <f>SUM(R63-R64)</f>
        <v>4545766.5599999996</v>
      </c>
      <c r="S66" s="188"/>
    </row>
    <row r="67" spans="1:19" ht="15.75" thickTop="1">
      <c r="A67" s="170"/>
      <c r="B67" s="202" t="s">
        <v>213</v>
      </c>
      <c r="C67" s="186"/>
      <c r="D67" s="186"/>
      <c r="E67" s="186"/>
      <c r="F67" s="197"/>
      <c r="G67" s="296" t="s">
        <v>214</v>
      </c>
      <c r="H67" s="296"/>
      <c r="I67" s="188"/>
      <c r="J67" s="187"/>
      <c r="K67" s="170"/>
      <c r="L67" s="202" t="s">
        <v>213</v>
      </c>
      <c r="M67" s="186"/>
      <c r="N67" s="186"/>
      <c r="O67" s="186"/>
      <c r="P67" s="197"/>
      <c r="Q67" s="296" t="s">
        <v>214</v>
      </c>
      <c r="R67" s="296"/>
      <c r="S67" s="188"/>
    </row>
    <row r="68" spans="1:19" ht="12.75" customHeight="1">
      <c r="A68" s="170"/>
      <c r="B68" s="186"/>
      <c r="C68" s="186"/>
      <c r="D68" s="186"/>
      <c r="E68" s="186"/>
      <c r="F68" s="197"/>
      <c r="G68" s="187"/>
      <c r="H68" s="187"/>
      <c r="I68" s="188"/>
      <c r="J68" s="187"/>
      <c r="K68" s="170"/>
      <c r="L68" s="186"/>
      <c r="M68" s="186"/>
      <c r="N68" s="186"/>
      <c r="O68" s="186"/>
      <c r="P68" s="197"/>
      <c r="Q68" s="187"/>
      <c r="R68" s="187"/>
      <c r="S68" s="188"/>
    </row>
    <row r="69" spans="1:19" ht="12.75" customHeight="1">
      <c r="A69" s="170"/>
      <c r="B69" s="186"/>
      <c r="C69" s="186"/>
      <c r="D69" s="186"/>
      <c r="E69" s="186"/>
      <c r="F69" s="197"/>
      <c r="G69" s="187"/>
      <c r="H69" s="187"/>
      <c r="I69" s="188"/>
      <c r="J69" s="187"/>
      <c r="K69" s="170"/>
      <c r="L69" s="186"/>
      <c r="M69" s="186"/>
      <c r="N69" s="186"/>
      <c r="O69" s="186"/>
      <c r="P69" s="197"/>
      <c r="Q69" s="187"/>
      <c r="R69" s="187"/>
      <c r="S69" s="188"/>
    </row>
    <row r="70" spans="1:19" ht="12.75" customHeight="1">
      <c r="A70" s="170"/>
      <c r="B70" s="203" t="s">
        <v>215</v>
      </c>
      <c r="C70" s="186"/>
      <c r="D70" s="186"/>
      <c r="E70" s="186"/>
      <c r="F70" s="197"/>
      <c r="G70" s="297" t="s">
        <v>216</v>
      </c>
      <c r="H70" s="297"/>
      <c r="I70" s="188"/>
      <c r="J70" s="187"/>
      <c r="K70" s="170"/>
      <c r="L70" s="203" t="s">
        <v>215</v>
      </c>
      <c r="M70" s="186"/>
      <c r="N70" s="186"/>
      <c r="O70" s="186"/>
      <c r="P70" s="197"/>
      <c r="Q70" s="297" t="s">
        <v>216</v>
      </c>
      <c r="R70" s="297"/>
      <c r="S70" s="188"/>
    </row>
    <row r="71" spans="1:19" ht="7.5" customHeight="1">
      <c r="A71" s="204"/>
      <c r="B71" s="205"/>
      <c r="C71" s="206"/>
      <c r="D71" s="206"/>
      <c r="E71" s="206"/>
      <c r="F71" s="231"/>
      <c r="G71" s="207"/>
      <c r="H71" s="205"/>
      <c r="I71" s="208"/>
      <c r="J71" s="187"/>
      <c r="K71" s="204"/>
      <c r="L71" s="205"/>
      <c r="M71" s="206"/>
      <c r="N71" s="206"/>
      <c r="O71" s="206"/>
      <c r="P71" s="231"/>
      <c r="Q71" s="207"/>
      <c r="R71" s="205"/>
      <c r="S71" s="208"/>
    </row>
    <row r="74" spans="1:19">
      <c r="A74" s="166"/>
      <c r="B74" s="167"/>
      <c r="C74" s="167"/>
      <c r="D74" s="167"/>
      <c r="E74" s="167"/>
      <c r="F74" s="223"/>
      <c r="G74" s="167"/>
      <c r="H74" s="167"/>
      <c r="I74" s="168"/>
      <c r="J74" s="169"/>
      <c r="K74" s="166"/>
      <c r="L74" s="167"/>
      <c r="M74" s="167"/>
      <c r="N74" s="167"/>
      <c r="O74" s="167"/>
      <c r="P74" s="223"/>
      <c r="Q74" s="167"/>
      <c r="R74" s="167"/>
      <c r="S74" s="168"/>
    </row>
    <row r="75" spans="1:19">
      <c r="A75" s="170"/>
      <c r="B75" s="169"/>
      <c r="C75" s="169"/>
      <c r="D75" s="169"/>
      <c r="E75" s="169"/>
      <c r="F75" s="224"/>
      <c r="G75" s="169"/>
      <c r="H75" s="169"/>
      <c r="I75" s="171"/>
      <c r="J75" s="169"/>
      <c r="K75" s="170"/>
      <c r="L75" s="169"/>
      <c r="M75" s="169"/>
      <c r="N75" s="169"/>
      <c r="O75" s="169"/>
      <c r="P75" s="224"/>
      <c r="Q75" s="169"/>
      <c r="R75" s="169"/>
      <c r="S75" s="171"/>
    </row>
    <row r="76" spans="1:19">
      <c r="A76" s="170"/>
      <c r="B76" s="169"/>
      <c r="C76" s="169"/>
      <c r="D76" s="169"/>
      <c r="E76" s="169"/>
      <c r="F76" s="224"/>
      <c r="G76" s="169"/>
      <c r="H76" s="169"/>
      <c r="I76" s="171"/>
      <c r="J76" s="169"/>
      <c r="K76" s="170"/>
      <c r="L76" s="169"/>
      <c r="M76" s="169"/>
      <c r="N76" s="169"/>
      <c r="O76" s="169"/>
      <c r="P76" s="224"/>
      <c r="Q76" s="169"/>
      <c r="R76" s="169"/>
      <c r="S76" s="171"/>
    </row>
    <row r="77" spans="1:19">
      <c r="A77" s="170"/>
      <c r="B77" s="294" t="s">
        <v>196</v>
      </c>
      <c r="C77" s="294"/>
      <c r="D77" s="294"/>
      <c r="E77" s="294"/>
      <c r="F77" s="294"/>
      <c r="G77" s="294"/>
      <c r="H77" s="294"/>
      <c r="I77" s="295"/>
      <c r="J77" s="169"/>
      <c r="K77" s="170"/>
      <c r="L77" s="294" t="s">
        <v>196</v>
      </c>
      <c r="M77" s="294"/>
      <c r="N77" s="294"/>
      <c r="O77" s="294"/>
      <c r="P77" s="294"/>
      <c r="Q77" s="294"/>
      <c r="R77" s="294"/>
      <c r="S77" s="295"/>
    </row>
    <row r="78" spans="1:19">
      <c r="A78" s="172"/>
      <c r="B78" s="173" t="s">
        <v>197</v>
      </c>
      <c r="C78" s="174" t="s">
        <v>198</v>
      </c>
      <c r="D78" s="211">
        <v>5</v>
      </c>
      <c r="E78" s="173"/>
      <c r="F78" s="225"/>
      <c r="G78" s="173"/>
      <c r="H78" s="173"/>
      <c r="I78" s="176"/>
      <c r="J78" s="173"/>
      <c r="K78" s="172"/>
      <c r="L78" s="173" t="s">
        <v>197</v>
      </c>
      <c r="M78" s="174" t="s">
        <v>198</v>
      </c>
      <c r="N78" s="211">
        <v>6</v>
      </c>
      <c r="O78" s="175"/>
      <c r="P78" s="225"/>
      <c r="Q78" s="173"/>
      <c r="R78" s="173"/>
      <c r="S78" s="176"/>
    </row>
    <row r="79" spans="1:19">
      <c r="A79" s="172"/>
      <c r="B79" s="173" t="s">
        <v>199</v>
      </c>
      <c r="C79" s="174" t="s">
        <v>198</v>
      </c>
      <c r="D79" s="177" t="s">
        <v>229</v>
      </c>
      <c r="E79" s="173"/>
      <c r="F79" s="225"/>
      <c r="G79" s="173"/>
      <c r="H79" s="173"/>
      <c r="I79" s="176"/>
      <c r="J79" s="173"/>
      <c r="K79" s="172"/>
      <c r="L79" s="173" t="s">
        <v>199</v>
      </c>
      <c r="M79" s="174" t="s">
        <v>198</v>
      </c>
      <c r="N79" s="177" t="s">
        <v>229</v>
      </c>
      <c r="O79" s="179"/>
      <c r="P79" s="225"/>
      <c r="Q79" s="173"/>
      <c r="R79" s="173"/>
      <c r="S79" s="176"/>
    </row>
    <row r="80" spans="1:19">
      <c r="A80" s="172"/>
      <c r="B80" s="173" t="s">
        <v>200</v>
      </c>
      <c r="C80" s="174" t="s">
        <v>198</v>
      </c>
      <c r="D80" s="177" t="str">
        <f>+'PRODUKSI 2'!B12</f>
        <v>SUHENDAR PERMANA</v>
      </c>
      <c r="E80" s="173"/>
      <c r="F80" s="225"/>
      <c r="G80" s="173"/>
      <c r="H80" s="173"/>
      <c r="I80" s="176"/>
      <c r="J80" s="173"/>
      <c r="K80" s="172"/>
      <c r="L80" s="173" t="s">
        <v>200</v>
      </c>
      <c r="M80" s="174" t="s">
        <v>198</v>
      </c>
      <c r="N80" s="178" t="str">
        <f>+'PRODUKSI 2'!B13</f>
        <v>ADRIAN OKTAVIANSYAH</v>
      </c>
      <c r="O80" s="173"/>
      <c r="P80" s="225"/>
      <c r="Q80" s="173"/>
      <c r="R80" s="173"/>
      <c r="S80" s="176"/>
    </row>
    <row r="81" spans="1:20" ht="15.75" thickBot="1">
      <c r="A81" s="172"/>
      <c r="B81" s="173" t="s">
        <v>201</v>
      </c>
      <c r="C81" s="174" t="s">
        <v>198</v>
      </c>
      <c r="D81" s="177" t="str">
        <f>+'PRODUKSI 2'!C12</f>
        <v xml:space="preserve">SLOTER </v>
      </c>
      <c r="E81" s="173"/>
      <c r="F81" s="225"/>
      <c r="G81" s="173"/>
      <c r="H81" s="173"/>
      <c r="I81" s="176"/>
      <c r="J81" s="173"/>
      <c r="K81" s="172"/>
      <c r="L81" s="173" t="s">
        <v>201</v>
      </c>
      <c r="M81" s="174" t="s">
        <v>198</v>
      </c>
      <c r="N81" s="178" t="str">
        <f>+'PRODUKSI 2'!C13</f>
        <v>DELIVERY</v>
      </c>
      <c r="O81" s="179"/>
      <c r="P81" s="225"/>
      <c r="Q81" s="173"/>
      <c r="R81" s="173"/>
      <c r="S81" s="176"/>
    </row>
    <row r="82" spans="1:20" ht="10.5" customHeight="1" thickTop="1">
      <c r="A82" s="170"/>
      <c r="B82" s="182"/>
      <c r="C82" s="182"/>
      <c r="D82" s="182"/>
      <c r="E82" s="182"/>
      <c r="F82" s="182"/>
      <c r="G82" s="182"/>
      <c r="H82" s="182"/>
      <c r="I82" s="183"/>
      <c r="J82" s="169"/>
      <c r="K82" s="170"/>
      <c r="L82" s="182"/>
      <c r="M82" s="182"/>
      <c r="N82" s="182"/>
      <c r="O82" s="182"/>
      <c r="P82" s="182"/>
      <c r="Q82" s="182"/>
      <c r="R82" s="182"/>
      <c r="S82" s="183"/>
    </row>
    <row r="83" spans="1:20">
      <c r="A83" s="170"/>
      <c r="B83" s="184" t="s">
        <v>202</v>
      </c>
      <c r="C83" s="185"/>
      <c r="D83" s="185"/>
      <c r="E83" s="185"/>
      <c r="F83" s="227"/>
      <c r="G83" s="185"/>
      <c r="H83" s="185"/>
      <c r="I83" s="183"/>
      <c r="J83" s="169"/>
      <c r="K83" s="170"/>
      <c r="L83" s="184" t="s">
        <v>202</v>
      </c>
      <c r="M83" s="184"/>
      <c r="N83" s="185"/>
      <c r="O83" s="185"/>
      <c r="P83" s="227"/>
      <c r="Q83" s="185"/>
      <c r="R83" s="185"/>
      <c r="S83" s="183"/>
    </row>
    <row r="84" spans="1:20" ht="14.25" customHeight="1">
      <c r="A84" s="170"/>
      <c r="B84" s="186" t="s">
        <v>111</v>
      </c>
      <c r="C84" s="186"/>
      <c r="D84" s="186"/>
      <c r="E84" s="186"/>
      <c r="F84" s="197"/>
      <c r="G84" s="187"/>
      <c r="H84" s="187">
        <f>+'PRODUKSI 2'!H12</f>
        <v>4494855</v>
      </c>
      <c r="I84" s="188"/>
      <c r="J84" s="187"/>
      <c r="K84" s="170"/>
      <c r="L84" s="186" t="s">
        <v>111</v>
      </c>
      <c r="M84" s="186"/>
      <c r="N84" s="186"/>
      <c r="O84" s="186"/>
      <c r="P84" s="197"/>
      <c r="Q84" s="187"/>
      <c r="R84" s="187">
        <f>+'PRODUKSI 2'!H13</f>
        <v>4494855</v>
      </c>
      <c r="S84" s="188"/>
    </row>
    <row r="85" spans="1:20" ht="14.25" customHeight="1">
      <c r="A85" s="170"/>
      <c r="B85" s="186" t="s">
        <v>203</v>
      </c>
      <c r="C85" s="186"/>
      <c r="D85" s="186"/>
      <c r="E85" s="186"/>
      <c r="F85" s="197"/>
      <c r="G85" s="187"/>
      <c r="H85" s="187">
        <f>+'PRODUKSI 2'!I12</f>
        <v>80000</v>
      </c>
      <c r="I85" s="188"/>
      <c r="J85" s="209"/>
      <c r="K85" s="170"/>
      <c r="L85" s="186" t="s">
        <v>203</v>
      </c>
      <c r="M85" s="186"/>
      <c r="N85" s="186"/>
      <c r="O85" s="186"/>
      <c r="P85" s="197"/>
      <c r="Q85" s="187"/>
      <c r="R85" s="187">
        <f>+'PRODUKSI 2'!I13</f>
        <v>0</v>
      </c>
      <c r="S85" s="188"/>
    </row>
    <row r="86" spans="1:20" ht="14.25" customHeight="1">
      <c r="A86" s="170"/>
      <c r="B86" s="186" t="s">
        <v>227</v>
      </c>
      <c r="C86" s="186"/>
      <c r="D86" s="186"/>
      <c r="E86" s="186"/>
      <c r="F86" s="197"/>
      <c r="G86" s="187"/>
      <c r="H86" s="187">
        <f>+'PRODUKSI 2'!J12</f>
        <v>50000</v>
      </c>
      <c r="I86" s="188"/>
      <c r="J86" s="209"/>
      <c r="K86" s="170"/>
      <c r="L86" s="186" t="s">
        <v>227</v>
      </c>
      <c r="M86" s="186"/>
      <c r="N86" s="186"/>
      <c r="O86" s="186"/>
      <c r="P86" s="197"/>
      <c r="Q86" s="187"/>
      <c r="R86" s="187">
        <f>+'PRODUKSI 2'!J13</f>
        <v>0</v>
      </c>
      <c r="S86" s="188"/>
    </row>
    <row r="87" spans="1:20" ht="14.25" customHeight="1">
      <c r="A87" s="170"/>
      <c r="B87" s="186" t="s">
        <v>228</v>
      </c>
      <c r="C87" s="186"/>
      <c r="D87" s="186"/>
      <c r="E87" s="186"/>
      <c r="F87" s="197"/>
      <c r="G87" s="187"/>
      <c r="H87" s="187">
        <f>+'PRODUKSI 2'!K12</f>
        <v>0</v>
      </c>
      <c r="I87" s="188"/>
      <c r="J87" s="209"/>
      <c r="K87" s="170"/>
      <c r="L87" s="186" t="s">
        <v>228</v>
      </c>
      <c r="M87" s="186"/>
      <c r="N87" s="186"/>
      <c r="O87" s="186"/>
      <c r="P87" s="197"/>
      <c r="Q87" s="187"/>
      <c r="R87" s="187">
        <f>+'PRODUKSI 2'!K13</f>
        <v>0</v>
      </c>
      <c r="S87" s="188"/>
    </row>
    <row r="88" spans="1:20" ht="14.25" customHeight="1">
      <c r="A88" s="170"/>
      <c r="B88" s="186" t="s">
        <v>224</v>
      </c>
      <c r="C88" s="186"/>
      <c r="D88" s="186"/>
      <c r="E88" s="186"/>
      <c r="F88" s="197"/>
      <c r="G88" s="187"/>
      <c r="H88" s="187">
        <f>+'PRODUKSI 2'!AB12</f>
        <v>448215.69090000005</v>
      </c>
      <c r="I88" s="188"/>
      <c r="J88" s="209"/>
      <c r="K88" s="170"/>
      <c r="L88" s="186" t="s">
        <v>224</v>
      </c>
      <c r="M88" s="186"/>
      <c r="N88" s="186"/>
      <c r="O88" s="186"/>
      <c r="P88" s="197"/>
      <c r="Q88" s="187"/>
      <c r="R88" s="187">
        <f>+'PRODUKSI 2'!AB13</f>
        <v>448215.69090000005</v>
      </c>
      <c r="S88" s="188"/>
    </row>
    <row r="89" spans="1:20" ht="14.25" customHeight="1">
      <c r="A89" s="170"/>
      <c r="B89" s="186" t="s">
        <v>195</v>
      </c>
      <c r="C89" s="186"/>
      <c r="D89" s="187"/>
      <c r="E89" s="186"/>
      <c r="F89" s="197"/>
      <c r="G89" s="187"/>
      <c r="H89" s="187">
        <f>+'PRODUKSI 2'!U12</f>
        <v>96000</v>
      </c>
      <c r="I89" s="188"/>
      <c r="J89" s="187"/>
      <c r="K89" s="170"/>
      <c r="L89" s="186" t="s">
        <v>195</v>
      </c>
      <c r="M89" s="186"/>
      <c r="N89" s="187"/>
      <c r="O89" s="186"/>
      <c r="P89" s="197"/>
      <c r="Q89" s="187"/>
      <c r="R89" s="187">
        <f>+'PRODUKSI 2'!U13</f>
        <v>76000</v>
      </c>
      <c r="S89" s="188"/>
    </row>
    <row r="90" spans="1:20" ht="14.25" customHeight="1">
      <c r="A90" s="170"/>
      <c r="B90" s="220" t="s">
        <v>233</v>
      </c>
      <c r="C90" s="186"/>
      <c r="D90" s="187"/>
      <c r="E90" s="186"/>
      <c r="F90" s="197"/>
      <c r="G90" s="187"/>
      <c r="H90" s="187"/>
      <c r="I90" s="188"/>
      <c r="J90" s="209"/>
      <c r="K90" s="170"/>
      <c r="L90" s="220" t="s">
        <v>233</v>
      </c>
      <c r="M90" s="186"/>
      <c r="N90" s="187"/>
      <c r="O90" s="186"/>
      <c r="P90" s="197"/>
      <c r="Q90" s="187"/>
      <c r="R90" s="187"/>
      <c r="S90" s="188"/>
      <c r="T90" s="218"/>
    </row>
    <row r="91" spans="1:20" ht="14.25" customHeight="1">
      <c r="A91" s="170"/>
      <c r="B91" s="186" t="s">
        <v>206</v>
      </c>
      <c r="C91" s="186"/>
      <c r="D91" s="212">
        <v>0</v>
      </c>
      <c r="E91" s="186" t="s">
        <v>207</v>
      </c>
      <c r="F91" s="197" t="s">
        <v>205</v>
      </c>
      <c r="G91" s="187">
        <v>23768</v>
      </c>
      <c r="H91" s="187">
        <f>G91*D91</f>
        <v>0</v>
      </c>
      <c r="I91" s="188"/>
      <c r="J91" s="187"/>
      <c r="K91" s="170"/>
      <c r="L91" s="186" t="s">
        <v>206</v>
      </c>
      <c r="M91" s="186"/>
      <c r="N91" s="212">
        <v>0</v>
      </c>
      <c r="O91" s="186" t="s">
        <v>207</v>
      </c>
      <c r="P91" s="197" t="s">
        <v>205</v>
      </c>
      <c r="Q91" s="187">
        <v>23768</v>
      </c>
      <c r="R91" s="187">
        <f>Q91*N91</f>
        <v>0</v>
      </c>
      <c r="S91" s="188"/>
    </row>
    <row r="92" spans="1:20" ht="14.25" customHeight="1" thickBot="1">
      <c r="A92" s="170"/>
      <c r="B92" s="190" t="s">
        <v>208</v>
      </c>
      <c r="C92" s="190"/>
      <c r="D92" s="213">
        <v>0</v>
      </c>
      <c r="E92" s="190" t="s">
        <v>207</v>
      </c>
      <c r="F92" s="228" t="s">
        <v>205</v>
      </c>
      <c r="G92" s="192">
        <f>G91</f>
        <v>23768</v>
      </c>
      <c r="H92" s="192">
        <f>G92*D92</f>
        <v>0</v>
      </c>
      <c r="I92" s="188"/>
      <c r="J92" s="187"/>
      <c r="K92" s="170"/>
      <c r="L92" s="190" t="s">
        <v>208</v>
      </c>
      <c r="M92" s="190"/>
      <c r="N92" s="213">
        <v>70.5</v>
      </c>
      <c r="O92" s="190" t="s">
        <v>207</v>
      </c>
      <c r="P92" s="228" t="s">
        <v>205</v>
      </c>
      <c r="Q92" s="192">
        <f>Q91</f>
        <v>23768</v>
      </c>
      <c r="R92" s="192">
        <f>Q92*N92</f>
        <v>1675644</v>
      </c>
      <c r="S92" s="188"/>
    </row>
    <row r="93" spans="1:20" ht="15.75" thickBot="1">
      <c r="A93" s="170"/>
      <c r="B93" s="190" t="s">
        <v>219</v>
      </c>
      <c r="C93" s="190"/>
      <c r="D93" s="213">
        <f>SUM(D90:D92)</f>
        <v>0</v>
      </c>
      <c r="E93" s="190"/>
      <c r="F93" s="228"/>
      <c r="G93" s="192"/>
      <c r="H93" s="192">
        <f>SUM(H84:H92)</f>
        <v>5169070.6908999998</v>
      </c>
      <c r="I93" s="188"/>
      <c r="J93" s="187"/>
      <c r="K93" s="170"/>
      <c r="L93" s="190" t="s">
        <v>219</v>
      </c>
      <c r="M93" s="190"/>
      <c r="N93" s="213">
        <f>SUM(N90:N92)</f>
        <v>70.5</v>
      </c>
      <c r="O93" s="190"/>
      <c r="P93" s="228"/>
      <c r="Q93" s="192"/>
      <c r="R93" s="192">
        <f>SUM(R84:R92)</f>
        <v>6694714.6908999998</v>
      </c>
      <c r="S93" s="188"/>
    </row>
    <row r="94" spans="1:20">
      <c r="A94" s="170"/>
      <c r="B94" s="196" t="s">
        <v>113</v>
      </c>
      <c r="C94" s="186"/>
      <c r="D94" s="186"/>
      <c r="E94" s="186"/>
      <c r="F94" s="197"/>
      <c r="G94" s="187"/>
      <c r="H94" s="187"/>
      <c r="I94" s="188"/>
      <c r="J94" s="209"/>
      <c r="K94" s="170"/>
      <c r="L94" s="196" t="s">
        <v>113</v>
      </c>
      <c r="M94" s="186"/>
      <c r="N94" s="186"/>
      <c r="O94" s="186"/>
      <c r="P94" s="197"/>
      <c r="Q94" s="187"/>
      <c r="R94" s="187"/>
      <c r="S94" s="188"/>
    </row>
    <row r="95" spans="1:20" ht="14.25" customHeight="1">
      <c r="A95" s="170"/>
      <c r="B95" s="186" t="s">
        <v>209</v>
      </c>
      <c r="C95" s="186"/>
      <c r="D95" s="197"/>
      <c r="E95" s="186"/>
      <c r="F95" s="197"/>
      <c r="G95" s="198" t="str">
        <f>+'PRODUKSI 2'!D12</f>
        <v>K</v>
      </c>
      <c r="H95" s="187">
        <f>+'PRODUKSI 2'!AI12</f>
        <v>0</v>
      </c>
      <c r="I95" s="188"/>
      <c r="J95" s="209"/>
      <c r="K95" s="170"/>
      <c r="L95" s="186" t="s">
        <v>209</v>
      </c>
      <c r="M95" s="186"/>
      <c r="N95" s="198"/>
      <c r="O95" s="186"/>
      <c r="P95" s="197"/>
      <c r="Q95" s="198" t="str">
        <f>+'PRODUKSI 2'!D13</f>
        <v>K1</v>
      </c>
      <c r="R95" s="187">
        <f>+'PRODUKSI 2'!AI13</f>
        <v>0</v>
      </c>
      <c r="S95" s="188"/>
    </row>
    <row r="96" spans="1:20" ht="14.25" customHeight="1">
      <c r="A96" s="170"/>
      <c r="B96" s="186" t="s">
        <v>225</v>
      </c>
      <c r="C96" s="186"/>
      <c r="D96" s="197"/>
      <c r="E96" s="186"/>
      <c r="F96" s="197"/>
      <c r="G96" s="198"/>
      <c r="H96" s="187">
        <f>+'PRODUKSI 2'!AF12+'PRODUKSI 2'!AG12</f>
        <v>97544.22</v>
      </c>
      <c r="I96" s="188"/>
      <c r="J96" s="209"/>
      <c r="K96" s="170"/>
      <c r="L96" s="186" t="s">
        <v>225</v>
      </c>
      <c r="M96" s="186"/>
      <c r="N96" s="198"/>
      <c r="O96" s="186"/>
      <c r="P96" s="197"/>
      <c r="Q96" s="198"/>
      <c r="R96" s="187">
        <f>+'PRODUKSI 2'!AF13+'PRODUKSI 2'!AG13</f>
        <v>48772.11</v>
      </c>
      <c r="S96" s="188"/>
    </row>
    <row r="97" spans="1:19" ht="14.25" customHeight="1">
      <c r="A97" s="170"/>
      <c r="B97" s="186" t="s">
        <v>226</v>
      </c>
      <c r="C97" s="186"/>
      <c r="D97" s="197"/>
      <c r="E97" s="186"/>
      <c r="F97" s="197"/>
      <c r="G97" s="198"/>
      <c r="H97" s="187">
        <f>+'PRODUKSI 2'!AD12+'PRODUKSI 2'!AE12</f>
        <v>146316.33000000002</v>
      </c>
      <c r="I97" s="188"/>
      <c r="J97" s="209"/>
      <c r="K97" s="170"/>
      <c r="L97" s="186" t="s">
        <v>226</v>
      </c>
      <c r="M97" s="186"/>
      <c r="N97" s="198"/>
      <c r="O97" s="186"/>
      <c r="P97" s="197"/>
      <c r="Q97" s="198"/>
      <c r="R97" s="187">
        <f>+'PRODUKSI 2'!AD13+'PRODUKSI 2'!AE13</f>
        <v>146316.33000000002</v>
      </c>
      <c r="S97" s="188"/>
    </row>
    <row r="98" spans="1:19" ht="14.25" customHeight="1">
      <c r="A98" s="170"/>
      <c r="B98" s="186" t="s">
        <v>103</v>
      </c>
      <c r="C98" s="186"/>
      <c r="D98" s="186"/>
      <c r="E98" s="186"/>
      <c r="F98" s="197"/>
      <c r="G98" s="198"/>
      <c r="H98" s="187">
        <f>+H88</f>
        <v>448215.69090000005</v>
      </c>
      <c r="I98" s="188"/>
      <c r="J98" s="209"/>
      <c r="K98" s="170"/>
      <c r="L98" s="186" t="s">
        <v>103</v>
      </c>
      <c r="M98" s="186"/>
      <c r="N98" s="186"/>
      <c r="O98" s="186"/>
      <c r="P98" s="197"/>
      <c r="Q98" s="187"/>
      <c r="R98" s="187">
        <f>+R88</f>
        <v>448215.69090000005</v>
      </c>
      <c r="S98" s="188"/>
    </row>
    <row r="99" spans="1:19" ht="14.25" customHeight="1" thickBot="1">
      <c r="A99" s="170"/>
      <c r="B99" s="190" t="s">
        <v>211</v>
      </c>
      <c r="C99" s="190"/>
      <c r="D99" s="190"/>
      <c r="E99" s="190"/>
      <c r="F99" s="228"/>
      <c r="G99" s="192"/>
      <c r="H99" s="192">
        <f>SUM(H95:H98)</f>
        <v>692076.24090000009</v>
      </c>
      <c r="I99" s="188"/>
      <c r="J99" s="209"/>
      <c r="K99" s="170"/>
      <c r="L99" s="190" t="s">
        <v>211</v>
      </c>
      <c r="M99" s="190"/>
      <c r="N99" s="190"/>
      <c r="O99" s="190"/>
      <c r="P99" s="228"/>
      <c r="Q99" s="192"/>
      <c r="R99" s="192">
        <f>SUM(R95:R98)</f>
        <v>643304.13089999999</v>
      </c>
      <c r="S99" s="188"/>
    </row>
    <row r="100" spans="1:19" ht="15.75" thickBot="1">
      <c r="A100" s="170"/>
      <c r="B100" s="193" t="s">
        <v>220</v>
      </c>
      <c r="C100" s="193"/>
      <c r="D100" s="193"/>
      <c r="E100" s="193"/>
      <c r="F100" s="229"/>
      <c r="G100" s="195"/>
      <c r="H100" s="195">
        <f>H93-H99</f>
        <v>4476994.4499999993</v>
      </c>
      <c r="I100" s="188"/>
      <c r="J100" s="209"/>
      <c r="K100" s="170"/>
      <c r="L100" s="193" t="s">
        <v>220</v>
      </c>
      <c r="M100" s="193"/>
      <c r="N100" s="193"/>
      <c r="O100" s="193"/>
      <c r="P100" s="229"/>
      <c r="Q100" s="195"/>
      <c r="R100" s="195">
        <f>SUM(R93-R99)</f>
        <v>6051410.5599999996</v>
      </c>
      <c r="S100" s="188"/>
    </row>
    <row r="101" spans="1:19">
      <c r="A101" s="170"/>
      <c r="B101" s="186" t="s">
        <v>230</v>
      </c>
      <c r="C101" s="186"/>
      <c r="D101" s="186"/>
      <c r="E101" s="186"/>
      <c r="F101" s="197"/>
      <c r="G101" s="187"/>
      <c r="H101" s="187">
        <v>10000</v>
      </c>
      <c r="I101" s="188"/>
      <c r="J101" s="209"/>
      <c r="K101" s="170"/>
      <c r="L101" s="186" t="s">
        <v>221</v>
      </c>
      <c r="M101" s="186"/>
      <c r="N101" s="186"/>
      <c r="O101" s="186"/>
      <c r="P101" s="197"/>
      <c r="Q101" s="187"/>
      <c r="R101" s="187">
        <v>10000</v>
      </c>
      <c r="S101" s="188"/>
    </row>
    <row r="102" spans="1:19" ht="10.5" customHeight="1" thickBot="1">
      <c r="A102" s="170"/>
      <c r="B102" s="199"/>
      <c r="C102" s="190"/>
      <c r="D102" s="190"/>
      <c r="E102" s="190"/>
      <c r="F102" s="228"/>
      <c r="G102" s="192"/>
      <c r="H102" s="192"/>
      <c r="I102" s="188"/>
      <c r="J102" s="187"/>
      <c r="K102" s="170"/>
      <c r="L102" s="199"/>
      <c r="M102" s="190"/>
      <c r="N102" s="190"/>
      <c r="O102" s="190"/>
      <c r="P102" s="228"/>
      <c r="Q102" s="192"/>
      <c r="R102" s="192"/>
      <c r="S102" s="188"/>
    </row>
    <row r="103" spans="1:19" ht="15.75" thickBot="1">
      <c r="A103" s="170"/>
      <c r="B103" s="200" t="s">
        <v>212</v>
      </c>
      <c r="C103" s="200"/>
      <c r="D103" s="200"/>
      <c r="E103" s="200"/>
      <c r="F103" s="230"/>
      <c r="G103" s="201"/>
      <c r="H103" s="201">
        <f>SUM(H100-H101)</f>
        <v>4466994.4499999993</v>
      </c>
      <c r="I103" s="188"/>
      <c r="J103" s="187"/>
      <c r="K103" s="170"/>
      <c r="L103" s="200" t="s">
        <v>212</v>
      </c>
      <c r="M103" s="200"/>
      <c r="N103" s="200"/>
      <c r="O103" s="200"/>
      <c r="P103" s="230"/>
      <c r="Q103" s="201"/>
      <c r="R103" s="201">
        <f>SUM(R100-R101)</f>
        <v>6041410.5599999996</v>
      </c>
      <c r="S103" s="188"/>
    </row>
    <row r="104" spans="1:19" ht="15.75" thickTop="1">
      <c r="A104" s="170"/>
      <c r="B104" s="202" t="s">
        <v>213</v>
      </c>
      <c r="C104" s="186"/>
      <c r="D104" s="186"/>
      <c r="E104" s="186"/>
      <c r="F104" s="197"/>
      <c r="G104" s="296" t="s">
        <v>214</v>
      </c>
      <c r="H104" s="296"/>
      <c r="I104" s="188"/>
      <c r="J104" s="187"/>
      <c r="K104" s="170"/>
      <c r="L104" s="202" t="s">
        <v>213</v>
      </c>
      <c r="M104" s="186"/>
      <c r="N104" s="186"/>
      <c r="O104" s="186"/>
      <c r="P104" s="197"/>
      <c r="Q104" s="296" t="s">
        <v>214</v>
      </c>
      <c r="R104" s="296"/>
      <c r="S104" s="188"/>
    </row>
    <row r="105" spans="1:19" ht="12.75" customHeight="1">
      <c r="A105" s="170"/>
      <c r="B105" s="186"/>
      <c r="C105" s="186"/>
      <c r="D105" s="186"/>
      <c r="E105" s="186"/>
      <c r="F105" s="197"/>
      <c r="G105" s="187"/>
      <c r="H105" s="187"/>
      <c r="I105" s="188"/>
      <c r="J105" s="187"/>
      <c r="K105" s="170"/>
      <c r="L105" s="186"/>
      <c r="M105" s="186"/>
      <c r="N105" s="186"/>
      <c r="O105" s="186"/>
      <c r="P105" s="197"/>
      <c r="Q105" s="187"/>
      <c r="R105" s="187"/>
      <c r="S105" s="188"/>
    </row>
    <row r="106" spans="1:19" ht="12.75" customHeight="1">
      <c r="A106" s="170"/>
      <c r="B106" s="186"/>
      <c r="C106" s="186"/>
      <c r="D106" s="186"/>
      <c r="E106" s="186"/>
      <c r="F106" s="197"/>
      <c r="G106" s="187"/>
      <c r="H106" s="187"/>
      <c r="I106" s="188"/>
      <c r="J106" s="187"/>
      <c r="K106" s="170"/>
      <c r="L106" s="186"/>
      <c r="M106" s="186"/>
      <c r="N106" s="186"/>
      <c r="O106" s="186"/>
      <c r="P106" s="197"/>
      <c r="Q106" s="187"/>
      <c r="R106" s="187"/>
      <c r="S106" s="188"/>
    </row>
    <row r="107" spans="1:19" ht="12.75" customHeight="1">
      <c r="A107" s="170"/>
      <c r="B107" s="203" t="s">
        <v>215</v>
      </c>
      <c r="C107" s="186"/>
      <c r="D107" s="186"/>
      <c r="E107" s="186"/>
      <c r="F107" s="197"/>
      <c r="G107" s="297" t="s">
        <v>216</v>
      </c>
      <c r="H107" s="297"/>
      <c r="I107" s="188"/>
      <c r="J107" s="187"/>
      <c r="K107" s="170"/>
      <c r="L107" s="203" t="s">
        <v>215</v>
      </c>
      <c r="M107" s="186"/>
      <c r="N107" s="186"/>
      <c r="O107" s="186"/>
      <c r="P107" s="197"/>
      <c r="Q107" s="297" t="s">
        <v>216</v>
      </c>
      <c r="R107" s="297"/>
      <c r="S107" s="188"/>
    </row>
    <row r="108" spans="1:19" ht="7.5" customHeight="1">
      <c r="A108" s="204"/>
      <c r="B108" s="205"/>
      <c r="C108" s="206"/>
      <c r="D108" s="206"/>
      <c r="E108" s="206"/>
      <c r="F108" s="231"/>
      <c r="G108" s="207"/>
      <c r="H108" s="205"/>
      <c r="I108" s="208"/>
      <c r="J108" s="187"/>
      <c r="K108" s="204"/>
      <c r="L108" s="205"/>
      <c r="M108" s="206"/>
      <c r="N108" s="206"/>
      <c r="O108" s="206"/>
      <c r="P108" s="231"/>
      <c r="Q108" s="207"/>
      <c r="R108" s="205"/>
      <c r="S108" s="208"/>
    </row>
    <row r="110" spans="1:19">
      <c r="A110" s="166"/>
      <c r="B110" s="167"/>
      <c r="C110" s="167"/>
      <c r="D110" s="167"/>
      <c r="E110" s="167"/>
      <c r="F110" s="223"/>
      <c r="G110" s="167"/>
      <c r="H110" s="167"/>
      <c r="I110" s="168"/>
      <c r="J110" s="169"/>
      <c r="K110" s="166"/>
      <c r="L110" s="167"/>
      <c r="M110" s="167"/>
      <c r="N110" s="167"/>
      <c r="O110" s="167"/>
      <c r="P110" s="223"/>
      <c r="Q110" s="167"/>
      <c r="R110" s="167"/>
      <c r="S110" s="168"/>
    </row>
    <row r="111" spans="1:19">
      <c r="A111" s="170"/>
      <c r="B111" s="169"/>
      <c r="C111" s="169"/>
      <c r="D111" s="169"/>
      <c r="E111" s="169"/>
      <c r="F111" s="224"/>
      <c r="G111" s="169"/>
      <c r="H111" s="169"/>
      <c r="I111" s="171"/>
      <c r="J111" s="169"/>
      <c r="K111" s="170"/>
      <c r="L111" s="169"/>
      <c r="M111" s="169"/>
      <c r="N111" s="169"/>
      <c r="O111" s="169"/>
      <c r="P111" s="224"/>
      <c r="Q111" s="169"/>
      <c r="R111" s="169"/>
      <c r="S111" s="171"/>
    </row>
    <row r="112" spans="1:19">
      <c r="A112" s="170"/>
      <c r="B112" s="169"/>
      <c r="C112" s="169"/>
      <c r="D112" s="169"/>
      <c r="E112" s="169"/>
      <c r="F112" s="224"/>
      <c r="G112" s="169"/>
      <c r="H112" s="169"/>
      <c r="I112" s="171"/>
      <c r="J112" s="169"/>
      <c r="K112" s="170"/>
      <c r="L112" s="169"/>
      <c r="M112" s="169"/>
      <c r="N112" s="169"/>
      <c r="O112" s="169"/>
      <c r="P112" s="224"/>
      <c r="Q112" s="169"/>
      <c r="R112" s="169"/>
      <c r="S112" s="171"/>
    </row>
    <row r="113" spans="1:20">
      <c r="A113" s="170"/>
      <c r="B113" s="294" t="s">
        <v>196</v>
      </c>
      <c r="C113" s="294"/>
      <c r="D113" s="294"/>
      <c r="E113" s="294"/>
      <c r="F113" s="294"/>
      <c r="G113" s="294"/>
      <c r="H113" s="294"/>
      <c r="I113" s="295"/>
      <c r="J113" s="169"/>
      <c r="K113" s="170"/>
      <c r="L113" s="294" t="s">
        <v>196</v>
      </c>
      <c r="M113" s="294"/>
      <c r="N113" s="294"/>
      <c r="O113" s="294"/>
      <c r="P113" s="294"/>
      <c r="Q113" s="294"/>
      <c r="R113" s="294"/>
      <c r="S113" s="295"/>
    </row>
    <row r="114" spans="1:20">
      <c r="A114" s="172"/>
      <c r="B114" s="173" t="s">
        <v>197</v>
      </c>
      <c r="C114" s="174" t="s">
        <v>198</v>
      </c>
      <c r="D114" s="211">
        <v>7</v>
      </c>
      <c r="E114" s="173"/>
      <c r="F114" s="225"/>
      <c r="G114" s="173"/>
      <c r="H114" s="173"/>
      <c r="I114" s="176"/>
      <c r="J114" s="173"/>
      <c r="K114" s="172"/>
      <c r="L114" s="173" t="s">
        <v>197</v>
      </c>
      <c r="M114" s="174" t="s">
        <v>198</v>
      </c>
      <c r="N114" s="211">
        <v>8</v>
      </c>
      <c r="O114" s="175"/>
      <c r="P114" s="225"/>
      <c r="Q114" s="173"/>
      <c r="R114" s="173"/>
      <c r="S114" s="176"/>
    </row>
    <row r="115" spans="1:20">
      <c r="A115" s="172"/>
      <c r="B115" s="173" t="s">
        <v>199</v>
      </c>
      <c r="C115" s="174" t="s">
        <v>198</v>
      </c>
      <c r="D115" s="177" t="s">
        <v>229</v>
      </c>
      <c r="E115" s="173"/>
      <c r="F115" s="225"/>
      <c r="G115" s="173"/>
      <c r="H115" s="173"/>
      <c r="I115" s="176"/>
      <c r="J115" s="173"/>
      <c r="K115" s="172"/>
      <c r="L115" s="173" t="s">
        <v>199</v>
      </c>
      <c r="M115" s="174" t="s">
        <v>198</v>
      </c>
      <c r="N115" s="177" t="s">
        <v>229</v>
      </c>
      <c r="O115" s="179"/>
      <c r="P115" s="225"/>
      <c r="Q115" s="173"/>
      <c r="R115" s="173"/>
      <c r="S115" s="176"/>
    </row>
    <row r="116" spans="1:20">
      <c r="A116" s="172"/>
      <c r="B116" s="173" t="s">
        <v>200</v>
      </c>
      <c r="C116" s="174" t="s">
        <v>198</v>
      </c>
      <c r="D116" s="177" t="str">
        <f>+'PRODUKSI 2'!B14</f>
        <v>SITI MARFUAH</v>
      </c>
      <c r="E116" s="173"/>
      <c r="F116" s="225"/>
      <c r="G116" s="173"/>
      <c r="H116" s="173"/>
      <c r="I116" s="176"/>
      <c r="J116" s="173"/>
      <c r="K116" s="172"/>
      <c r="L116" s="173" t="s">
        <v>200</v>
      </c>
      <c r="M116" s="174" t="s">
        <v>198</v>
      </c>
      <c r="N116" s="178" t="str">
        <f>+'PRODUKSI 2'!B15</f>
        <v>REJA RAMADANI</v>
      </c>
      <c r="O116" s="173"/>
      <c r="P116" s="225"/>
      <c r="Q116" s="173"/>
      <c r="R116" s="173"/>
      <c r="S116" s="176"/>
    </row>
    <row r="117" spans="1:20" ht="15.75" thickBot="1">
      <c r="A117" s="172"/>
      <c r="B117" s="173" t="s">
        <v>201</v>
      </c>
      <c r="C117" s="174" t="s">
        <v>198</v>
      </c>
      <c r="D117" s="177" t="str">
        <f>+'PRODUKSI 2'!C14</f>
        <v>C. SERVICE</v>
      </c>
      <c r="E117" s="173"/>
      <c r="F117" s="225"/>
      <c r="G117" s="173"/>
      <c r="H117" s="173"/>
      <c r="I117" s="176"/>
      <c r="J117" s="173"/>
      <c r="K117" s="172"/>
      <c r="L117" s="173" t="s">
        <v>201</v>
      </c>
      <c r="M117" s="174" t="s">
        <v>198</v>
      </c>
      <c r="N117" s="178" t="str">
        <f>+'PRODUKSI 2'!C15</f>
        <v>DELIVERY</v>
      </c>
      <c r="O117" s="179"/>
      <c r="P117" s="225"/>
      <c r="Q117" s="173"/>
      <c r="R117" s="173"/>
      <c r="S117" s="176"/>
    </row>
    <row r="118" spans="1:20" ht="10.5" customHeight="1" thickTop="1">
      <c r="A118" s="170"/>
      <c r="B118" s="182"/>
      <c r="C118" s="182"/>
      <c r="D118" s="182"/>
      <c r="E118" s="182"/>
      <c r="F118" s="182"/>
      <c r="G118" s="182"/>
      <c r="H118" s="182"/>
      <c r="I118" s="183"/>
      <c r="J118" s="169"/>
      <c r="K118" s="170"/>
      <c r="L118" s="182"/>
      <c r="M118" s="182"/>
      <c r="N118" s="182"/>
      <c r="O118" s="182"/>
      <c r="P118" s="182"/>
      <c r="Q118" s="182"/>
      <c r="R118" s="182"/>
      <c r="S118" s="183"/>
    </row>
    <row r="119" spans="1:20">
      <c r="A119" s="170"/>
      <c r="B119" s="184" t="s">
        <v>202</v>
      </c>
      <c r="C119" s="185"/>
      <c r="D119" s="185"/>
      <c r="E119" s="185"/>
      <c r="F119" s="227"/>
      <c r="G119" s="185"/>
      <c r="H119" s="185"/>
      <c r="I119" s="183"/>
      <c r="J119" s="169"/>
      <c r="K119" s="170"/>
      <c r="L119" s="184" t="s">
        <v>202</v>
      </c>
      <c r="M119" s="184"/>
      <c r="N119" s="185"/>
      <c r="O119" s="185"/>
      <c r="P119" s="227"/>
      <c r="Q119" s="185"/>
      <c r="R119" s="185"/>
      <c r="S119" s="183"/>
    </row>
    <row r="120" spans="1:20" ht="14.25" customHeight="1">
      <c r="A120" s="170"/>
      <c r="B120" s="186" t="s">
        <v>111</v>
      </c>
      <c r="C120" s="186"/>
      <c r="D120" s="186"/>
      <c r="E120" s="186"/>
      <c r="F120" s="197"/>
      <c r="G120" s="187"/>
      <c r="H120" s="187">
        <f>+'PRODUKSI 2'!H14</f>
        <v>4494855</v>
      </c>
      <c r="I120" s="188"/>
      <c r="J120" s="187"/>
      <c r="K120" s="170"/>
      <c r="L120" s="186" t="s">
        <v>111</v>
      </c>
      <c r="M120" s="186"/>
      <c r="N120" s="186"/>
      <c r="O120" s="186"/>
      <c r="P120" s="197"/>
      <c r="Q120" s="187"/>
      <c r="R120" s="187">
        <f>+'PRODUKSI 2'!H15</f>
        <v>4494855</v>
      </c>
      <c r="S120" s="188"/>
    </row>
    <row r="121" spans="1:20" ht="14.25" customHeight="1">
      <c r="A121" s="170"/>
      <c r="B121" s="186" t="s">
        <v>203</v>
      </c>
      <c r="C121" s="186"/>
      <c r="D121" s="186"/>
      <c r="E121" s="186"/>
      <c r="F121" s="197"/>
      <c r="G121" s="187"/>
      <c r="H121" s="187">
        <f>+'PRODUKSI 2'!I14</f>
        <v>0</v>
      </c>
      <c r="I121" s="188"/>
      <c r="J121" s="209"/>
      <c r="K121" s="170"/>
      <c r="L121" s="186" t="s">
        <v>203</v>
      </c>
      <c r="M121" s="186"/>
      <c r="N121" s="186"/>
      <c r="O121" s="186"/>
      <c r="P121" s="197"/>
      <c r="Q121" s="187"/>
      <c r="R121" s="187">
        <f>+'PRODUKSI 2'!I15</f>
        <v>0</v>
      </c>
      <c r="S121" s="188"/>
    </row>
    <row r="122" spans="1:20" ht="14.25" customHeight="1">
      <c r="A122" s="170"/>
      <c r="B122" s="186" t="s">
        <v>227</v>
      </c>
      <c r="C122" s="186"/>
      <c r="D122" s="186"/>
      <c r="E122" s="186"/>
      <c r="F122" s="197"/>
      <c r="G122" s="187"/>
      <c r="H122" s="187">
        <f>+'PRODUKSI 2'!J14</f>
        <v>0</v>
      </c>
      <c r="I122" s="188"/>
      <c r="J122" s="209"/>
      <c r="K122" s="170"/>
      <c r="L122" s="186" t="s">
        <v>227</v>
      </c>
      <c r="M122" s="186"/>
      <c r="N122" s="186"/>
      <c r="O122" s="186"/>
      <c r="P122" s="197"/>
      <c r="Q122" s="187"/>
      <c r="R122" s="187">
        <f>+'PRODUKSI 2'!J15</f>
        <v>0</v>
      </c>
      <c r="S122" s="188"/>
    </row>
    <row r="123" spans="1:20" ht="14.25" customHeight="1">
      <c r="A123" s="170"/>
      <c r="B123" s="186" t="s">
        <v>228</v>
      </c>
      <c r="C123" s="186"/>
      <c r="D123" s="186"/>
      <c r="E123" s="186"/>
      <c r="F123" s="197"/>
      <c r="G123" s="187"/>
      <c r="H123" s="187">
        <f>+'PRODUKSI 2'!K14</f>
        <v>0</v>
      </c>
      <c r="I123" s="188"/>
      <c r="J123" s="209"/>
      <c r="K123" s="170"/>
      <c r="L123" s="186" t="s">
        <v>228</v>
      </c>
      <c r="M123" s="186"/>
      <c r="N123" s="186"/>
      <c r="O123" s="186"/>
      <c r="P123" s="197"/>
      <c r="Q123" s="187"/>
      <c r="R123" s="187">
        <f>+'PRODUKSI 2'!K15</f>
        <v>0</v>
      </c>
      <c r="S123" s="188"/>
    </row>
    <row r="124" spans="1:20" ht="14.25" customHeight="1">
      <c r="A124" s="170"/>
      <c r="B124" s="186" t="s">
        <v>224</v>
      </c>
      <c r="C124" s="186"/>
      <c r="D124" s="186"/>
      <c r="E124" s="186"/>
      <c r="F124" s="197"/>
      <c r="G124" s="187"/>
      <c r="H124" s="187">
        <f>+'PRODUKSI 2'!AB14</f>
        <v>448215.69090000005</v>
      </c>
      <c r="I124" s="188"/>
      <c r="J124" s="209"/>
      <c r="K124" s="170"/>
      <c r="L124" s="186" t="s">
        <v>224</v>
      </c>
      <c r="M124" s="186"/>
      <c r="N124" s="186"/>
      <c r="O124" s="186"/>
      <c r="P124" s="197"/>
      <c r="Q124" s="187"/>
      <c r="R124" s="187">
        <f>+'PRODUKSI 2'!AB15</f>
        <v>448215.69090000005</v>
      </c>
      <c r="S124" s="188"/>
    </row>
    <row r="125" spans="1:20" ht="14.25" customHeight="1">
      <c r="A125" s="170"/>
      <c r="B125" s="186" t="s">
        <v>195</v>
      </c>
      <c r="C125" s="186"/>
      <c r="D125" s="187"/>
      <c r="E125" s="186"/>
      <c r="F125" s="197"/>
      <c r="G125" s="187"/>
      <c r="H125" s="187">
        <f>+'PRODUKSI 2'!U14</f>
        <v>100000</v>
      </c>
      <c r="I125" s="188"/>
      <c r="J125" s="187"/>
      <c r="K125" s="170"/>
      <c r="L125" s="186" t="s">
        <v>195</v>
      </c>
      <c r="M125" s="186"/>
      <c r="N125" s="187"/>
      <c r="O125" s="186"/>
      <c r="P125" s="197"/>
      <c r="Q125" s="187"/>
      <c r="R125" s="187">
        <f>+'PRODUKSI 2'!U15</f>
        <v>100000</v>
      </c>
      <c r="S125" s="188"/>
    </row>
    <row r="126" spans="1:20" ht="14.25" customHeight="1">
      <c r="A126" s="170"/>
      <c r="B126" s="220" t="s">
        <v>233</v>
      </c>
      <c r="C126" s="186"/>
      <c r="D126" s="187"/>
      <c r="E126" s="186"/>
      <c r="F126" s="197"/>
      <c r="G126" s="187"/>
      <c r="H126" s="187"/>
      <c r="I126" s="188"/>
      <c r="J126" s="209"/>
      <c r="K126" s="170"/>
      <c r="L126" s="220" t="s">
        <v>233</v>
      </c>
      <c r="M126" s="186"/>
      <c r="N126" s="187"/>
      <c r="O126" s="186"/>
      <c r="P126" s="197"/>
      <c r="Q126" s="187"/>
      <c r="R126" s="187"/>
      <c r="S126" s="188"/>
      <c r="T126" s="218"/>
    </row>
    <row r="127" spans="1:20" ht="14.25" customHeight="1">
      <c r="A127" s="170"/>
      <c r="B127" s="186" t="s">
        <v>206</v>
      </c>
      <c r="C127" s="186"/>
      <c r="D127" s="212">
        <v>0</v>
      </c>
      <c r="E127" s="186" t="s">
        <v>207</v>
      </c>
      <c r="F127" s="197" t="s">
        <v>205</v>
      </c>
      <c r="G127" s="187">
        <v>18285</v>
      </c>
      <c r="H127" s="187">
        <f>G127*D127</f>
        <v>0</v>
      </c>
      <c r="I127" s="188"/>
      <c r="J127" s="187"/>
      <c r="K127" s="170"/>
      <c r="L127" s="186" t="s">
        <v>206</v>
      </c>
      <c r="M127" s="186"/>
      <c r="N127" s="212">
        <v>0</v>
      </c>
      <c r="O127" s="186" t="s">
        <v>207</v>
      </c>
      <c r="P127" s="197" t="s">
        <v>205</v>
      </c>
      <c r="Q127" s="187">
        <v>23768</v>
      </c>
      <c r="R127" s="187">
        <f>Q127*N127</f>
        <v>0</v>
      </c>
      <c r="S127" s="188"/>
    </row>
    <row r="128" spans="1:20" ht="14.25" customHeight="1" thickBot="1">
      <c r="A128" s="170"/>
      <c r="B128" s="190" t="s">
        <v>208</v>
      </c>
      <c r="C128" s="190"/>
      <c r="D128" s="213">
        <v>0</v>
      </c>
      <c r="E128" s="190" t="s">
        <v>207</v>
      </c>
      <c r="F128" s="228" t="s">
        <v>205</v>
      </c>
      <c r="G128" s="192">
        <f>G127</f>
        <v>18285</v>
      </c>
      <c r="H128" s="192">
        <f>G128*D128</f>
        <v>0</v>
      </c>
      <c r="I128" s="188"/>
      <c r="J128" s="187"/>
      <c r="K128" s="170"/>
      <c r="L128" s="190" t="s">
        <v>208</v>
      </c>
      <c r="M128" s="190"/>
      <c r="N128" s="213">
        <v>32</v>
      </c>
      <c r="O128" s="190" t="s">
        <v>207</v>
      </c>
      <c r="P128" s="228" t="s">
        <v>205</v>
      </c>
      <c r="Q128" s="192">
        <f>Q127</f>
        <v>23768</v>
      </c>
      <c r="R128" s="192">
        <f>Q128*N128</f>
        <v>760576</v>
      </c>
      <c r="S128" s="188"/>
    </row>
    <row r="129" spans="1:19" ht="15.75" thickBot="1">
      <c r="A129" s="170"/>
      <c r="B129" s="190" t="s">
        <v>219</v>
      </c>
      <c r="C129" s="190"/>
      <c r="D129" s="213">
        <f>SUM(D126:D128)</f>
        <v>0</v>
      </c>
      <c r="E129" s="190"/>
      <c r="F129" s="228"/>
      <c r="G129" s="192"/>
      <c r="H129" s="192">
        <f>SUM(H120:H128)</f>
        <v>5043070.6908999998</v>
      </c>
      <c r="I129" s="188"/>
      <c r="J129" s="187"/>
      <c r="K129" s="170"/>
      <c r="L129" s="190" t="s">
        <v>219</v>
      </c>
      <c r="M129" s="190"/>
      <c r="N129" s="213">
        <f>SUM(N126:N128)</f>
        <v>32</v>
      </c>
      <c r="O129" s="190"/>
      <c r="P129" s="228"/>
      <c r="Q129" s="192"/>
      <c r="R129" s="192">
        <f>SUM(R120:R128)</f>
        <v>5803646.6908999998</v>
      </c>
      <c r="S129" s="188"/>
    </row>
    <row r="130" spans="1:19">
      <c r="A130" s="170"/>
      <c r="B130" s="196" t="s">
        <v>113</v>
      </c>
      <c r="C130" s="186"/>
      <c r="D130" s="186"/>
      <c r="E130" s="186"/>
      <c r="F130" s="197"/>
      <c r="G130" s="187"/>
      <c r="H130" s="187"/>
      <c r="I130" s="188"/>
      <c r="J130" s="209"/>
      <c r="K130" s="170"/>
      <c r="L130" s="196" t="s">
        <v>113</v>
      </c>
      <c r="M130" s="186"/>
      <c r="N130" s="186"/>
      <c r="O130" s="186"/>
      <c r="P130" s="197"/>
      <c r="Q130" s="187"/>
      <c r="R130" s="187"/>
      <c r="S130" s="188"/>
    </row>
    <row r="131" spans="1:19" ht="14.25" customHeight="1">
      <c r="A131" s="170"/>
      <c r="B131" s="186" t="s">
        <v>209</v>
      </c>
      <c r="C131" s="186"/>
      <c r="D131" s="197"/>
      <c r="E131" s="186"/>
      <c r="F131" s="197"/>
      <c r="G131" s="198" t="str">
        <f>+'PRODUKSI 2'!D14</f>
        <v>TK</v>
      </c>
      <c r="H131" s="187">
        <f>+'PRODUKSI 2'!AI14</f>
        <v>0</v>
      </c>
      <c r="I131" s="188"/>
      <c r="J131" s="209"/>
      <c r="K131" s="170"/>
      <c r="L131" s="186" t="s">
        <v>209</v>
      </c>
      <c r="M131" s="186"/>
      <c r="N131" s="198"/>
      <c r="O131" s="186"/>
      <c r="P131" s="197"/>
      <c r="Q131" s="198" t="str">
        <f>+'PRODUKSI 2'!D15</f>
        <v>TK</v>
      </c>
      <c r="R131" s="187">
        <f>+'PRODUKSI 2'!AI15</f>
        <v>64718</v>
      </c>
      <c r="S131" s="188"/>
    </row>
    <row r="132" spans="1:19" ht="14.25" customHeight="1">
      <c r="A132" s="170"/>
      <c r="B132" s="186" t="s">
        <v>225</v>
      </c>
      <c r="C132" s="186"/>
      <c r="D132" s="197"/>
      <c r="E132" s="186"/>
      <c r="F132" s="197"/>
      <c r="G132" s="198"/>
      <c r="H132" s="187">
        <f>+'PRODUKSI 2'!AF14+'PRODUKSI 2'!AG14</f>
        <v>48772.11</v>
      </c>
      <c r="I132" s="188"/>
      <c r="J132" s="209"/>
      <c r="K132" s="170"/>
      <c r="L132" s="186" t="s">
        <v>225</v>
      </c>
      <c r="M132" s="186"/>
      <c r="N132" s="198"/>
      <c r="O132" s="186"/>
      <c r="P132" s="197"/>
      <c r="Q132" s="198"/>
      <c r="R132" s="187">
        <f>+'PRODUKSI 2'!AF15+'PRODUKSI 2'!AG15</f>
        <v>48772.11</v>
      </c>
      <c r="S132" s="188"/>
    </row>
    <row r="133" spans="1:19" ht="14.25" customHeight="1">
      <c r="A133" s="170"/>
      <c r="B133" s="186" t="s">
        <v>226</v>
      </c>
      <c r="C133" s="186"/>
      <c r="D133" s="197"/>
      <c r="E133" s="186"/>
      <c r="F133" s="197"/>
      <c r="G133" s="198"/>
      <c r="H133" s="187">
        <f>+'PRODUKSI 2'!AD14+'PRODUKSI 2'!AE14</f>
        <v>146316.33000000002</v>
      </c>
      <c r="I133" s="188"/>
      <c r="J133" s="209"/>
      <c r="K133" s="170"/>
      <c r="L133" s="186" t="s">
        <v>226</v>
      </c>
      <c r="M133" s="186"/>
      <c r="N133" s="198"/>
      <c r="O133" s="186"/>
      <c r="P133" s="197"/>
      <c r="Q133" s="198"/>
      <c r="R133" s="187">
        <f>+'PRODUKSI 2'!AD15+'PRODUKSI 2'!AE15</f>
        <v>146316.33000000002</v>
      </c>
      <c r="S133" s="188"/>
    </row>
    <row r="134" spans="1:19" ht="14.25" customHeight="1">
      <c r="A134" s="170"/>
      <c r="B134" s="186" t="s">
        <v>103</v>
      </c>
      <c r="C134" s="186"/>
      <c r="D134" s="186"/>
      <c r="E134" s="186"/>
      <c r="F134" s="197"/>
      <c r="G134" s="198"/>
      <c r="H134" s="187">
        <f>+H124</f>
        <v>448215.69090000005</v>
      </c>
      <c r="I134" s="188"/>
      <c r="J134" s="209"/>
      <c r="K134" s="170"/>
      <c r="L134" s="186" t="s">
        <v>103</v>
      </c>
      <c r="M134" s="186"/>
      <c r="N134" s="186"/>
      <c r="O134" s="186"/>
      <c r="P134" s="197"/>
      <c r="Q134" s="187"/>
      <c r="R134" s="187">
        <f>+R124</f>
        <v>448215.69090000005</v>
      </c>
      <c r="S134" s="188"/>
    </row>
    <row r="135" spans="1:19" ht="14.25" customHeight="1" thickBot="1">
      <c r="A135" s="170"/>
      <c r="B135" s="190" t="s">
        <v>211</v>
      </c>
      <c r="C135" s="190"/>
      <c r="D135" s="190"/>
      <c r="E135" s="190"/>
      <c r="F135" s="228"/>
      <c r="G135" s="192"/>
      <c r="H135" s="192">
        <f>SUM(H131:H134)</f>
        <v>643304.13089999999</v>
      </c>
      <c r="I135" s="188"/>
      <c r="J135" s="209"/>
      <c r="K135" s="170"/>
      <c r="L135" s="190" t="s">
        <v>211</v>
      </c>
      <c r="M135" s="190"/>
      <c r="N135" s="190"/>
      <c r="O135" s="190"/>
      <c r="P135" s="228"/>
      <c r="Q135" s="192"/>
      <c r="R135" s="192">
        <f>SUM(R131:R134)</f>
        <v>708022.13089999999</v>
      </c>
      <c r="S135" s="188"/>
    </row>
    <row r="136" spans="1:19" ht="15.75" thickBot="1">
      <c r="A136" s="170"/>
      <c r="B136" s="193" t="s">
        <v>220</v>
      </c>
      <c r="C136" s="193"/>
      <c r="D136" s="193"/>
      <c r="E136" s="193"/>
      <c r="F136" s="229"/>
      <c r="G136" s="195"/>
      <c r="H136" s="195">
        <f>H129-H135</f>
        <v>4399766.5599999996</v>
      </c>
      <c r="I136" s="188"/>
      <c r="J136" s="209"/>
      <c r="K136" s="170"/>
      <c r="L136" s="193" t="s">
        <v>220</v>
      </c>
      <c r="M136" s="193"/>
      <c r="N136" s="193"/>
      <c r="O136" s="193"/>
      <c r="P136" s="229"/>
      <c r="Q136" s="195"/>
      <c r="R136" s="195">
        <f>SUM(R129-R135)</f>
        <v>5095624.5599999996</v>
      </c>
      <c r="S136" s="188"/>
    </row>
    <row r="137" spans="1:19">
      <c r="A137" s="170"/>
      <c r="B137" s="186" t="s">
        <v>221</v>
      </c>
      <c r="C137" s="186"/>
      <c r="D137" s="186"/>
      <c r="E137" s="186"/>
      <c r="F137" s="197"/>
      <c r="G137" s="187"/>
      <c r="H137" s="187">
        <v>10000</v>
      </c>
      <c r="I137" s="188"/>
      <c r="J137" s="209"/>
      <c r="K137" s="170"/>
      <c r="L137" s="186" t="s">
        <v>221</v>
      </c>
      <c r="M137" s="186"/>
      <c r="N137" s="186"/>
      <c r="O137" s="186"/>
      <c r="P137" s="197"/>
      <c r="Q137" s="187"/>
      <c r="R137" s="187">
        <v>10000</v>
      </c>
      <c r="S137" s="188"/>
    </row>
    <row r="138" spans="1:19" ht="10.5" customHeight="1" thickBot="1">
      <c r="A138" s="170"/>
      <c r="B138" s="199"/>
      <c r="C138" s="190"/>
      <c r="D138" s="190"/>
      <c r="E138" s="190"/>
      <c r="F138" s="228"/>
      <c r="G138" s="192"/>
      <c r="H138" s="192"/>
      <c r="I138" s="188"/>
      <c r="J138" s="187"/>
      <c r="K138" s="170"/>
      <c r="L138" s="199"/>
      <c r="M138" s="190"/>
      <c r="N138" s="190"/>
      <c r="O138" s="190"/>
      <c r="P138" s="228"/>
      <c r="Q138" s="192"/>
      <c r="R138" s="192"/>
      <c r="S138" s="188"/>
    </row>
    <row r="139" spans="1:19" ht="15.75" thickBot="1">
      <c r="A139" s="170"/>
      <c r="B139" s="200" t="s">
        <v>212</v>
      </c>
      <c r="C139" s="200"/>
      <c r="D139" s="200"/>
      <c r="E139" s="200"/>
      <c r="F139" s="230"/>
      <c r="G139" s="201"/>
      <c r="H139" s="201">
        <f>SUM(H136-H137)</f>
        <v>4389766.5599999996</v>
      </c>
      <c r="I139" s="188"/>
      <c r="J139" s="187"/>
      <c r="K139" s="170"/>
      <c r="L139" s="200" t="s">
        <v>212</v>
      </c>
      <c r="M139" s="200"/>
      <c r="N139" s="200"/>
      <c r="O139" s="200"/>
      <c r="P139" s="230"/>
      <c r="Q139" s="201"/>
      <c r="R139" s="201">
        <f>SUM(R136-R137)</f>
        <v>5085624.5599999996</v>
      </c>
      <c r="S139" s="188"/>
    </row>
    <row r="140" spans="1:19" ht="15.75" thickTop="1">
      <c r="A140" s="170"/>
      <c r="B140" s="202" t="s">
        <v>213</v>
      </c>
      <c r="C140" s="186"/>
      <c r="D140" s="186"/>
      <c r="E140" s="186"/>
      <c r="F140" s="197"/>
      <c r="G140" s="296" t="s">
        <v>214</v>
      </c>
      <c r="H140" s="296"/>
      <c r="I140" s="188"/>
      <c r="J140" s="187"/>
      <c r="K140" s="170"/>
      <c r="L140" s="202" t="s">
        <v>213</v>
      </c>
      <c r="M140" s="186"/>
      <c r="N140" s="186"/>
      <c r="O140" s="186"/>
      <c r="P140" s="197"/>
      <c r="Q140" s="296" t="s">
        <v>214</v>
      </c>
      <c r="R140" s="296"/>
      <c r="S140" s="188"/>
    </row>
    <row r="141" spans="1:19" ht="12.75" customHeight="1">
      <c r="A141" s="170"/>
      <c r="B141" s="186"/>
      <c r="C141" s="186"/>
      <c r="D141" s="186"/>
      <c r="E141" s="186"/>
      <c r="F141" s="197"/>
      <c r="G141" s="187"/>
      <c r="H141" s="187"/>
      <c r="I141" s="188"/>
      <c r="J141" s="187"/>
      <c r="K141" s="170"/>
      <c r="L141" s="186"/>
      <c r="M141" s="186"/>
      <c r="N141" s="186"/>
      <c r="O141" s="186"/>
      <c r="P141" s="197"/>
      <c r="Q141" s="187"/>
      <c r="R141" s="187"/>
      <c r="S141" s="188"/>
    </row>
    <row r="142" spans="1:19" ht="12.75" customHeight="1">
      <c r="A142" s="170"/>
      <c r="B142" s="186"/>
      <c r="C142" s="186"/>
      <c r="D142" s="186"/>
      <c r="E142" s="186"/>
      <c r="F142" s="197"/>
      <c r="G142" s="187"/>
      <c r="H142" s="187"/>
      <c r="I142" s="188"/>
      <c r="J142" s="187"/>
      <c r="K142" s="170"/>
      <c r="L142" s="186"/>
      <c r="M142" s="186"/>
      <c r="N142" s="186"/>
      <c r="O142" s="186"/>
      <c r="P142" s="197"/>
      <c r="Q142" s="187"/>
      <c r="R142" s="187"/>
      <c r="S142" s="188"/>
    </row>
    <row r="143" spans="1:19" ht="12.75" customHeight="1">
      <c r="A143" s="170"/>
      <c r="B143" s="203" t="s">
        <v>215</v>
      </c>
      <c r="C143" s="186"/>
      <c r="D143" s="186"/>
      <c r="E143" s="186"/>
      <c r="F143" s="197"/>
      <c r="G143" s="297" t="s">
        <v>216</v>
      </c>
      <c r="H143" s="297"/>
      <c r="I143" s="188"/>
      <c r="J143" s="187"/>
      <c r="K143" s="170"/>
      <c r="L143" s="203" t="s">
        <v>215</v>
      </c>
      <c r="M143" s="186"/>
      <c r="N143" s="186"/>
      <c r="O143" s="186"/>
      <c r="P143" s="197"/>
      <c r="Q143" s="297" t="s">
        <v>216</v>
      </c>
      <c r="R143" s="297"/>
      <c r="S143" s="188"/>
    </row>
    <row r="144" spans="1:19" ht="7.5" customHeight="1">
      <c r="A144" s="204"/>
      <c r="B144" s="205"/>
      <c r="C144" s="206"/>
      <c r="D144" s="206"/>
      <c r="E144" s="206"/>
      <c r="F144" s="231"/>
      <c r="G144" s="207"/>
      <c r="H144" s="205"/>
      <c r="I144" s="208"/>
      <c r="J144" s="187"/>
      <c r="K144" s="204"/>
      <c r="L144" s="205"/>
      <c r="M144" s="206"/>
      <c r="N144" s="206"/>
      <c r="O144" s="206"/>
      <c r="P144" s="231"/>
      <c r="Q144" s="207"/>
      <c r="R144" s="205"/>
      <c r="S144" s="208"/>
    </row>
    <row r="147" spans="1:19">
      <c r="A147" s="166"/>
      <c r="B147" s="167"/>
      <c r="C147" s="167"/>
      <c r="D147" s="167"/>
      <c r="E147" s="167"/>
      <c r="F147" s="223"/>
      <c r="G147" s="167"/>
      <c r="H147" s="167"/>
      <c r="I147" s="168"/>
      <c r="J147" s="169"/>
      <c r="K147" s="166"/>
      <c r="L147" s="167"/>
      <c r="M147" s="167"/>
      <c r="N147" s="167"/>
      <c r="O147" s="167"/>
      <c r="P147" s="223"/>
      <c r="Q147" s="167"/>
      <c r="R147" s="167"/>
      <c r="S147" s="168"/>
    </row>
    <row r="148" spans="1:19">
      <c r="A148" s="170"/>
      <c r="B148" s="169"/>
      <c r="C148" s="169"/>
      <c r="D148" s="169"/>
      <c r="E148" s="169"/>
      <c r="F148" s="224"/>
      <c r="G148" s="169"/>
      <c r="H148" s="169"/>
      <c r="I148" s="171"/>
      <c r="J148" s="169"/>
      <c r="K148" s="170"/>
      <c r="L148" s="169"/>
      <c r="M148" s="169"/>
      <c r="N148" s="169"/>
      <c r="O148" s="169"/>
      <c r="P148" s="224"/>
      <c r="Q148" s="169"/>
      <c r="R148" s="169"/>
      <c r="S148" s="171"/>
    </row>
    <row r="149" spans="1:19">
      <c r="A149" s="170"/>
      <c r="B149" s="169"/>
      <c r="C149" s="169"/>
      <c r="D149" s="169"/>
      <c r="E149" s="169"/>
      <c r="F149" s="224"/>
      <c r="G149" s="169"/>
      <c r="H149" s="169"/>
      <c r="I149" s="171"/>
      <c r="J149" s="169"/>
      <c r="K149" s="170"/>
      <c r="L149" s="169"/>
      <c r="M149" s="169"/>
      <c r="N149" s="169"/>
      <c r="O149" s="169"/>
      <c r="P149" s="224"/>
      <c r="Q149" s="169"/>
      <c r="R149" s="169"/>
      <c r="S149" s="171"/>
    </row>
    <row r="150" spans="1:19">
      <c r="A150" s="170"/>
      <c r="B150" s="294" t="s">
        <v>196</v>
      </c>
      <c r="C150" s="294"/>
      <c r="D150" s="294"/>
      <c r="E150" s="294"/>
      <c r="F150" s="294"/>
      <c r="G150" s="294"/>
      <c r="H150" s="294"/>
      <c r="I150" s="295"/>
      <c r="J150" s="169"/>
      <c r="K150" s="170"/>
      <c r="L150" s="294" t="s">
        <v>196</v>
      </c>
      <c r="M150" s="294"/>
      <c r="N150" s="294"/>
      <c r="O150" s="294"/>
      <c r="P150" s="294"/>
      <c r="Q150" s="294"/>
      <c r="R150" s="294"/>
      <c r="S150" s="295"/>
    </row>
    <row r="151" spans="1:19">
      <c r="A151" s="172"/>
      <c r="B151" s="173" t="s">
        <v>197</v>
      </c>
      <c r="C151" s="174" t="s">
        <v>198</v>
      </c>
      <c r="D151" s="211">
        <v>9</v>
      </c>
      <c r="E151" s="173"/>
      <c r="F151" s="225"/>
      <c r="G151" s="173"/>
      <c r="H151" s="173"/>
      <c r="I151" s="176"/>
      <c r="J151" s="173"/>
      <c r="K151" s="172"/>
      <c r="L151" s="173" t="s">
        <v>197</v>
      </c>
      <c r="M151" s="174" t="s">
        <v>198</v>
      </c>
      <c r="N151" s="211">
        <v>10</v>
      </c>
      <c r="O151" s="175"/>
      <c r="P151" s="225"/>
      <c r="Q151" s="173"/>
      <c r="R151" s="173"/>
      <c r="S151" s="176"/>
    </row>
    <row r="152" spans="1:19">
      <c r="A152" s="172"/>
      <c r="B152" s="173" t="s">
        <v>199</v>
      </c>
      <c r="C152" s="174" t="s">
        <v>198</v>
      </c>
      <c r="D152" s="177" t="s">
        <v>229</v>
      </c>
      <c r="E152" s="173"/>
      <c r="F152" s="225"/>
      <c r="G152" s="173"/>
      <c r="H152" s="173"/>
      <c r="I152" s="176"/>
      <c r="J152" s="173"/>
      <c r="K152" s="172"/>
      <c r="L152" s="173" t="s">
        <v>199</v>
      </c>
      <c r="M152" s="174" t="s">
        <v>198</v>
      </c>
      <c r="N152" s="177" t="s">
        <v>229</v>
      </c>
      <c r="O152" s="179"/>
      <c r="P152" s="225"/>
      <c r="Q152" s="173"/>
      <c r="R152" s="173"/>
      <c r="S152" s="176"/>
    </row>
    <row r="153" spans="1:19">
      <c r="A153" s="172"/>
      <c r="B153" s="173" t="s">
        <v>200</v>
      </c>
      <c r="C153" s="174" t="s">
        <v>198</v>
      </c>
      <c r="D153" s="177" t="str">
        <f>+'PRODUKSI 2'!B16</f>
        <v>OKY HERIYAWAN</v>
      </c>
      <c r="E153" s="173"/>
      <c r="F153" s="225"/>
      <c r="G153" s="173"/>
      <c r="H153" s="173"/>
      <c r="I153" s="176"/>
      <c r="J153" s="173"/>
      <c r="K153" s="172"/>
      <c r="L153" s="173" t="s">
        <v>200</v>
      </c>
      <c r="M153" s="174" t="s">
        <v>198</v>
      </c>
      <c r="N153" s="178" t="str">
        <f>+'PRODUKSI 2'!B17</f>
        <v>HERMANSYAH</v>
      </c>
      <c r="O153" s="173"/>
      <c r="P153" s="225"/>
      <c r="Q153" s="173"/>
      <c r="R153" s="173"/>
      <c r="S153" s="176"/>
    </row>
    <row r="154" spans="1:19" ht="15.75" thickBot="1">
      <c r="A154" s="172"/>
      <c r="B154" s="173" t="s">
        <v>201</v>
      </c>
      <c r="C154" s="174" t="s">
        <v>198</v>
      </c>
      <c r="D154" s="177" t="str">
        <f>+'PRODUKSI 2'!C16</f>
        <v>THOMSON</v>
      </c>
      <c r="E154" s="173"/>
      <c r="F154" s="225"/>
      <c r="G154" s="173"/>
      <c r="H154" s="173"/>
      <c r="I154" s="176"/>
      <c r="J154" s="173"/>
      <c r="K154" s="172"/>
      <c r="L154" s="173" t="s">
        <v>201</v>
      </c>
      <c r="M154" s="174" t="s">
        <v>198</v>
      </c>
      <c r="N154" s="178" t="str">
        <f>+'PRODUKSI 2'!C17</f>
        <v>SLITER</v>
      </c>
      <c r="O154" s="179"/>
      <c r="P154" s="225"/>
      <c r="Q154" s="173"/>
      <c r="R154" s="173"/>
      <c r="S154" s="176"/>
    </row>
    <row r="155" spans="1:19" ht="10.5" customHeight="1" thickTop="1">
      <c r="A155" s="170"/>
      <c r="B155" s="182"/>
      <c r="C155" s="182"/>
      <c r="D155" s="182"/>
      <c r="E155" s="182"/>
      <c r="F155" s="182"/>
      <c r="G155" s="182"/>
      <c r="H155" s="182"/>
      <c r="I155" s="183"/>
      <c r="J155" s="169"/>
      <c r="K155" s="170"/>
      <c r="L155" s="182"/>
      <c r="M155" s="182"/>
      <c r="N155" s="182"/>
      <c r="O155" s="182"/>
      <c r="P155" s="182"/>
      <c r="Q155" s="182"/>
      <c r="R155" s="182"/>
      <c r="S155" s="183"/>
    </row>
    <row r="156" spans="1:19">
      <c r="A156" s="170"/>
      <c r="B156" s="184" t="s">
        <v>202</v>
      </c>
      <c r="C156" s="185"/>
      <c r="D156" s="185"/>
      <c r="E156" s="185"/>
      <c r="F156" s="227"/>
      <c r="G156" s="185"/>
      <c r="H156" s="185"/>
      <c r="I156" s="183"/>
      <c r="J156" s="169"/>
      <c r="K156" s="170"/>
      <c r="L156" s="184" t="s">
        <v>202</v>
      </c>
      <c r="M156" s="184"/>
      <c r="N156" s="185"/>
      <c r="O156" s="185"/>
      <c r="P156" s="227"/>
      <c r="Q156" s="185"/>
      <c r="R156" s="185"/>
      <c r="S156" s="183"/>
    </row>
    <row r="157" spans="1:19" ht="14.25" customHeight="1">
      <c r="A157" s="170"/>
      <c r="B157" s="186" t="s">
        <v>111</v>
      </c>
      <c r="C157" s="186"/>
      <c r="D157" s="186"/>
      <c r="E157" s="186"/>
      <c r="F157" s="197"/>
      <c r="G157" s="187"/>
      <c r="H157" s="187">
        <f>+'PRODUKSI 2'!H16</f>
        <v>4394855</v>
      </c>
      <c r="I157" s="188"/>
      <c r="J157" s="187"/>
      <c r="K157" s="170"/>
      <c r="L157" s="186" t="s">
        <v>111</v>
      </c>
      <c r="M157" s="186"/>
      <c r="N157" s="186"/>
      <c r="O157" s="186"/>
      <c r="P157" s="197"/>
      <c r="Q157" s="187"/>
      <c r="R157" s="187">
        <f>+'PRODUKSI 2'!H17</f>
        <v>4394855</v>
      </c>
      <c r="S157" s="188"/>
    </row>
    <row r="158" spans="1:19" ht="14.25" customHeight="1">
      <c r="A158" s="170"/>
      <c r="B158" s="186" t="s">
        <v>203</v>
      </c>
      <c r="C158" s="186"/>
      <c r="D158" s="186"/>
      <c r="E158" s="186"/>
      <c r="F158" s="197"/>
      <c r="G158" s="187"/>
      <c r="H158" s="187">
        <f>+'PRODUKSI 2'!I16</f>
        <v>80000</v>
      </c>
      <c r="I158" s="188"/>
      <c r="J158" s="209"/>
      <c r="K158" s="170"/>
      <c r="L158" s="186" t="s">
        <v>203</v>
      </c>
      <c r="M158" s="186"/>
      <c r="N158" s="186"/>
      <c r="O158" s="186"/>
      <c r="P158" s="197"/>
      <c r="Q158" s="187"/>
      <c r="R158" s="187">
        <f>+'PRODUKSI 2'!I17</f>
        <v>0</v>
      </c>
      <c r="S158" s="188"/>
    </row>
    <row r="159" spans="1:19" ht="14.25" customHeight="1">
      <c r="A159" s="170"/>
      <c r="B159" s="186" t="s">
        <v>227</v>
      </c>
      <c r="C159" s="186"/>
      <c r="D159" s="186"/>
      <c r="E159" s="186"/>
      <c r="F159" s="197"/>
      <c r="G159" s="187"/>
      <c r="H159" s="187">
        <f>+'PRODUKSI 2'!J16</f>
        <v>40000</v>
      </c>
      <c r="I159" s="188"/>
      <c r="J159" s="209"/>
      <c r="K159" s="170"/>
      <c r="L159" s="186" t="s">
        <v>227</v>
      </c>
      <c r="M159" s="186"/>
      <c r="N159" s="186"/>
      <c r="O159" s="186"/>
      <c r="P159" s="197"/>
      <c r="Q159" s="187"/>
      <c r="R159" s="187">
        <f>+'PRODUKSI 2'!J17</f>
        <v>0</v>
      </c>
      <c r="S159" s="188"/>
    </row>
    <row r="160" spans="1:19" ht="14.25" customHeight="1">
      <c r="A160" s="170"/>
      <c r="B160" s="186" t="s">
        <v>228</v>
      </c>
      <c r="C160" s="186"/>
      <c r="D160" s="186"/>
      <c r="E160" s="186"/>
      <c r="F160" s="197"/>
      <c r="G160" s="187"/>
      <c r="H160" s="187">
        <f>+'PRODUKSI 2'!K16</f>
        <v>0</v>
      </c>
      <c r="I160" s="188"/>
      <c r="J160" s="209"/>
      <c r="K160" s="170"/>
      <c r="L160" s="186" t="s">
        <v>228</v>
      </c>
      <c r="M160" s="186"/>
      <c r="N160" s="186"/>
      <c r="O160" s="186"/>
      <c r="P160" s="197"/>
      <c r="Q160" s="187"/>
      <c r="R160" s="187">
        <f>+'PRODUKSI 2'!K17</f>
        <v>0</v>
      </c>
      <c r="S160" s="188"/>
    </row>
    <row r="161" spans="1:20" ht="14.25" customHeight="1">
      <c r="A161" s="170"/>
      <c r="B161" s="186" t="s">
        <v>224</v>
      </c>
      <c r="C161" s="186"/>
      <c r="D161" s="186"/>
      <c r="E161" s="186"/>
      <c r="F161" s="197"/>
      <c r="G161" s="187"/>
      <c r="H161" s="187">
        <f>+'PRODUKSI 2'!AB16</f>
        <v>448215.69090000005</v>
      </c>
      <c r="I161" s="188"/>
      <c r="J161" s="209"/>
      <c r="K161" s="170"/>
      <c r="L161" s="186" t="s">
        <v>224</v>
      </c>
      <c r="M161" s="186"/>
      <c r="N161" s="186"/>
      <c r="O161" s="186"/>
      <c r="P161" s="197"/>
      <c r="Q161" s="187"/>
      <c r="R161" s="187">
        <f>+'PRODUKSI 2'!AB17</f>
        <v>448215.69090000005</v>
      </c>
      <c r="S161" s="188"/>
    </row>
    <row r="162" spans="1:20" ht="14.25" customHeight="1">
      <c r="A162" s="170"/>
      <c r="B162" s="186" t="s">
        <v>195</v>
      </c>
      <c r="C162" s="186"/>
      <c r="D162" s="187"/>
      <c r="E162" s="186"/>
      <c r="F162" s="197"/>
      <c r="G162" s="187"/>
      <c r="H162" s="187">
        <f>+'PRODUKSI 2'!U16</f>
        <v>92000</v>
      </c>
      <c r="I162" s="188"/>
      <c r="J162" s="187"/>
      <c r="K162" s="170"/>
      <c r="L162" s="186" t="s">
        <v>195</v>
      </c>
      <c r="M162" s="186"/>
      <c r="N162" s="187"/>
      <c r="O162" s="186"/>
      <c r="P162" s="197"/>
      <c r="Q162" s="187"/>
      <c r="R162" s="187">
        <f>+'PRODUKSI 2'!U17</f>
        <v>96000</v>
      </c>
      <c r="S162" s="188"/>
    </row>
    <row r="163" spans="1:20" ht="14.25" customHeight="1">
      <c r="A163" s="170"/>
      <c r="B163" s="220" t="s">
        <v>233</v>
      </c>
      <c r="C163" s="186"/>
      <c r="D163" s="187"/>
      <c r="E163" s="186"/>
      <c r="F163" s="197"/>
      <c r="G163" s="187"/>
      <c r="H163" s="187"/>
      <c r="I163" s="188"/>
      <c r="J163" s="209"/>
      <c r="K163" s="170"/>
      <c r="L163" s="220" t="s">
        <v>233</v>
      </c>
      <c r="M163" s="186"/>
      <c r="N163" s="187"/>
      <c r="O163" s="186"/>
      <c r="P163" s="197"/>
      <c r="Q163" s="187"/>
      <c r="R163" s="187"/>
      <c r="S163" s="188"/>
      <c r="T163" s="218"/>
    </row>
    <row r="164" spans="1:20" ht="14.25" customHeight="1">
      <c r="A164" s="170"/>
      <c r="B164" s="186" t="s">
        <v>206</v>
      </c>
      <c r="C164" s="186"/>
      <c r="D164" s="212">
        <v>0</v>
      </c>
      <c r="E164" s="186" t="s">
        <v>207</v>
      </c>
      <c r="F164" s="197" t="s">
        <v>205</v>
      </c>
      <c r="G164" s="187">
        <v>21564</v>
      </c>
      <c r="H164" s="187">
        <f>G164*D164</f>
        <v>0</v>
      </c>
      <c r="I164" s="188"/>
      <c r="J164" s="187"/>
      <c r="K164" s="170"/>
      <c r="L164" s="186" t="s">
        <v>206</v>
      </c>
      <c r="M164" s="186"/>
      <c r="N164" s="212">
        <v>0</v>
      </c>
      <c r="O164" s="186" t="s">
        <v>207</v>
      </c>
      <c r="P164" s="197" t="s">
        <v>205</v>
      </c>
      <c r="Q164" s="187">
        <v>21564</v>
      </c>
      <c r="R164" s="187">
        <f>Q164*N164</f>
        <v>0</v>
      </c>
      <c r="S164" s="188"/>
    </row>
    <row r="165" spans="1:20" ht="14.25" customHeight="1" thickBot="1">
      <c r="A165" s="170"/>
      <c r="B165" s="190" t="s">
        <v>208</v>
      </c>
      <c r="C165" s="190"/>
      <c r="D165" s="213">
        <v>0</v>
      </c>
      <c r="E165" s="190" t="s">
        <v>207</v>
      </c>
      <c r="F165" s="228" t="s">
        <v>205</v>
      </c>
      <c r="G165" s="192">
        <f>G164</f>
        <v>21564</v>
      </c>
      <c r="H165" s="192">
        <f>G165*D165</f>
        <v>0</v>
      </c>
      <c r="I165" s="188"/>
      <c r="J165" s="187"/>
      <c r="K165" s="170"/>
      <c r="L165" s="190" t="s">
        <v>208</v>
      </c>
      <c r="M165" s="190"/>
      <c r="N165" s="213">
        <v>0</v>
      </c>
      <c r="O165" s="190" t="s">
        <v>207</v>
      </c>
      <c r="P165" s="228" t="s">
        <v>205</v>
      </c>
      <c r="Q165" s="192">
        <f>Q164</f>
        <v>21564</v>
      </c>
      <c r="R165" s="192">
        <f>Q165*N165</f>
        <v>0</v>
      </c>
      <c r="S165" s="188"/>
    </row>
    <row r="166" spans="1:20" ht="15.75" thickBot="1">
      <c r="A166" s="170"/>
      <c r="B166" s="190" t="s">
        <v>219</v>
      </c>
      <c r="C166" s="190"/>
      <c r="D166" s="213">
        <f>SUM(D163:D165)</f>
        <v>0</v>
      </c>
      <c r="E166" s="190"/>
      <c r="F166" s="228"/>
      <c r="G166" s="192"/>
      <c r="H166" s="192">
        <f>SUM(H157:H165)</f>
        <v>5055070.6908999998</v>
      </c>
      <c r="I166" s="188"/>
      <c r="J166" s="187"/>
      <c r="K166" s="170"/>
      <c r="L166" s="190" t="s">
        <v>219</v>
      </c>
      <c r="M166" s="190"/>
      <c r="N166" s="213">
        <f>SUM(N163:N165)</f>
        <v>0</v>
      </c>
      <c r="O166" s="190"/>
      <c r="P166" s="228"/>
      <c r="Q166" s="192"/>
      <c r="R166" s="192">
        <f>SUM(R157:R165)</f>
        <v>4939070.6908999998</v>
      </c>
      <c r="S166" s="188"/>
    </row>
    <row r="167" spans="1:20">
      <c r="A167" s="170"/>
      <c r="B167" s="196" t="s">
        <v>113</v>
      </c>
      <c r="C167" s="186"/>
      <c r="D167" s="186"/>
      <c r="E167" s="186"/>
      <c r="F167" s="197"/>
      <c r="G167" s="187"/>
      <c r="H167" s="187"/>
      <c r="I167" s="188"/>
      <c r="J167" s="209"/>
      <c r="K167" s="170"/>
      <c r="L167" s="196" t="s">
        <v>113</v>
      </c>
      <c r="M167" s="186"/>
      <c r="N167" s="186"/>
      <c r="O167" s="186"/>
      <c r="P167" s="197"/>
      <c r="Q167" s="187"/>
      <c r="R167" s="187"/>
      <c r="S167" s="188"/>
    </row>
    <row r="168" spans="1:20" ht="14.25" customHeight="1">
      <c r="A168" s="170"/>
      <c r="B168" s="186" t="s">
        <v>209</v>
      </c>
      <c r="C168" s="186"/>
      <c r="D168" s="197"/>
      <c r="E168" s="186"/>
      <c r="F168" s="197"/>
      <c r="G168" s="198" t="str">
        <f>+'PRODUKSI 2'!D16</f>
        <v>K</v>
      </c>
      <c r="H168" s="187">
        <f>+'PRODUKSI 2'!AI16</f>
        <v>0</v>
      </c>
      <c r="I168" s="188"/>
      <c r="J168" s="209"/>
      <c r="K168" s="170"/>
      <c r="L168" s="186" t="s">
        <v>209</v>
      </c>
      <c r="M168" s="186"/>
      <c r="N168" s="198"/>
      <c r="O168" s="186"/>
      <c r="P168" s="197"/>
      <c r="Q168" s="198" t="str">
        <f>+'PRODUKSI 2'!D17</f>
        <v>TK</v>
      </c>
      <c r="R168" s="187">
        <f>+'PRODUKSI 2'!AI17</f>
        <v>0</v>
      </c>
      <c r="S168" s="188"/>
    </row>
    <row r="169" spans="1:20" ht="14.25" customHeight="1">
      <c r="A169" s="170"/>
      <c r="B169" s="186" t="s">
        <v>225</v>
      </c>
      <c r="C169" s="186"/>
      <c r="D169" s="197"/>
      <c r="E169" s="186"/>
      <c r="F169" s="197"/>
      <c r="G169" s="198"/>
      <c r="H169" s="187">
        <f>+'PRODUKSI 2'!AF16+'PRODUKSI 2'!AG16</f>
        <v>48772.11</v>
      </c>
      <c r="I169" s="188"/>
      <c r="J169" s="209"/>
      <c r="K169" s="170"/>
      <c r="L169" s="186" t="s">
        <v>225</v>
      </c>
      <c r="M169" s="186"/>
      <c r="N169" s="198"/>
      <c r="O169" s="186"/>
      <c r="P169" s="197"/>
      <c r="Q169" s="198"/>
      <c r="R169" s="187">
        <f>+'PRODUKSI 2'!AF17+'PRODUKSI 2'!AG17</f>
        <v>97544.22</v>
      </c>
      <c r="S169" s="188"/>
    </row>
    <row r="170" spans="1:20" ht="14.25" customHeight="1">
      <c r="A170" s="170"/>
      <c r="B170" s="186" t="s">
        <v>226</v>
      </c>
      <c r="C170" s="186"/>
      <c r="D170" s="197"/>
      <c r="E170" s="186"/>
      <c r="F170" s="197"/>
      <c r="G170" s="198"/>
      <c r="H170" s="187">
        <f>+'PRODUKSI 2'!AD16+'PRODUKSI 2'!AE16</f>
        <v>146316.33000000002</v>
      </c>
      <c r="I170" s="188"/>
      <c r="J170" s="209"/>
      <c r="K170" s="170"/>
      <c r="L170" s="186" t="s">
        <v>226</v>
      </c>
      <c r="M170" s="186"/>
      <c r="N170" s="198"/>
      <c r="O170" s="186"/>
      <c r="P170" s="197"/>
      <c r="Q170" s="198"/>
      <c r="R170" s="187">
        <f>+'PRODUKSI 2'!AD17+'PRODUKSI 2'!AE17</f>
        <v>146316.33000000002</v>
      </c>
      <c r="S170" s="188"/>
    </row>
    <row r="171" spans="1:20" ht="14.25" customHeight="1">
      <c r="A171" s="170"/>
      <c r="B171" s="186" t="s">
        <v>103</v>
      </c>
      <c r="C171" s="186"/>
      <c r="D171" s="186"/>
      <c r="E171" s="186"/>
      <c r="F171" s="197"/>
      <c r="G171" s="198"/>
      <c r="H171" s="187">
        <f>+H161</f>
        <v>448215.69090000005</v>
      </c>
      <c r="I171" s="188"/>
      <c r="J171" s="209"/>
      <c r="K171" s="170"/>
      <c r="L171" s="186" t="s">
        <v>103</v>
      </c>
      <c r="M171" s="186"/>
      <c r="N171" s="186"/>
      <c r="O171" s="186"/>
      <c r="P171" s="197"/>
      <c r="Q171" s="187"/>
      <c r="R171" s="187">
        <f>+R161</f>
        <v>448215.69090000005</v>
      </c>
      <c r="S171" s="188"/>
    </row>
    <row r="172" spans="1:20" ht="14.25" customHeight="1" thickBot="1">
      <c r="A172" s="170"/>
      <c r="B172" s="190" t="s">
        <v>211</v>
      </c>
      <c r="C172" s="190"/>
      <c r="D172" s="190"/>
      <c r="E172" s="190"/>
      <c r="F172" s="228"/>
      <c r="G172" s="192"/>
      <c r="H172" s="192">
        <f>SUM(H168:H171)</f>
        <v>643304.13089999999</v>
      </c>
      <c r="I172" s="188"/>
      <c r="J172" s="209"/>
      <c r="K172" s="170"/>
      <c r="L172" s="190" t="s">
        <v>211</v>
      </c>
      <c r="M172" s="190"/>
      <c r="N172" s="190"/>
      <c r="O172" s="190"/>
      <c r="P172" s="228"/>
      <c r="Q172" s="192"/>
      <c r="R172" s="192">
        <f>SUM(R168:R171)</f>
        <v>692076.24090000009</v>
      </c>
      <c r="S172" s="188"/>
    </row>
    <row r="173" spans="1:20" ht="15.75" thickBot="1">
      <c r="A173" s="170"/>
      <c r="B173" s="193" t="s">
        <v>220</v>
      </c>
      <c r="C173" s="193"/>
      <c r="D173" s="193"/>
      <c r="E173" s="193"/>
      <c r="F173" s="229"/>
      <c r="G173" s="195"/>
      <c r="H173" s="195">
        <f>H166-H172</f>
        <v>4411766.5599999996</v>
      </c>
      <c r="I173" s="188"/>
      <c r="J173" s="209"/>
      <c r="K173" s="170"/>
      <c r="L173" s="193" t="s">
        <v>220</v>
      </c>
      <c r="M173" s="193"/>
      <c r="N173" s="193"/>
      <c r="O173" s="193"/>
      <c r="P173" s="229"/>
      <c r="Q173" s="195"/>
      <c r="R173" s="195">
        <f>SUM(R166-R172)</f>
        <v>4246994.4499999993</v>
      </c>
      <c r="S173" s="188"/>
    </row>
    <row r="174" spans="1:20">
      <c r="A174" s="170"/>
      <c r="B174" s="186" t="s">
        <v>221</v>
      </c>
      <c r="C174" s="186"/>
      <c r="D174" s="186"/>
      <c r="E174" s="186"/>
      <c r="F174" s="197"/>
      <c r="G174" s="187"/>
      <c r="H174" s="187">
        <v>10000</v>
      </c>
      <c r="I174" s="188"/>
      <c r="J174" s="209"/>
      <c r="K174" s="170"/>
      <c r="L174" s="186" t="s">
        <v>230</v>
      </c>
      <c r="M174" s="186"/>
      <c r="N174" s="186"/>
      <c r="O174" s="186"/>
      <c r="P174" s="197"/>
      <c r="Q174" s="187"/>
      <c r="R174" s="187">
        <v>10000</v>
      </c>
      <c r="S174" s="188"/>
    </row>
    <row r="175" spans="1:20" ht="10.5" customHeight="1" thickBot="1">
      <c r="A175" s="170"/>
      <c r="B175" s="199"/>
      <c r="C175" s="190"/>
      <c r="D175" s="190"/>
      <c r="E175" s="190"/>
      <c r="F175" s="228"/>
      <c r="G175" s="192"/>
      <c r="H175" s="192"/>
      <c r="I175" s="188"/>
      <c r="J175" s="187"/>
      <c r="K175" s="170"/>
      <c r="L175" s="199"/>
      <c r="M175" s="190"/>
      <c r="N175" s="190"/>
      <c r="O175" s="190"/>
      <c r="P175" s="228"/>
      <c r="Q175" s="192"/>
      <c r="R175" s="192"/>
      <c r="S175" s="188"/>
    </row>
    <row r="176" spans="1:20" ht="15.75" thickBot="1">
      <c r="A176" s="170"/>
      <c r="B176" s="200" t="s">
        <v>212</v>
      </c>
      <c r="C176" s="200"/>
      <c r="D176" s="200"/>
      <c r="E176" s="200"/>
      <c r="F176" s="230"/>
      <c r="G176" s="201"/>
      <c r="H176" s="201">
        <f>SUM(H173-H174)</f>
        <v>4401766.5599999996</v>
      </c>
      <c r="I176" s="188"/>
      <c r="J176" s="187"/>
      <c r="K176" s="170"/>
      <c r="L176" s="200" t="s">
        <v>212</v>
      </c>
      <c r="M176" s="200"/>
      <c r="N176" s="200"/>
      <c r="O176" s="200"/>
      <c r="P176" s="230"/>
      <c r="Q176" s="201"/>
      <c r="R176" s="201">
        <f>SUM(R173-R174)</f>
        <v>4236994.4499999993</v>
      </c>
      <c r="S176" s="188"/>
    </row>
    <row r="177" spans="1:19" ht="15.75" thickTop="1">
      <c r="A177" s="170"/>
      <c r="B177" s="202" t="s">
        <v>213</v>
      </c>
      <c r="C177" s="186"/>
      <c r="D177" s="186"/>
      <c r="E177" s="186"/>
      <c r="F177" s="197"/>
      <c r="G177" s="296" t="s">
        <v>214</v>
      </c>
      <c r="H177" s="296"/>
      <c r="I177" s="188"/>
      <c r="J177" s="187"/>
      <c r="K177" s="170"/>
      <c r="L177" s="202" t="s">
        <v>213</v>
      </c>
      <c r="M177" s="186"/>
      <c r="N177" s="186"/>
      <c r="O177" s="186"/>
      <c r="P177" s="197"/>
      <c r="Q177" s="296" t="s">
        <v>214</v>
      </c>
      <c r="R177" s="296"/>
      <c r="S177" s="188"/>
    </row>
    <row r="178" spans="1:19" ht="12.75" customHeight="1">
      <c r="A178" s="170"/>
      <c r="B178" s="186"/>
      <c r="C178" s="186"/>
      <c r="D178" s="186"/>
      <c r="E178" s="186"/>
      <c r="F178" s="197"/>
      <c r="G178" s="187"/>
      <c r="H178" s="187"/>
      <c r="I178" s="188"/>
      <c r="J178" s="187"/>
      <c r="K178" s="170"/>
      <c r="L178" s="186"/>
      <c r="M178" s="186"/>
      <c r="N178" s="186"/>
      <c r="O178" s="186"/>
      <c r="P178" s="197"/>
      <c r="Q178" s="187"/>
      <c r="R178" s="187"/>
      <c r="S178" s="188"/>
    </row>
    <row r="179" spans="1:19" ht="12.75" customHeight="1">
      <c r="A179" s="170"/>
      <c r="B179" s="186"/>
      <c r="C179" s="186"/>
      <c r="D179" s="186"/>
      <c r="E179" s="186"/>
      <c r="F179" s="197"/>
      <c r="G179" s="187"/>
      <c r="H179" s="187"/>
      <c r="I179" s="188"/>
      <c r="J179" s="187"/>
      <c r="K179" s="170"/>
      <c r="L179" s="186"/>
      <c r="M179" s="186"/>
      <c r="N179" s="186"/>
      <c r="O179" s="186"/>
      <c r="P179" s="197"/>
      <c r="Q179" s="187"/>
      <c r="R179" s="187"/>
      <c r="S179" s="188"/>
    </row>
    <row r="180" spans="1:19" ht="12.75" customHeight="1">
      <c r="A180" s="170"/>
      <c r="B180" s="203" t="s">
        <v>215</v>
      </c>
      <c r="C180" s="186"/>
      <c r="D180" s="186"/>
      <c r="E180" s="186"/>
      <c r="F180" s="197"/>
      <c r="G180" s="297" t="s">
        <v>216</v>
      </c>
      <c r="H180" s="297"/>
      <c r="I180" s="188"/>
      <c r="J180" s="187"/>
      <c r="K180" s="170"/>
      <c r="L180" s="203" t="s">
        <v>215</v>
      </c>
      <c r="M180" s="186"/>
      <c r="N180" s="186"/>
      <c r="O180" s="186"/>
      <c r="P180" s="197"/>
      <c r="Q180" s="297" t="s">
        <v>216</v>
      </c>
      <c r="R180" s="297"/>
      <c r="S180" s="188"/>
    </row>
    <row r="181" spans="1:19" ht="7.5" customHeight="1">
      <c r="A181" s="204"/>
      <c r="B181" s="205"/>
      <c r="C181" s="206"/>
      <c r="D181" s="206"/>
      <c r="E181" s="206"/>
      <c r="F181" s="231"/>
      <c r="G181" s="207"/>
      <c r="H181" s="205"/>
      <c r="I181" s="208"/>
      <c r="J181" s="187"/>
      <c r="K181" s="204"/>
      <c r="L181" s="205"/>
      <c r="M181" s="206"/>
      <c r="N181" s="206"/>
      <c r="O181" s="206"/>
      <c r="P181" s="231"/>
      <c r="Q181" s="207"/>
      <c r="R181" s="205"/>
      <c r="S181" s="208"/>
    </row>
    <row r="183" spans="1:19">
      <c r="A183" s="166"/>
      <c r="B183" s="167"/>
      <c r="C183" s="167"/>
      <c r="D183" s="167"/>
      <c r="E183" s="167"/>
      <c r="F183" s="223"/>
      <c r="G183" s="167"/>
      <c r="H183" s="167"/>
      <c r="I183" s="168"/>
      <c r="J183" s="169"/>
      <c r="K183" s="166"/>
      <c r="L183" s="167"/>
      <c r="M183" s="167"/>
      <c r="N183" s="167"/>
      <c r="O183" s="167"/>
      <c r="P183" s="223"/>
      <c r="Q183" s="167"/>
      <c r="R183" s="167"/>
      <c r="S183" s="168"/>
    </row>
    <row r="184" spans="1:19">
      <c r="A184" s="170"/>
      <c r="B184" s="169"/>
      <c r="C184" s="169"/>
      <c r="D184" s="169"/>
      <c r="E184" s="169"/>
      <c r="F184" s="224"/>
      <c r="G184" s="169"/>
      <c r="H184" s="169"/>
      <c r="I184" s="171"/>
      <c r="J184" s="169"/>
      <c r="K184" s="170"/>
      <c r="L184" s="169"/>
      <c r="M184" s="169"/>
      <c r="N184" s="169"/>
      <c r="O184" s="169"/>
      <c r="P184" s="224"/>
      <c r="Q184" s="169"/>
      <c r="R184" s="169"/>
      <c r="S184" s="171"/>
    </row>
    <row r="185" spans="1:19">
      <c r="A185" s="170"/>
      <c r="B185" s="169"/>
      <c r="C185" s="169"/>
      <c r="D185" s="169"/>
      <c r="E185" s="169"/>
      <c r="F185" s="224"/>
      <c r="G185" s="169"/>
      <c r="H185" s="169"/>
      <c r="I185" s="171"/>
      <c r="J185" s="169"/>
      <c r="K185" s="170"/>
      <c r="L185" s="169"/>
      <c r="M185" s="169"/>
      <c r="N185" s="169"/>
      <c r="O185" s="169"/>
      <c r="P185" s="224"/>
      <c r="Q185" s="169"/>
      <c r="R185" s="169"/>
      <c r="S185" s="171"/>
    </row>
    <row r="186" spans="1:19">
      <c r="A186" s="170"/>
      <c r="B186" s="294" t="s">
        <v>196</v>
      </c>
      <c r="C186" s="294"/>
      <c r="D186" s="294"/>
      <c r="E186" s="294"/>
      <c r="F186" s="294"/>
      <c r="G186" s="294"/>
      <c r="H186" s="294"/>
      <c r="I186" s="295"/>
      <c r="J186" s="169"/>
      <c r="K186" s="170"/>
      <c r="L186" s="294" t="s">
        <v>196</v>
      </c>
      <c r="M186" s="294"/>
      <c r="N186" s="294"/>
      <c r="O186" s="294"/>
      <c r="P186" s="294"/>
      <c r="Q186" s="294"/>
      <c r="R186" s="294"/>
      <c r="S186" s="295"/>
    </row>
    <row r="187" spans="1:19">
      <c r="A187" s="172"/>
      <c r="B187" s="173" t="s">
        <v>197</v>
      </c>
      <c r="C187" s="174" t="s">
        <v>198</v>
      </c>
      <c r="D187" s="211">
        <v>11</v>
      </c>
      <c r="E187" s="173"/>
      <c r="F187" s="225"/>
      <c r="G187" s="173"/>
      <c r="H187" s="173"/>
      <c r="I187" s="176"/>
      <c r="J187" s="173"/>
      <c r="K187" s="172"/>
      <c r="L187" s="173" t="s">
        <v>197</v>
      </c>
      <c r="M187" s="174" t="s">
        <v>198</v>
      </c>
      <c r="N187" s="211">
        <v>12</v>
      </c>
      <c r="O187" s="175"/>
      <c r="P187" s="225"/>
      <c r="Q187" s="173"/>
      <c r="R187" s="173"/>
      <c r="S187" s="176"/>
    </row>
    <row r="188" spans="1:19">
      <c r="A188" s="172"/>
      <c r="B188" s="173" t="s">
        <v>199</v>
      </c>
      <c r="C188" s="174" t="s">
        <v>198</v>
      </c>
      <c r="D188" s="177" t="s">
        <v>229</v>
      </c>
      <c r="E188" s="173"/>
      <c r="F188" s="225"/>
      <c r="G188" s="173"/>
      <c r="H188" s="173"/>
      <c r="I188" s="176"/>
      <c r="J188" s="173"/>
      <c r="K188" s="172"/>
      <c r="L188" s="173" t="s">
        <v>199</v>
      </c>
      <c r="M188" s="174" t="s">
        <v>198</v>
      </c>
      <c r="N188" s="177" t="s">
        <v>229</v>
      </c>
      <c r="O188" s="179"/>
      <c r="P188" s="225"/>
      <c r="Q188" s="173"/>
      <c r="R188" s="173"/>
      <c r="S188" s="176"/>
    </row>
    <row r="189" spans="1:19">
      <c r="A189" s="172"/>
      <c r="B189" s="173" t="s">
        <v>200</v>
      </c>
      <c r="C189" s="174" t="s">
        <v>198</v>
      </c>
      <c r="D189" s="177" t="str">
        <f>+'PRODUKSI 2'!B18</f>
        <v>FERI TIRANA</v>
      </c>
      <c r="E189" s="173"/>
      <c r="F189" s="225"/>
      <c r="G189" s="173"/>
      <c r="H189" s="173"/>
      <c r="I189" s="176"/>
      <c r="J189" s="173"/>
      <c r="K189" s="172"/>
      <c r="L189" s="173" t="s">
        <v>200</v>
      </c>
      <c r="M189" s="174" t="s">
        <v>198</v>
      </c>
      <c r="N189" s="178" t="str">
        <f>+'PRODUKSI 2'!B19</f>
        <v>RIO ROMADAN</v>
      </c>
      <c r="O189" s="173"/>
      <c r="P189" s="225"/>
      <c r="Q189" s="173"/>
      <c r="R189" s="173"/>
      <c r="S189" s="176"/>
    </row>
    <row r="190" spans="1:19" ht="15.75" thickBot="1">
      <c r="A190" s="172"/>
      <c r="B190" s="173" t="s">
        <v>201</v>
      </c>
      <c r="C190" s="174" t="s">
        <v>198</v>
      </c>
      <c r="D190" s="177" t="str">
        <f>+'PRODUKSI 2'!C18</f>
        <v>SLITER</v>
      </c>
      <c r="E190" s="173"/>
      <c r="F190" s="225"/>
      <c r="G190" s="173"/>
      <c r="H190" s="173"/>
      <c r="I190" s="176"/>
      <c r="J190" s="173"/>
      <c r="K190" s="172"/>
      <c r="L190" s="173" t="s">
        <v>201</v>
      </c>
      <c r="M190" s="174" t="s">
        <v>198</v>
      </c>
      <c r="N190" s="178" t="str">
        <f>+'PRODUKSI 2'!C19</f>
        <v>PRINTER</v>
      </c>
      <c r="O190" s="179"/>
      <c r="P190" s="225"/>
      <c r="Q190" s="173"/>
      <c r="R190" s="173"/>
      <c r="S190" s="176"/>
    </row>
    <row r="191" spans="1:19" ht="10.5" customHeight="1" thickTop="1">
      <c r="A191" s="170"/>
      <c r="B191" s="182"/>
      <c r="C191" s="182"/>
      <c r="D191" s="182"/>
      <c r="E191" s="182"/>
      <c r="F191" s="182"/>
      <c r="G191" s="182"/>
      <c r="H191" s="182"/>
      <c r="I191" s="183"/>
      <c r="J191" s="169"/>
      <c r="K191" s="170"/>
      <c r="L191" s="182"/>
      <c r="M191" s="182"/>
      <c r="N191" s="182"/>
      <c r="O191" s="182"/>
      <c r="P191" s="182"/>
      <c r="Q191" s="182"/>
      <c r="R191" s="182"/>
      <c r="S191" s="183"/>
    </row>
    <row r="192" spans="1:19">
      <c r="A192" s="170"/>
      <c r="B192" s="184" t="s">
        <v>202</v>
      </c>
      <c r="C192" s="185"/>
      <c r="D192" s="185"/>
      <c r="E192" s="185"/>
      <c r="F192" s="227"/>
      <c r="G192" s="185"/>
      <c r="H192" s="185"/>
      <c r="I192" s="183"/>
      <c r="J192" s="169"/>
      <c r="K192" s="170"/>
      <c r="L192" s="184" t="s">
        <v>202</v>
      </c>
      <c r="M192" s="184"/>
      <c r="N192" s="185"/>
      <c r="O192" s="185"/>
      <c r="P192" s="227"/>
      <c r="Q192" s="185"/>
      <c r="R192" s="185"/>
      <c r="S192" s="183"/>
    </row>
    <row r="193" spans="1:20" ht="14.25" customHeight="1">
      <c r="A193" s="170"/>
      <c r="B193" s="186" t="s">
        <v>111</v>
      </c>
      <c r="C193" s="186"/>
      <c r="D193" s="186"/>
      <c r="E193" s="186"/>
      <c r="F193" s="197"/>
      <c r="G193" s="187"/>
      <c r="H193" s="187">
        <f>+'PRODUKSI 2'!H18</f>
        <v>4394855</v>
      </c>
      <c r="I193" s="188"/>
      <c r="J193" s="187"/>
      <c r="K193" s="170"/>
      <c r="L193" s="186" t="s">
        <v>111</v>
      </c>
      <c r="M193" s="186"/>
      <c r="N193" s="186"/>
      <c r="O193" s="186"/>
      <c r="P193" s="197"/>
      <c r="Q193" s="187"/>
      <c r="R193" s="187">
        <f>+'PRODUKSI 2'!H19</f>
        <v>4394855</v>
      </c>
      <c r="S193" s="188"/>
    </row>
    <row r="194" spans="1:20" ht="14.25" customHeight="1">
      <c r="A194" s="170"/>
      <c r="B194" s="186" t="s">
        <v>203</v>
      </c>
      <c r="C194" s="186"/>
      <c r="D194" s="186"/>
      <c r="E194" s="186"/>
      <c r="F194" s="197"/>
      <c r="G194" s="187"/>
      <c r="H194" s="187">
        <f>+'PRODUKSI 2'!I18</f>
        <v>80000</v>
      </c>
      <c r="I194" s="188"/>
      <c r="J194" s="209"/>
      <c r="K194" s="170"/>
      <c r="L194" s="186" t="s">
        <v>203</v>
      </c>
      <c r="M194" s="186"/>
      <c r="N194" s="186"/>
      <c r="O194" s="186"/>
      <c r="P194" s="197"/>
      <c r="Q194" s="187"/>
      <c r="R194" s="187">
        <f>+'PRODUKSI 2'!I19</f>
        <v>0</v>
      </c>
      <c r="S194" s="188"/>
    </row>
    <row r="195" spans="1:20" ht="14.25" customHeight="1">
      <c r="A195" s="170"/>
      <c r="B195" s="186" t="s">
        <v>227</v>
      </c>
      <c r="C195" s="186"/>
      <c r="D195" s="186"/>
      <c r="E195" s="186"/>
      <c r="F195" s="197"/>
      <c r="G195" s="187"/>
      <c r="H195" s="187">
        <f>+'PRODUKSI 2'!J18</f>
        <v>80000</v>
      </c>
      <c r="I195" s="188"/>
      <c r="J195" s="209"/>
      <c r="K195" s="170"/>
      <c r="L195" s="186" t="s">
        <v>227</v>
      </c>
      <c r="M195" s="186"/>
      <c r="N195" s="186"/>
      <c r="O195" s="186"/>
      <c r="P195" s="197"/>
      <c r="Q195" s="187"/>
      <c r="R195" s="187">
        <f>+'PRODUKSI 2'!J19</f>
        <v>0</v>
      </c>
      <c r="S195" s="188"/>
    </row>
    <row r="196" spans="1:20" ht="14.25" customHeight="1">
      <c r="A196" s="170"/>
      <c r="B196" s="186" t="s">
        <v>228</v>
      </c>
      <c r="C196" s="186"/>
      <c r="D196" s="186"/>
      <c r="E196" s="186"/>
      <c r="F196" s="197"/>
      <c r="G196" s="187"/>
      <c r="H196" s="187">
        <f>+'PRODUKSI 2'!K18</f>
        <v>0</v>
      </c>
      <c r="I196" s="188"/>
      <c r="J196" s="209"/>
      <c r="K196" s="170"/>
      <c r="L196" s="186" t="s">
        <v>228</v>
      </c>
      <c r="M196" s="186"/>
      <c r="N196" s="186"/>
      <c r="O196" s="186"/>
      <c r="P196" s="197"/>
      <c r="Q196" s="187"/>
      <c r="R196" s="187">
        <f>+'PRODUKSI 2'!K19</f>
        <v>0</v>
      </c>
      <c r="S196" s="188"/>
    </row>
    <row r="197" spans="1:20" ht="14.25" customHeight="1">
      <c r="A197" s="170"/>
      <c r="B197" s="186" t="s">
        <v>224</v>
      </c>
      <c r="C197" s="186"/>
      <c r="D197" s="186"/>
      <c r="E197" s="186"/>
      <c r="F197" s="197"/>
      <c r="G197" s="187"/>
      <c r="H197" s="187">
        <f>+'PRODUKSI 2'!AB18</f>
        <v>448215.69090000005</v>
      </c>
      <c r="I197" s="188"/>
      <c r="J197" s="209"/>
      <c r="K197" s="170"/>
      <c r="L197" s="186" t="s">
        <v>224</v>
      </c>
      <c r="M197" s="186"/>
      <c r="N197" s="186"/>
      <c r="O197" s="186"/>
      <c r="P197" s="197"/>
      <c r="Q197" s="187"/>
      <c r="R197" s="187">
        <f>+'PRODUKSI 2'!AB19</f>
        <v>448215.69090000005</v>
      </c>
      <c r="S197" s="188"/>
    </row>
    <row r="198" spans="1:20" ht="14.25" customHeight="1">
      <c r="A198" s="170"/>
      <c r="B198" s="186" t="s">
        <v>195</v>
      </c>
      <c r="C198" s="186"/>
      <c r="D198" s="187"/>
      <c r="E198" s="186"/>
      <c r="F198" s="197"/>
      <c r="G198" s="187"/>
      <c r="H198" s="187">
        <f>+'PRODUKSI 2'!U18</f>
        <v>96000</v>
      </c>
      <c r="I198" s="188"/>
      <c r="J198" s="187"/>
      <c r="K198" s="170"/>
      <c r="L198" s="186" t="s">
        <v>195</v>
      </c>
      <c r="M198" s="186"/>
      <c r="N198" s="187"/>
      <c r="O198" s="186"/>
      <c r="P198" s="197"/>
      <c r="Q198" s="187"/>
      <c r="R198" s="187">
        <f>+'PRODUKSI 2'!U19</f>
        <v>96000</v>
      </c>
      <c r="S198" s="188"/>
    </row>
    <row r="199" spans="1:20" ht="14.25" customHeight="1">
      <c r="A199" s="170"/>
      <c r="B199" s="220" t="s">
        <v>233</v>
      </c>
      <c r="C199" s="186"/>
      <c r="D199" s="187"/>
      <c r="E199" s="186"/>
      <c r="F199" s="197"/>
      <c r="G199" s="187"/>
      <c r="H199" s="187"/>
      <c r="I199" s="188"/>
      <c r="J199" s="209"/>
      <c r="K199" s="170"/>
      <c r="L199" s="220" t="s">
        <v>233</v>
      </c>
      <c r="M199" s="186"/>
      <c r="N199" s="187"/>
      <c r="O199" s="186"/>
      <c r="P199" s="197"/>
      <c r="Q199" s="187"/>
      <c r="R199" s="187"/>
      <c r="S199" s="188"/>
      <c r="T199" s="218"/>
    </row>
    <row r="200" spans="1:20" ht="14.25" customHeight="1">
      <c r="A200" s="170"/>
      <c r="B200" s="186" t="s">
        <v>206</v>
      </c>
      <c r="C200" s="186"/>
      <c r="D200" s="212">
        <v>0</v>
      </c>
      <c r="E200" s="186" t="s">
        <v>207</v>
      </c>
      <c r="F200" s="197" t="s">
        <v>205</v>
      </c>
      <c r="G200" s="187">
        <v>21564</v>
      </c>
      <c r="H200" s="187">
        <f>G200*D200</f>
        <v>0</v>
      </c>
      <c r="I200" s="188"/>
      <c r="J200" s="187"/>
      <c r="K200" s="170"/>
      <c r="L200" s="186" t="s">
        <v>206</v>
      </c>
      <c r="M200" s="186"/>
      <c r="N200" s="212">
        <v>0</v>
      </c>
      <c r="O200" s="186" t="s">
        <v>207</v>
      </c>
      <c r="P200" s="197" t="s">
        <v>205</v>
      </c>
      <c r="Q200" s="187">
        <v>21564</v>
      </c>
      <c r="R200" s="187">
        <f>Q200*N200</f>
        <v>0</v>
      </c>
      <c r="S200" s="188"/>
    </row>
    <row r="201" spans="1:20" ht="14.25" customHeight="1" thickBot="1">
      <c r="A201" s="170"/>
      <c r="B201" s="190" t="s">
        <v>208</v>
      </c>
      <c r="C201" s="190"/>
      <c r="D201" s="213">
        <v>0</v>
      </c>
      <c r="E201" s="190" t="s">
        <v>207</v>
      </c>
      <c r="F201" s="228" t="s">
        <v>205</v>
      </c>
      <c r="G201" s="192">
        <f>G200</f>
        <v>21564</v>
      </c>
      <c r="H201" s="192">
        <f>G201*D201</f>
        <v>0</v>
      </c>
      <c r="I201" s="188"/>
      <c r="J201" s="187"/>
      <c r="K201" s="170"/>
      <c r="L201" s="190" t="s">
        <v>208</v>
      </c>
      <c r="M201" s="190"/>
      <c r="N201" s="213">
        <v>0</v>
      </c>
      <c r="O201" s="190" t="s">
        <v>207</v>
      </c>
      <c r="P201" s="228" t="s">
        <v>205</v>
      </c>
      <c r="Q201" s="192">
        <f>Q200</f>
        <v>21564</v>
      </c>
      <c r="R201" s="192">
        <f>Q201*N201</f>
        <v>0</v>
      </c>
      <c r="S201" s="188"/>
    </row>
    <row r="202" spans="1:20" ht="15.75" thickBot="1">
      <c r="A202" s="170"/>
      <c r="B202" s="190" t="s">
        <v>219</v>
      </c>
      <c r="C202" s="190"/>
      <c r="D202" s="213">
        <f>SUM(D199:D201)</f>
        <v>0</v>
      </c>
      <c r="E202" s="190"/>
      <c r="F202" s="228"/>
      <c r="G202" s="192"/>
      <c r="H202" s="192">
        <f>SUM(H193:H201)</f>
        <v>5099070.6908999998</v>
      </c>
      <c r="I202" s="188"/>
      <c r="J202" s="187"/>
      <c r="K202" s="170"/>
      <c r="L202" s="190" t="s">
        <v>219</v>
      </c>
      <c r="M202" s="190"/>
      <c r="N202" s="213">
        <f>SUM(N199:N201)</f>
        <v>0</v>
      </c>
      <c r="O202" s="190"/>
      <c r="P202" s="228"/>
      <c r="Q202" s="192"/>
      <c r="R202" s="192">
        <f>SUM(R193:R201)</f>
        <v>4939070.6908999998</v>
      </c>
      <c r="S202" s="188"/>
    </row>
    <row r="203" spans="1:20">
      <c r="A203" s="170"/>
      <c r="B203" s="196" t="s">
        <v>113</v>
      </c>
      <c r="C203" s="186"/>
      <c r="D203" s="186"/>
      <c r="E203" s="186"/>
      <c r="F203" s="197"/>
      <c r="G203" s="187"/>
      <c r="H203" s="187"/>
      <c r="I203" s="188"/>
      <c r="J203" s="209"/>
      <c r="K203" s="170"/>
      <c r="L203" s="196" t="s">
        <v>113</v>
      </c>
      <c r="M203" s="186"/>
      <c r="N203" s="186"/>
      <c r="O203" s="186"/>
      <c r="P203" s="197"/>
      <c r="Q203" s="187"/>
      <c r="R203" s="187"/>
      <c r="S203" s="188"/>
    </row>
    <row r="204" spans="1:20" ht="14.25" customHeight="1">
      <c r="A204" s="170"/>
      <c r="B204" s="186" t="s">
        <v>209</v>
      </c>
      <c r="C204" s="186"/>
      <c r="D204" s="197"/>
      <c r="E204" s="186"/>
      <c r="F204" s="197"/>
      <c r="G204" s="198" t="str">
        <f>+'PRODUKSI 2'!D19</f>
        <v>TK</v>
      </c>
      <c r="H204" s="187">
        <f>+'PRODUKSI 2'!AI18</f>
        <v>0</v>
      </c>
      <c r="I204" s="188"/>
      <c r="J204" s="209"/>
      <c r="K204" s="170"/>
      <c r="L204" s="186" t="s">
        <v>209</v>
      </c>
      <c r="M204" s="186"/>
      <c r="N204" s="198"/>
      <c r="O204" s="186"/>
      <c r="P204" s="197"/>
      <c r="Q204" s="198" t="str">
        <f>+'PRODUKSI 2'!D19</f>
        <v>TK</v>
      </c>
      <c r="R204" s="187">
        <f>+'PRODUKSI 2'!AI19</f>
        <v>0</v>
      </c>
      <c r="S204" s="188"/>
    </row>
    <row r="205" spans="1:20" ht="14.25" customHeight="1">
      <c r="A205" s="170"/>
      <c r="B205" s="186" t="s">
        <v>225</v>
      </c>
      <c r="C205" s="186"/>
      <c r="D205" s="197"/>
      <c r="E205" s="186"/>
      <c r="F205" s="197"/>
      <c r="G205" s="198"/>
      <c r="H205" s="187">
        <f>+'PRODUKSI 2'!AF18+'PRODUKSI 2'!AG18</f>
        <v>48772.11</v>
      </c>
      <c r="I205" s="188"/>
      <c r="J205" s="209"/>
      <c r="K205" s="170"/>
      <c r="L205" s="186" t="s">
        <v>225</v>
      </c>
      <c r="M205" s="186"/>
      <c r="N205" s="198"/>
      <c r="O205" s="186"/>
      <c r="P205" s="197"/>
      <c r="Q205" s="198"/>
      <c r="R205" s="187">
        <f>+'PRODUKSI 2'!AF19+'PRODUKSI 2'!AG19</f>
        <v>48772.11</v>
      </c>
      <c r="S205" s="188"/>
    </row>
    <row r="206" spans="1:20" ht="14.25" customHeight="1">
      <c r="A206" s="170"/>
      <c r="B206" s="186" t="s">
        <v>226</v>
      </c>
      <c r="C206" s="186"/>
      <c r="D206" s="197"/>
      <c r="E206" s="186"/>
      <c r="F206" s="197"/>
      <c r="G206" s="198"/>
      <c r="H206" s="187">
        <f>+'PRODUKSI 2'!AD18+'PRODUKSI 2'!AE18</f>
        <v>146316.33000000002</v>
      </c>
      <c r="I206" s="188"/>
      <c r="J206" s="209"/>
      <c r="K206" s="170"/>
      <c r="L206" s="186" t="s">
        <v>226</v>
      </c>
      <c r="M206" s="186"/>
      <c r="N206" s="198"/>
      <c r="O206" s="186"/>
      <c r="P206" s="197"/>
      <c r="Q206" s="198"/>
      <c r="R206" s="187">
        <f>+'PRODUKSI 2'!AD19+'PRODUKSI 2'!AE19</f>
        <v>146316.33000000002</v>
      </c>
      <c r="S206" s="188"/>
    </row>
    <row r="207" spans="1:20" ht="14.25" customHeight="1">
      <c r="A207" s="170"/>
      <c r="B207" s="186" t="s">
        <v>103</v>
      </c>
      <c r="C207" s="186"/>
      <c r="D207" s="186"/>
      <c r="E207" s="186"/>
      <c r="F207" s="197"/>
      <c r="G207" s="198"/>
      <c r="H207" s="187">
        <f>+H197</f>
        <v>448215.69090000005</v>
      </c>
      <c r="I207" s="188"/>
      <c r="J207" s="209"/>
      <c r="K207" s="170"/>
      <c r="L207" s="186" t="s">
        <v>103</v>
      </c>
      <c r="M207" s="186"/>
      <c r="N207" s="186"/>
      <c r="O207" s="186"/>
      <c r="P207" s="197"/>
      <c r="Q207" s="187"/>
      <c r="R207" s="187">
        <f>+R197</f>
        <v>448215.69090000005</v>
      </c>
      <c r="S207" s="188"/>
    </row>
    <row r="208" spans="1:20" ht="14.25" customHeight="1" thickBot="1">
      <c r="A208" s="170"/>
      <c r="B208" s="190" t="s">
        <v>211</v>
      </c>
      <c r="C208" s="190"/>
      <c r="D208" s="190"/>
      <c r="E208" s="190"/>
      <c r="F208" s="228"/>
      <c r="G208" s="192"/>
      <c r="H208" s="192">
        <f>SUM(H204:H207)</f>
        <v>643304.13089999999</v>
      </c>
      <c r="I208" s="188"/>
      <c r="J208" s="209"/>
      <c r="K208" s="170"/>
      <c r="L208" s="190" t="s">
        <v>211</v>
      </c>
      <c r="M208" s="190"/>
      <c r="N208" s="190"/>
      <c r="O208" s="190"/>
      <c r="P208" s="228"/>
      <c r="Q208" s="192"/>
      <c r="R208" s="192">
        <f>SUM(R204:R207)</f>
        <v>643304.13089999999</v>
      </c>
      <c r="S208" s="188"/>
    </row>
    <row r="209" spans="1:19" ht="15.75" thickBot="1">
      <c r="A209" s="170"/>
      <c r="B209" s="193" t="s">
        <v>220</v>
      </c>
      <c r="C209" s="193"/>
      <c r="D209" s="193"/>
      <c r="E209" s="193"/>
      <c r="F209" s="229"/>
      <c r="G209" s="195"/>
      <c r="H209" s="195">
        <f>H202-H208</f>
        <v>4455766.5599999996</v>
      </c>
      <c r="I209" s="188"/>
      <c r="J209" s="209"/>
      <c r="K209" s="170"/>
      <c r="L209" s="193" t="s">
        <v>220</v>
      </c>
      <c r="M209" s="193"/>
      <c r="N209" s="193"/>
      <c r="O209" s="193"/>
      <c r="P209" s="229"/>
      <c r="Q209" s="195"/>
      <c r="R209" s="195">
        <f>SUM(R202-R208)</f>
        <v>4295766.5599999996</v>
      </c>
      <c r="S209" s="188"/>
    </row>
    <row r="210" spans="1:19">
      <c r="A210" s="170"/>
      <c r="B210" s="186" t="s">
        <v>230</v>
      </c>
      <c r="C210" s="186"/>
      <c r="D210" s="186"/>
      <c r="E210" s="186"/>
      <c r="F210" s="197"/>
      <c r="G210" s="187"/>
      <c r="H210" s="187">
        <v>10000</v>
      </c>
      <c r="I210" s="188"/>
      <c r="J210" s="209"/>
      <c r="K210" s="170"/>
      <c r="L210" s="186" t="s">
        <v>231</v>
      </c>
      <c r="M210" s="186"/>
      <c r="N210" s="186"/>
      <c r="O210" s="186"/>
      <c r="P210" s="197"/>
      <c r="Q210" s="187"/>
      <c r="R210" s="187">
        <v>10000</v>
      </c>
      <c r="S210" s="188"/>
    </row>
    <row r="211" spans="1:19" ht="10.5" customHeight="1" thickBot="1">
      <c r="A211" s="170"/>
      <c r="B211" s="199"/>
      <c r="C211" s="190"/>
      <c r="D211" s="190"/>
      <c r="E211" s="190"/>
      <c r="F211" s="228"/>
      <c r="G211" s="192"/>
      <c r="H211" s="192"/>
      <c r="I211" s="188"/>
      <c r="J211" s="187"/>
      <c r="K211" s="170"/>
      <c r="L211" s="199"/>
      <c r="M211" s="190"/>
      <c r="N211" s="190"/>
      <c r="O211" s="190"/>
      <c r="P211" s="228"/>
      <c r="Q211" s="192"/>
      <c r="R211" s="192"/>
      <c r="S211" s="188"/>
    </row>
    <row r="212" spans="1:19" ht="15.75" thickBot="1">
      <c r="A212" s="170"/>
      <c r="B212" s="200" t="s">
        <v>212</v>
      </c>
      <c r="C212" s="200"/>
      <c r="D212" s="200"/>
      <c r="E212" s="200"/>
      <c r="F212" s="230"/>
      <c r="G212" s="201"/>
      <c r="H212" s="201">
        <f>SUM(H209-H210)</f>
        <v>4445766.5599999996</v>
      </c>
      <c r="I212" s="188"/>
      <c r="J212" s="187"/>
      <c r="K212" s="170"/>
      <c r="L212" s="200" t="s">
        <v>212</v>
      </c>
      <c r="M212" s="200"/>
      <c r="N212" s="200"/>
      <c r="O212" s="200"/>
      <c r="P212" s="230"/>
      <c r="Q212" s="201"/>
      <c r="R212" s="201">
        <f>SUM(R209-R210)</f>
        <v>4285766.5599999996</v>
      </c>
      <c r="S212" s="188"/>
    </row>
    <row r="213" spans="1:19" ht="15.75" thickTop="1">
      <c r="A213" s="170"/>
      <c r="B213" s="202" t="s">
        <v>213</v>
      </c>
      <c r="C213" s="186"/>
      <c r="D213" s="186"/>
      <c r="E213" s="186"/>
      <c r="F213" s="197"/>
      <c r="G213" s="296" t="s">
        <v>214</v>
      </c>
      <c r="H213" s="296"/>
      <c r="I213" s="188"/>
      <c r="J213" s="187"/>
      <c r="K213" s="170"/>
      <c r="L213" s="202" t="s">
        <v>213</v>
      </c>
      <c r="M213" s="186"/>
      <c r="N213" s="186"/>
      <c r="O213" s="186"/>
      <c r="P213" s="197"/>
      <c r="Q213" s="296" t="s">
        <v>214</v>
      </c>
      <c r="R213" s="296"/>
      <c r="S213" s="188"/>
    </row>
    <row r="214" spans="1:19" ht="12.75" customHeight="1">
      <c r="A214" s="170"/>
      <c r="B214" s="186"/>
      <c r="C214" s="186"/>
      <c r="D214" s="186"/>
      <c r="E214" s="186"/>
      <c r="F214" s="197"/>
      <c r="G214" s="187"/>
      <c r="H214" s="187"/>
      <c r="I214" s="188"/>
      <c r="J214" s="187"/>
      <c r="K214" s="170"/>
      <c r="L214" s="186"/>
      <c r="M214" s="186"/>
      <c r="N214" s="186"/>
      <c r="O214" s="186"/>
      <c r="P214" s="197"/>
      <c r="Q214" s="187"/>
      <c r="R214" s="187"/>
      <c r="S214" s="188"/>
    </row>
    <row r="215" spans="1:19" ht="12.75" customHeight="1">
      <c r="A215" s="170"/>
      <c r="B215" s="186"/>
      <c r="C215" s="186"/>
      <c r="D215" s="186"/>
      <c r="E215" s="186"/>
      <c r="F215" s="197"/>
      <c r="G215" s="187"/>
      <c r="H215" s="187"/>
      <c r="I215" s="188"/>
      <c r="J215" s="187"/>
      <c r="K215" s="170"/>
      <c r="L215" s="186"/>
      <c r="M215" s="186"/>
      <c r="N215" s="186"/>
      <c r="O215" s="186"/>
      <c r="P215" s="197"/>
      <c r="Q215" s="187"/>
      <c r="R215" s="187"/>
      <c r="S215" s="188"/>
    </row>
    <row r="216" spans="1:19" ht="12.75" customHeight="1">
      <c r="A216" s="170"/>
      <c r="B216" s="203" t="s">
        <v>215</v>
      </c>
      <c r="C216" s="186"/>
      <c r="D216" s="186"/>
      <c r="E216" s="186"/>
      <c r="F216" s="197"/>
      <c r="G216" s="297" t="s">
        <v>216</v>
      </c>
      <c r="H216" s="297"/>
      <c r="I216" s="188"/>
      <c r="J216" s="187"/>
      <c r="K216" s="170"/>
      <c r="L216" s="203" t="s">
        <v>215</v>
      </c>
      <c r="M216" s="186"/>
      <c r="N216" s="186"/>
      <c r="O216" s="186"/>
      <c r="P216" s="197"/>
      <c r="Q216" s="297" t="s">
        <v>216</v>
      </c>
      <c r="R216" s="297"/>
      <c r="S216" s="188"/>
    </row>
    <row r="217" spans="1:19" ht="7.5" customHeight="1">
      <c r="A217" s="204"/>
      <c r="B217" s="205"/>
      <c r="C217" s="206"/>
      <c r="D217" s="206"/>
      <c r="E217" s="206"/>
      <c r="F217" s="231"/>
      <c r="G217" s="207"/>
      <c r="H217" s="205"/>
      <c r="I217" s="208"/>
      <c r="J217" s="187"/>
      <c r="K217" s="204"/>
      <c r="L217" s="205"/>
      <c r="M217" s="206"/>
      <c r="N217" s="206"/>
      <c r="O217" s="206"/>
      <c r="P217" s="231"/>
      <c r="Q217" s="207"/>
      <c r="R217" s="205"/>
      <c r="S217" s="208"/>
    </row>
    <row r="220" spans="1:19">
      <c r="A220" s="166"/>
      <c r="B220" s="167"/>
      <c r="C220" s="167"/>
      <c r="D220" s="167"/>
      <c r="E220" s="167"/>
      <c r="F220" s="223"/>
      <c r="G220" s="167"/>
      <c r="H220" s="167"/>
      <c r="I220" s="168"/>
      <c r="J220" s="169"/>
      <c r="K220" s="166"/>
      <c r="L220" s="167"/>
      <c r="M220" s="167"/>
      <c r="N220" s="167"/>
      <c r="O220" s="167"/>
      <c r="P220" s="223"/>
      <c r="Q220" s="167"/>
      <c r="R220" s="167"/>
      <c r="S220" s="168"/>
    </row>
    <row r="221" spans="1:19">
      <c r="A221" s="170"/>
      <c r="B221" s="169"/>
      <c r="C221" s="169"/>
      <c r="D221" s="169"/>
      <c r="E221" s="169"/>
      <c r="F221" s="224"/>
      <c r="G221" s="169"/>
      <c r="H221" s="169"/>
      <c r="I221" s="171"/>
      <c r="J221" s="169"/>
      <c r="K221" s="170"/>
      <c r="L221" s="169"/>
      <c r="M221" s="169"/>
      <c r="N221" s="169"/>
      <c r="O221" s="169"/>
      <c r="P221" s="224"/>
      <c r="Q221" s="169"/>
      <c r="R221" s="169"/>
      <c r="S221" s="171"/>
    </row>
    <row r="222" spans="1:19">
      <c r="A222" s="170"/>
      <c r="B222" s="169"/>
      <c r="C222" s="169"/>
      <c r="D222" s="169"/>
      <c r="E222" s="169"/>
      <c r="F222" s="224"/>
      <c r="G222" s="169"/>
      <c r="H222" s="169"/>
      <c r="I222" s="171"/>
      <c r="J222" s="169"/>
      <c r="K222" s="170"/>
      <c r="L222" s="169"/>
      <c r="M222" s="169"/>
      <c r="N222" s="169"/>
      <c r="O222" s="169"/>
      <c r="P222" s="224"/>
      <c r="Q222" s="169"/>
      <c r="R222" s="169"/>
      <c r="S222" s="171"/>
    </row>
    <row r="223" spans="1:19">
      <c r="A223" s="170"/>
      <c r="B223" s="294" t="s">
        <v>196</v>
      </c>
      <c r="C223" s="294"/>
      <c r="D223" s="294"/>
      <c r="E223" s="294"/>
      <c r="F223" s="294"/>
      <c r="G223" s="294"/>
      <c r="H223" s="294"/>
      <c r="I223" s="295"/>
      <c r="J223" s="169"/>
      <c r="K223" s="170"/>
      <c r="L223" s="294" t="s">
        <v>196</v>
      </c>
      <c r="M223" s="294"/>
      <c r="N223" s="294"/>
      <c r="O223" s="294"/>
      <c r="P223" s="294"/>
      <c r="Q223" s="294"/>
      <c r="R223" s="294"/>
      <c r="S223" s="295"/>
    </row>
    <row r="224" spans="1:19">
      <c r="A224" s="172"/>
      <c r="B224" s="173" t="s">
        <v>197</v>
      </c>
      <c r="C224" s="174" t="s">
        <v>198</v>
      </c>
      <c r="D224" s="211">
        <v>13</v>
      </c>
      <c r="E224" s="173"/>
      <c r="F224" s="225"/>
      <c r="G224" s="173"/>
      <c r="H224" s="173"/>
      <c r="I224" s="176"/>
      <c r="J224" s="173"/>
      <c r="K224" s="172"/>
      <c r="L224" s="173" t="s">
        <v>197</v>
      </c>
      <c r="M224" s="174" t="s">
        <v>198</v>
      </c>
      <c r="N224" s="211">
        <v>14</v>
      </c>
      <c r="O224" s="175"/>
      <c r="P224" s="225"/>
      <c r="Q224" s="173"/>
      <c r="R224" s="173"/>
      <c r="S224" s="176"/>
    </row>
    <row r="225" spans="1:20">
      <c r="A225" s="172"/>
      <c r="B225" s="173" t="s">
        <v>199</v>
      </c>
      <c r="C225" s="174" t="s">
        <v>198</v>
      </c>
      <c r="D225" s="177" t="s">
        <v>229</v>
      </c>
      <c r="E225" s="173"/>
      <c r="F225" s="225"/>
      <c r="G225" s="173"/>
      <c r="H225" s="173"/>
      <c r="I225" s="176"/>
      <c r="J225" s="173"/>
      <c r="K225" s="172"/>
      <c r="L225" s="173" t="s">
        <v>199</v>
      </c>
      <c r="M225" s="174" t="s">
        <v>198</v>
      </c>
      <c r="N225" s="177" t="s">
        <v>229</v>
      </c>
      <c r="O225" s="179"/>
      <c r="P225" s="225"/>
      <c r="Q225" s="173"/>
      <c r="R225" s="173"/>
      <c r="S225" s="176"/>
    </row>
    <row r="226" spans="1:20">
      <c r="A226" s="172"/>
      <c r="B226" s="173" t="s">
        <v>200</v>
      </c>
      <c r="C226" s="174" t="s">
        <v>198</v>
      </c>
      <c r="D226" s="177" t="str">
        <f>+'PRODUKSI 2'!B20</f>
        <v>TAUFIK HERMANSYAH</v>
      </c>
      <c r="E226" s="173"/>
      <c r="F226" s="225"/>
      <c r="G226" s="173"/>
      <c r="H226" s="173"/>
      <c r="I226" s="176"/>
      <c r="J226" s="173"/>
      <c r="K226" s="172"/>
      <c r="L226" s="173" t="s">
        <v>200</v>
      </c>
      <c r="M226" s="174" t="s">
        <v>198</v>
      </c>
      <c r="N226" s="178" t="str">
        <f>+'PRODUKSI 2'!B21</f>
        <v>FAZAR SIDIK NUR MAULID</v>
      </c>
      <c r="O226" s="173"/>
      <c r="P226" s="225"/>
      <c r="Q226" s="173"/>
      <c r="R226" s="173"/>
      <c r="S226" s="176"/>
    </row>
    <row r="227" spans="1:20" ht="15.75" thickBot="1">
      <c r="A227" s="172"/>
      <c r="B227" s="173" t="s">
        <v>201</v>
      </c>
      <c r="C227" s="174" t="s">
        <v>198</v>
      </c>
      <c r="D227" s="177" t="str">
        <f>+'PRODUKSI 2'!C20</f>
        <v>SLITER</v>
      </c>
      <c r="E227" s="173"/>
      <c r="F227" s="225"/>
      <c r="G227" s="173"/>
      <c r="H227" s="173"/>
      <c r="I227" s="176"/>
      <c r="J227" s="173"/>
      <c r="K227" s="172"/>
      <c r="L227" s="173" t="s">
        <v>201</v>
      </c>
      <c r="M227" s="174" t="s">
        <v>198</v>
      </c>
      <c r="N227" s="178" t="str">
        <f>+'PRODUKSI 2'!C21</f>
        <v>UMUM</v>
      </c>
      <c r="O227" s="179"/>
      <c r="P227" s="225"/>
      <c r="Q227" s="173"/>
      <c r="R227" s="173"/>
      <c r="S227" s="176"/>
    </row>
    <row r="228" spans="1:20" ht="10.5" customHeight="1" thickTop="1">
      <c r="A228" s="170"/>
      <c r="B228" s="182"/>
      <c r="C228" s="182"/>
      <c r="D228" s="182"/>
      <c r="E228" s="182"/>
      <c r="F228" s="182"/>
      <c r="G228" s="182"/>
      <c r="H228" s="182"/>
      <c r="I228" s="183"/>
      <c r="J228" s="169"/>
      <c r="K228" s="170"/>
      <c r="L228" s="182"/>
      <c r="M228" s="182"/>
      <c r="N228" s="182"/>
      <c r="O228" s="182"/>
      <c r="P228" s="182"/>
      <c r="Q228" s="182"/>
      <c r="R228" s="182"/>
      <c r="S228" s="183"/>
    </row>
    <row r="229" spans="1:20">
      <c r="A229" s="170"/>
      <c r="B229" s="184" t="s">
        <v>202</v>
      </c>
      <c r="C229" s="185"/>
      <c r="D229" s="185"/>
      <c r="E229" s="185"/>
      <c r="F229" s="227"/>
      <c r="G229" s="185"/>
      <c r="H229" s="185"/>
      <c r="I229" s="183"/>
      <c r="J229" s="169"/>
      <c r="K229" s="170"/>
      <c r="L229" s="184" t="s">
        <v>202</v>
      </c>
      <c r="M229" s="184"/>
      <c r="N229" s="185"/>
      <c r="O229" s="185"/>
      <c r="P229" s="227"/>
      <c r="Q229" s="185"/>
      <c r="R229" s="185"/>
      <c r="S229" s="183"/>
    </row>
    <row r="230" spans="1:20" ht="14.25" customHeight="1">
      <c r="A230" s="170"/>
      <c r="B230" s="186" t="s">
        <v>111</v>
      </c>
      <c r="C230" s="186"/>
      <c r="D230" s="186"/>
      <c r="E230" s="186"/>
      <c r="F230" s="197"/>
      <c r="G230" s="187"/>
      <c r="H230" s="187">
        <f>+'PRODUKSI 2'!H20</f>
        <v>4394855</v>
      </c>
      <c r="I230" s="188"/>
      <c r="J230" s="187"/>
      <c r="K230" s="170"/>
      <c r="L230" s="186" t="s">
        <v>111</v>
      </c>
      <c r="M230" s="186"/>
      <c r="N230" s="186"/>
      <c r="O230" s="186"/>
      <c r="P230" s="197"/>
      <c r="Q230" s="187"/>
      <c r="R230" s="187">
        <f>+'PRODUKSI 2'!H21</f>
        <v>4394855</v>
      </c>
      <c r="S230" s="188"/>
    </row>
    <row r="231" spans="1:20" ht="14.25" customHeight="1">
      <c r="A231" s="170"/>
      <c r="B231" s="186" t="s">
        <v>203</v>
      </c>
      <c r="C231" s="186"/>
      <c r="D231" s="186"/>
      <c r="E231" s="186"/>
      <c r="F231" s="197"/>
      <c r="G231" s="187"/>
      <c r="H231" s="187">
        <f>+'PRODUKSI 2'!I20</f>
        <v>80000</v>
      </c>
      <c r="I231" s="188"/>
      <c r="J231" s="209"/>
      <c r="K231" s="170"/>
      <c r="L231" s="186" t="s">
        <v>203</v>
      </c>
      <c r="M231" s="186"/>
      <c r="N231" s="186"/>
      <c r="O231" s="186"/>
      <c r="P231" s="197"/>
      <c r="Q231" s="187"/>
      <c r="R231" s="187">
        <f>+'PRODUKSI 2'!I21</f>
        <v>80000</v>
      </c>
      <c r="S231" s="188"/>
    </row>
    <row r="232" spans="1:20" ht="14.25" customHeight="1">
      <c r="A232" s="170"/>
      <c r="B232" s="186" t="s">
        <v>227</v>
      </c>
      <c r="C232" s="186"/>
      <c r="D232" s="186"/>
      <c r="E232" s="186"/>
      <c r="F232" s="197"/>
      <c r="G232" s="187"/>
      <c r="H232" s="187">
        <f>+'PRODUKSI 2'!J20</f>
        <v>80000</v>
      </c>
      <c r="I232" s="188"/>
      <c r="J232" s="209"/>
      <c r="K232" s="170"/>
      <c r="L232" s="186" t="s">
        <v>227</v>
      </c>
      <c r="M232" s="186"/>
      <c r="N232" s="186"/>
      <c r="O232" s="186"/>
      <c r="P232" s="197"/>
      <c r="Q232" s="187"/>
      <c r="R232" s="187">
        <f>+'PRODUKSI 2'!J21</f>
        <v>0</v>
      </c>
      <c r="S232" s="188"/>
    </row>
    <row r="233" spans="1:20" ht="14.25" customHeight="1">
      <c r="A233" s="170"/>
      <c r="B233" s="186" t="s">
        <v>228</v>
      </c>
      <c r="C233" s="186"/>
      <c r="D233" s="186"/>
      <c r="E233" s="186"/>
      <c r="F233" s="197"/>
      <c r="G233" s="187"/>
      <c r="H233" s="187">
        <f>+'PRODUKSI 2'!K20</f>
        <v>0</v>
      </c>
      <c r="I233" s="188"/>
      <c r="J233" s="209"/>
      <c r="K233" s="170"/>
      <c r="L233" s="186" t="s">
        <v>228</v>
      </c>
      <c r="M233" s="186"/>
      <c r="N233" s="186"/>
      <c r="O233" s="186"/>
      <c r="P233" s="197"/>
      <c r="Q233" s="187"/>
      <c r="R233" s="187">
        <f>+'PRODUKSI 2'!K21</f>
        <v>0</v>
      </c>
      <c r="S233" s="188"/>
    </row>
    <row r="234" spans="1:20" ht="14.25" customHeight="1">
      <c r="A234" s="170"/>
      <c r="B234" s="186" t="s">
        <v>224</v>
      </c>
      <c r="C234" s="186"/>
      <c r="D234" s="186"/>
      <c r="E234" s="186"/>
      <c r="F234" s="197"/>
      <c r="G234" s="187"/>
      <c r="H234" s="187">
        <f>+'PRODUKSI 2'!AB20</f>
        <v>448215.69090000005</v>
      </c>
      <c r="I234" s="188"/>
      <c r="J234" s="209"/>
      <c r="K234" s="170"/>
      <c r="L234" s="186" t="s">
        <v>224</v>
      </c>
      <c r="M234" s="186"/>
      <c r="N234" s="186"/>
      <c r="O234" s="186"/>
      <c r="P234" s="197"/>
      <c r="Q234" s="187"/>
      <c r="R234" s="187">
        <f>+'PRODUKSI 2'!AB21</f>
        <v>448215.69090000005</v>
      </c>
      <c r="S234" s="188"/>
    </row>
    <row r="235" spans="1:20" ht="14.25" customHeight="1">
      <c r="A235" s="170"/>
      <c r="B235" s="186" t="s">
        <v>195</v>
      </c>
      <c r="C235" s="186"/>
      <c r="D235" s="187"/>
      <c r="E235" s="186"/>
      <c r="F235" s="197"/>
      <c r="G235" s="187"/>
      <c r="H235" s="187">
        <f>+'PRODUKSI 2'!U20</f>
        <v>96000</v>
      </c>
      <c r="I235" s="188"/>
      <c r="J235" s="187"/>
      <c r="K235" s="170"/>
      <c r="L235" s="186" t="s">
        <v>195</v>
      </c>
      <c r="M235" s="186"/>
      <c r="N235" s="187"/>
      <c r="O235" s="186"/>
      <c r="P235" s="197"/>
      <c r="Q235" s="187"/>
      <c r="R235" s="187">
        <f>+'PRODUKSI 2'!U21</f>
        <v>84000</v>
      </c>
      <c r="S235" s="188"/>
    </row>
    <row r="236" spans="1:20" ht="14.25" customHeight="1">
      <c r="A236" s="170"/>
      <c r="B236" s="220" t="s">
        <v>233</v>
      </c>
      <c r="C236" s="186"/>
      <c r="D236" s="187"/>
      <c r="E236" s="186"/>
      <c r="F236" s="197"/>
      <c r="G236" s="187"/>
      <c r="H236" s="187"/>
      <c r="I236" s="188"/>
      <c r="J236" s="209"/>
      <c r="K236" s="170"/>
      <c r="L236" s="220" t="s">
        <v>233</v>
      </c>
      <c r="M236" s="186"/>
      <c r="N236" s="187"/>
      <c r="O236" s="186"/>
      <c r="P236" s="197"/>
      <c r="Q236" s="187"/>
      <c r="R236" s="187"/>
      <c r="S236" s="188"/>
      <c r="T236" s="218"/>
    </row>
    <row r="237" spans="1:20" ht="14.25" customHeight="1">
      <c r="A237" s="170"/>
      <c r="B237" s="186" t="s">
        <v>206</v>
      </c>
      <c r="C237" s="186"/>
      <c r="D237" s="212">
        <v>0</v>
      </c>
      <c r="E237" s="186" t="s">
        <v>207</v>
      </c>
      <c r="F237" s="197" t="s">
        <v>205</v>
      </c>
      <c r="G237" s="187">
        <v>21564</v>
      </c>
      <c r="H237" s="187">
        <f>G237*D237</f>
        <v>0</v>
      </c>
      <c r="I237" s="188"/>
      <c r="J237" s="187"/>
      <c r="K237" s="170"/>
      <c r="L237" s="186" t="s">
        <v>206</v>
      </c>
      <c r="M237" s="186"/>
      <c r="N237" s="212">
        <v>0</v>
      </c>
      <c r="O237" s="186" t="s">
        <v>207</v>
      </c>
      <c r="P237" s="197" t="s">
        <v>205</v>
      </c>
      <c r="Q237" s="187">
        <v>21564</v>
      </c>
      <c r="R237" s="187">
        <f>Q237*N237</f>
        <v>0</v>
      </c>
      <c r="S237" s="188"/>
    </row>
    <row r="238" spans="1:20" ht="14.25" customHeight="1" thickBot="1">
      <c r="A238" s="170"/>
      <c r="B238" s="190" t="s">
        <v>208</v>
      </c>
      <c r="C238" s="190"/>
      <c r="D238" s="213">
        <v>0</v>
      </c>
      <c r="E238" s="190" t="s">
        <v>207</v>
      </c>
      <c r="F238" s="228" t="s">
        <v>205</v>
      </c>
      <c r="G238" s="192">
        <f>G237</f>
        <v>21564</v>
      </c>
      <c r="H238" s="192">
        <f>G238*D238</f>
        <v>0</v>
      </c>
      <c r="I238" s="188"/>
      <c r="J238" s="187"/>
      <c r="K238" s="170"/>
      <c r="L238" s="190" t="s">
        <v>208</v>
      </c>
      <c r="M238" s="190"/>
      <c r="N238" s="213">
        <v>0</v>
      </c>
      <c r="O238" s="190" t="s">
        <v>207</v>
      </c>
      <c r="P238" s="228" t="s">
        <v>205</v>
      </c>
      <c r="Q238" s="192">
        <f>Q237</f>
        <v>21564</v>
      </c>
      <c r="R238" s="192">
        <f>Q238*N238</f>
        <v>0</v>
      </c>
      <c r="S238" s="188"/>
    </row>
    <row r="239" spans="1:20" ht="15.75" thickBot="1">
      <c r="A239" s="170"/>
      <c r="B239" s="190" t="s">
        <v>219</v>
      </c>
      <c r="C239" s="190"/>
      <c r="D239" s="213">
        <f>SUM(D236:D238)</f>
        <v>0</v>
      </c>
      <c r="E239" s="190"/>
      <c r="F239" s="228"/>
      <c r="G239" s="192"/>
      <c r="H239" s="192">
        <f>SUM(H230:H238)</f>
        <v>5099070.6908999998</v>
      </c>
      <c r="I239" s="188"/>
      <c r="J239" s="187"/>
      <c r="K239" s="170"/>
      <c r="L239" s="190" t="s">
        <v>219</v>
      </c>
      <c r="M239" s="190"/>
      <c r="N239" s="213">
        <f>SUM(N236:N238)</f>
        <v>0</v>
      </c>
      <c r="O239" s="190"/>
      <c r="P239" s="228"/>
      <c r="Q239" s="192"/>
      <c r="R239" s="192">
        <f>SUM(R230:R238)</f>
        <v>5007070.6908999998</v>
      </c>
      <c r="S239" s="188"/>
    </row>
    <row r="240" spans="1:20">
      <c r="A240" s="170"/>
      <c r="B240" s="196" t="s">
        <v>113</v>
      </c>
      <c r="C240" s="186"/>
      <c r="D240" s="186"/>
      <c r="E240" s="186"/>
      <c r="F240" s="197"/>
      <c r="G240" s="187"/>
      <c r="H240" s="187"/>
      <c r="I240" s="188"/>
      <c r="J240" s="209"/>
      <c r="K240" s="170"/>
      <c r="L240" s="196" t="s">
        <v>113</v>
      </c>
      <c r="M240" s="186"/>
      <c r="N240" s="186"/>
      <c r="O240" s="186"/>
      <c r="P240" s="197"/>
      <c r="Q240" s="187"/>
      <c r="R240" s="187"/>
      <c r="S240" s="188"/>
    </row>
    <row r="241" spans="1:19" ht="14.25" customHeight="1">
      <c r="A241" s="170"/>
      <c r="B241" s="186" t="s">
        <v>209</v>
      </c>
      <c r="C241" s="186"/>
      <c r="D241" s="197"/>
      <c r="E241" s="186"/>
      <c r="F241" s="197"/>
      <c r="G241" s="198" t="str">
        <f>+'PRODUKSI 2'!D20</f>
        <v>TK</v>
      </c>
      <c r="H241" s="187">
        <f>+'PRODUKSI 2'!AI20</f>
        <v>0</v>
      </c>
      <c r="I241" s="188"/>
      <c r="J241" s="209"/>
      <c r="K241" s="170"/>
      <c r="L241" s="186" t="s">
        <v>209</v>
      </c>
      <c r="M241" s="186"/>
      <c r="N241" s="198"/>
      <c r="O241" s="186"/>
      <c r="P241" s="197"/>
      <c r="Q241" s="198" t="str">
        <f>+'PRODUKSI 2'!D22</f>
        <v>TK</v>
      </c>
      <c r="R241" s="187">
        <f>+'PRODUKSI 2'!AI21</f>
        <v>0</v>
      </c>
      <c r="S241" s="188"/>
    </row>
    <row r="242" spans="1:19" ht="14.25" customHeight="1">
      <c r="A242" s="170"/>
      <c r="B242" s="186" t="s">
        <v>225</v>
      </c>
      <c r="C242" s="186"/>
      <c r="D242" s="197"/>
      <c r="E242" s="186"/>
      <c r="F242" s="197"/>
      <c r="G242" s="198"/>
      <c r="H242" s="187">
        <f>+'PRODUKSI 2'!AF20+'PRODUKSI 2'!AG20</f>
        <v>48772.11</v>
      </c>
      <c r="I242" s="188"/>
      <c r="J242" s="209"/>
      <c r="K242" s="170"/>
      <c r="L242" s="186" t="s">
        <v>225</v>
      </c>
      <c r="M242" s="186"/>
      <c r="N242" s="198"/>
      <c r="O242" s="186"/>
      <c r="P242" s="197"/>
      <c r="Q242" s="198"/>
      <c r="R242" s="187">
        <f>+'PRODUKSI 2'!AF21+'PRODUKSI 2'!AG21</f>
        <v>48772.11</v>
      </c>
      <c r="S242" s="188"/>
    </row>
    <row r="243" spans="1:19" ht="14.25" customHeight="1">
      <c r="A243" s="170"/>
      <c r="B243" s="186" t="s">
        <v>226</v>
      </c>
      <c r="C243" s="186"/>
      <c r="D243" s="197"/>
      <c r="E243" s="186"/>
      <c r="F243" s="197"/>
      <c r="G243" s="198"/>
      <c r="H243" s="187">
        <f>+'PRODUKSI 2'!AD20+'PRODUKSI 2'!AE20</f>
        <v>146316.33000000002</v>
      </c>
      <c r="I243" s="188"/>
      <c r="J243" s="209"/>
      <c r="K243" s="170"/>
      <c r="L243" s="186" t="s">
        <v>226</v>
      </c>
      <c r="M243" s="186"/>
      <c r="N243" s="198"/>
      <c r="O243" s="186"/>
      <c r="P243" s="197"/>
      <c r="Q243" s="198"/>
      <c r="R243" s="187">
        <f>+'PRODUKSI 2'!AD21+'PRODUKSI 2'!AE21</f>
        <v>146316.33000000002</v>
      </c>
      <c r="S243" s="188"/>
    </row>
    <row r="244" spans="1:19" ht="14.25" customHeight="1">
      <c r="A244" s="170"/>
      <c r="B244" s="186" t="s">
        <v>103</v>
      </c>
      <c r="C244" s="186"/>
      <c r="D244" s="186"/>
      <c r="E244" s="186"/>
      <c r="F244" s="197"/>
      <c r="G244" s="198"/>
      <c r="H244" s="187">
        <f>+H234</f>
        <v>448215.69090000005</v>
      </c>
      <c r="I244" s="188"/>
      <c r="J244" s="209"/>
      <c r="K244" s="170"/>
      <c r="L244" s="186" t="s">
        <v>103</v>
      </c>
      <c r="M244" s="186"/>
      <c r="N244" s="186"/>
      <c r="O244" s="186"/>
      <c r="P244" s="197"/>
      <c r="Q244" s="187"/>
      <c r="R244" s="187">
        <f>+R234</f>
        <v>448215.69090000005</v>
      </c>
      <c r="S244" s="188"/>
    </row>
    <row r="245" spans="1:19" ht="14.25" customHeight="1" thickBot="1">
      <c r="A245" s="170"/>
      <c r="B245" s="190" t="s">
        <v>211</v>
      </c>
      <c r="C245" s="190"/>
      <c r="D245" s="190"/>
      <c r="E245" s="190"/>
      <c r="F245" s="228"/>
      <c r="G245" s="192"/>
      <c r="H245" s="192">
        <f>SUM(H241:H244)</f>
        <v>643304.13089999999</v>
      </c>
      <c r="I245" s="188"/>
      <c r="J245" s="209"/>
      <c r="K245" s="170"/>
      <c r="L245" s="190" t="s">
        <v>211</v>
      </c>
      <c r="M245" s="190"/>
      <c r="N245" s="190"/>
      <c r="O245" s="190"/>
      <c r="P245" s="228"/>
      <c r="Q245" s="192"/>
      <c r="R245" s="192">
        <f>SUM(R241:R244)</f>
        <v>643304.13089999999</v>
      </c>
      <c r="S245" s="188"/>
    </row>
    <row r="246" spans="1:19" ht="15.75" thickBot="1">
      <c r="A246" s="170"/>
      <c r="B246" s="193" t="s">
        <v>220</v>
      </c>
      <c r="C246" s="193"/>
      <c r="D246" s="193"/>
      <c r="E246" s="193"/>
      <c r="F246" s="229"/>
      <c r="G246" s="195"/>
      <c r="H246" s="195">
        <f>H239-H245</f>
        <v>4455766.5599999996</v>
      </c>
      <c r="I246" s="188"/>
      <c r="J246" s="209"/>
      <c r="K246" s="170"/>
      <c r="L246" s="193" t="s">
        <v>220</v>
      </c>
      <c r="M246" s="193"/>
      <c r="N246" s="193"/>
      <c r="O246" s="193"/>
      <c r="P246" s="229"/>
      <c r="Q246" s="195"/>
      <c r="R246" s="195">
        <f>SUM(R239-R245)</f>
        <v>4363766.5599999996</v>
      </c>
      <c r="S246" s="188"/>
    </row>
    <row r="247" spans="1:19">
      <c r="A247" s="170"/>
      <c r="B247" s="186" t="s">
        <v>231</v>
      </c>
      <c r="C247" s="186"/>
      <c r="D247" s="186"/>
      <c r="E247" s="186"/>
      <c r="F247" s="197"/>
      <c r="G247" s="187"/>
      <c r="H247" s="187">
        <v>10000</v>
      </c>
      <c r="I247" s="188"/>
      <c r="J247" s="209"/>
      <c r="K247" s="170"/>
      <c r="L247" s="186" t="s">
        <v>231</v>
      </c>
      <c r="M247" s="186"/>
      <c r="N247" s="186"/>
      <c r="O247" s="186"/>
      <c r="P247" s="197"/>
      <c r="Q247" s="187"/>
      <c r="R247" s="187">
        <v>10000</v>
      </c>
      <c r="S247" s="188"/>
    </row>
    <row r="248" spans="1:19" ht="10.5" customHeight="1" thickBot="1">
      <c r="A248" s="170"/>
      <c r="B248" s="199"/>
      <c r="C248" s="190"/>
      <c r="D248" s="190"/>
      <c r="E248" s="190"/>
      <c r="F248" s="228"/>
      <c r="G248" s="192"/>
      <c r="H248" s="192"/>
      <c r="I248" s="188"/>
      <c r="J248" s="187"/>
      <c r="K248" s="170"/>
      <c r="L248" s="199"/>
      <c r="M248" s="190"/>
      <c r="N248" s="190"/>
      <c r="O248" s="190"/>
      <c r="P248" s="228"/>
      <c r="Q248" s="192"/>
      <c r="R248" s="192"/>
      <c r="S248" s="188"/>
    </row>
    <row r="249" spans="1:19" ht="15.75" thickBot="1">
      <c r="A249" s="170"/>
      <c r="B249" s="200" t="s">
        <v>212</v>
      </c>
      <c r="C249" s="200"/>
      <c r="D249" s="200"/>
      <c r="E249" s="200"/>
      <c r="F249" s="230"/>
      <c r="G249" s="201"/>
      <c r="H249" s="201">
        <f>SUM(H246-H247)</f>
        <v>4445766.5599999996</v>
      </c>
      <c r="I249" s="188"/>
      <c r="J249" s="187"/>
      <c r="K249" s="170"/>
      <c r="L249" s="200" t="s">
        <v>212</v>
      </c>
      <c r="M249" s="200"/>
      <c r="N249" s="200"/>
      <c r="O249" s="200"/>
      <c r="P249" s="230"/>
      <c r="Q249" s="201"/>
      <c r="R249" s="201">
        <f>SUM(R246-R247)</f>
        <v>4353766.5599999996</v>
      </c>
      <c r="S249" s="188"/>
    </row>
    <row r="250" spans="1:19" ht="15.75" thickTop="1">
      <c r="A250" s="170"/>
      <c r="B250" s="202" t="s">
        <v>213</v>
      </c>
      <c r="C250" s="186"/>
      <c r="D250" s="186"/>
      <c r="E250" s="186"/>
      <c r="F250" s="197"/>
      <c r="G250" s="296" t="s">
        <v>214</v>
      </c>
      <c r="H250" s="296"/>
      <c r="I250" s="188"/>
      <c r="J250" s="187"/>
      <c r="K250" s="170"/>
      <c r="L250" s="202" t="s">
        <v>213</v>
      </c>
      <c r="M250" s="186"/>
      <c r="N250" s="186"/>
      <c r="O250" s="186"/>
      <c r="P250" s="197"/>
      <c r="Q250" s="296" t="s">
        <v>214</v>
      </c>
      <c r="R250" s="296"/>
      <c r="S250" s="188"/>
    </row>
    <row r="251" spans="1:19" ht="12.75" customHeight="1">
      <c r="A251" s="170"/>
      <c r="B251" s="186"/>
      <c r="C251" s="186"/>
      <c r="D251" s="186"/>
      <c r="E251" s="186"/>
      <c r="F251" s="197"/>
      <c r="G251" s="187"/>
      <c r="H251" s="187"/>
      <c r="I251" s="188"/>
      <c r="J251" s="187"/>
      <c r="K251" s="170"/>
      <c r="L251" s="186"/>
      <c r="M251" s="186"/>
      <c r="N251" s="186"/>
      <c r="O251" s="186"/>
      <c r="P251" s="197"/>
      <c r="Q251" s="187"/>
      <c r="R251" s="187"/>
      <c r="S251" s="188"/>
    </row>
    <row r="252" spans="1:19" ht="12.75" customHeight="1">
      <c r="A252" s="170"/>
      <c r="B252" s="186"/>
      <c r="C252" s="186"/>
      <c r="D252" s="186"/>
      <c r="E252" s="186"/>
      <c r="F252" s="197"/>
      <c r="G252" s="187"/>
      <c r="H252" s="187"/>
      <c r="I252" s="188"/>
      <c r="J252" s="187"/>
      <c r="K252" s="170"/>
      <c r="L252" s="186"/>
      <c r="M252" s="186"/>
      <c r="N252" s="186"/>
      <c r="O252" s="186"/>
      <c r="P252" s="197"/>
      <c r="Q252" s="187"/>
      <c r="R252" s="187"/>
      <c r="S252" s="188"/>
    </row>
    <row r="253" spans="1:19" ht="12.75" customHeight="1">
      <c r="A253" s="170"/>
      <c r="B253" s="203" t="s">
        <v>215</v>
      </c>
      <c r="C253" s="186"/>
      <c r="D253" s="186"/>
      <c r="E253" s="186"/>
      <c r="F253" s="197"/>
      <c r="G253" s="297" t="s">
        <v>216</v>
      </c>
      <c r="H253" s="297"/>
      <c r="I253" s="188"/>
      <c r="J253" s="187"/>
      <c r="K253" s="170"/>
      <c r="L253" s="203" t="s">
        <v>215</v>
      </c>
      <c r="M253" s="186"/>
      <c r="N253" s="186"/>
      <c r="O253" s="186"/>
      <c r="P253" s="197"/>
      <c r="Q253" s="297" t="s">
        <v>216</v>
      </c>
      <c r="R253" s="297"/>
      <c r="S253" s="188"/>
    </row>
    <row r="254" spans="1:19" ht="7.5" customHeight="1">
      <c r="A254" s="204"/>
      <c r="B254" s="205"/>
      <c r="C254" s="206"/>
      <c r="D254" s="206"/>
      <c r="E254" s="206"/>
      <c r="F254" s="231"/>
      <c r="G254" s="207"/>
      <c r="H254" s="205"/>
      <c r="I254" s="208"/>
      <c r="J254" s="187"/>
      <c r="K254" s="204"/>
      <c r="L254" s="205"/>
      <c r="M254" s="206"/>
      <c r="N254" s="206"/>
      <c r="O254" s="206"/>
      <c r="P254" s="231"/>
      <c r="Q254" s="207"/>
      <c r="R254" s="205"/>
      <c r="S254" s="208"/>
    </row>
    <row r="256" spans="1:19">
      <c r="A256" s="166"/>
      <c r="B256" s="167"/>
      <c r="C256" s="167"/>
      <c r="D256" s="167"/>
      <c r="E256" s="167"/>
      <c r="F256" s="223"/>
      <c r="G256" s="167"/>
      <c r="H256" s="167"/>
      <c r="I256" s="168"/>
      <c r="J256" s="169"/>
      <c r="K256" s="166"/>
      <c r="L256" s="167"/>
      <c r="M256" s="167"/>
      <c r="N256" s="167"/>
      <c r="O256" s="167"/>
      <c r="P256" s="223"/>
      <c r="Q256" s="167"/>
      <c r="R256" s="167"/>
      <c r="S256" s="168"/>
    </row>
    <row r="257" spans="1:20">
      <c r="A257" s="170"/>
      <c r="B257" s="169"/>
      <c r="C257" s="169"/>
      <c r="D257" s="169"/>
      <c r="E257" s="169"/>
      <c r="F257" s="224"/>
      <c r="G257" s="169"/>
      <c r="H257" s="169"/>
      <c r="I257" s="171"/>
      <c r="J257" s="169"/>
      <c r="K257" s="170"/>
      <c r="L257" s="169"/>
      <c r="M257" s="169"/>
      <c r="N257" s="169"/>
      <c r="O257" s="169"/>
      <c r="P257" s="224"/>
      <c r="Q257" s="169"/>
      <c r="R257" s="169"/>
      <c r="S257" s="171"/>
    </row>
    <row r="258" spans="1:20">
      <c r="A258" s="170"/>
      <c r="B258" s="169"/>
      <c r="C258" s="169"/>
      <c r="D258" s="169"/>
      <c r="E258" s="169"/>
      <c r="F258" s="224"/>
      <c r="G258" s="169"/>
      <c r="H258" s="169"/>
      <c r="I258" s="171"/>
      <c r="J258" s="169"/>
      <c r="K258" s="170"/>
      <c r="L258" s="169"/>
      <c r="M258" s="169"/>
      <c r="N258" s="169"/>
      <c r="O258" s="169"/>
      <c r="P258" s="224"/>
      <c r="Q258" s="169"/>
      <c r="R258" s="169"/>
      <c r="S258" s="171"/>
    </row>
    <row r="259" spans="1:20">
      <c r="A259" s="170"/>
      <c r="B259" s="294" t="s">
        <v>196</v>
      </c>
      <c r="C259" s="294"/>
      <c r="D259" s="294"/>
      <c r="E259" s="294"/>
      <c r="F259" s="294"/>
      <c r="G259" s="294"/>
      <c r="H259" s="294"/>
      <c r="I259" s="295"/>
      <c r="J259" s="169"/>
      <c r="K259" s="170"/>
      <c r="L259" s="294" t="s">
        <v>196</v>
      </c>
      <c r="M259" s="294"/>
      <c r="N259" s="294"/>
      <c r="O259" s="294"/>
      <c r="P259" s="294"/>
      <c r="Q259" s="294"/>
      <c r="R259" s="294"/>
      <c r="S259" s="295"/>
    </row>
    <row r="260" spans="1:20">
      <c r="A260" s="172"/>
      <c r="B260" s="173" t="s">
        <v>197</v>
      </c>
      <c r="C260" s="174" t="s">
        <v>198</v>
      </c>
      <c r="D260" s="211">
        <v>15</v>
      </c>
      <c r="E260" s="173"/>
      <c r="F260" s="225"/>
      <c r="G260" s="173"/>
      <c r="H260" s="173"/>
      <c r="I260" s="176"/>
      <c r="J260" s="173"/>
      <c r="K260" s="172"/>
      <c r="L260" s="173" t="s">
        <v>197</v>
      </c>
      <c r="M260" s="174" t="s">
        <v>198</v>
      </c>
      <c r="N260" s="211">
        <v>16</v>
      </c>
      <c r="O260" s="175"/>
      <c r="P260" s="225"/>
      <c r="Q260" s="173"/>
      <c r="R260" s="173"/>
      <c r="S260" s="176"/>
    </row>
    <row r="261" spans="1:20">
      <c r="A261" s="172"/>
      <c r="B261" s="173" t="s">
        <v>199</v>
      </c>
      <c r="C261" s="174" t="s">
        <v>198</v>
      </c>
      <c r="D261" s="177" t="s">
        <v>229</v>
      </c>
      <c r="E261" s="173"/>
      <c r="F261" s="225"/>
      <c r="G261" s="173"/>
      <c r="H261" s="173"/>
      <c r="I261" s="176"/>
      <c r="J261" s="173"/>
      <c r="K261" s="172"/>
      <c r="L261" s="173" t="s">
        <v>199</v>
      </c>
      <c r="M261" s="174" t="s">
        <v>198</v>
      </c>
      <c r="N261" s="177" t="s">
        <v>229</v>
      </c>
      <c r="O261" s="179"/>
      <c r="P261" s="225"/>
      <c r="Q261" s="173"/>
      <c r="R261" s="173"/>
      <c r="S261" s="176"/>
    </row>
    <row r="262" spans="1:20">
      <c r="A262" s="172"/>
      <c r="B262" s="173" t="s">
        <v>200</v>
      </c>
      <c r="C262" s="174" t="s">
        <v>198</v>
      </c>
      <c r="D262" s="177" t="str">
        <f>+'PRODUKSI 2'!B22</f>
        <v>MUHAMAD RIDWAN</v>
      </c>
      <c r="E262" s="173"/>
      <c r="F262" s="225"/>
      <c r="G262" s="173"/>
      <c r="H262" s="173"/>
      <c r="I262" s="176"/>
      <c r="J262" s="173"/>
      <c r="K262" s="172"/>
      <c r="L262" s="173" t="s">
        <v>200</v>
      </c>
      <c r="M262" s="174" t="s">
        <v>198</v>
      </c>
      <c r="N262" s="178" t="str">
        <f>+'PRODUKSI 2'!B23</f>
        <v>IRPAN MAULANA</v>
      </c>
      <c r="O262" s="173"/>
      <c r="P262" s="225"/>
      <c r="Q262" s="173"/>
      <c r="R262" s="173"/>
      <c r="S262" s="176"/>
    </row>
    <row r="263" spans="1:20" ht="15.75" thickBot="1">
      <c r="A263" s="172"/>
      <c r="B263" s="173" t="s">
        <v>201</v>
      </c>
      <c r="C263" s="174" t="s">
        <v>198</v>
      </c>
      <c r="D263" s="177" t="str">
        <f>+'PRODUKSI 2'!C22</f>
        <v>DELIVERY</v>
      </c>
      <c r="E263" s="173"/>
      <c r="F263" s="225"/>
      <c r="G263" s="173"/>
      <c r="H263" s="173"/>
      <c r="I263" s="176"/>
      <c r="J263" s="173"/>
      <c r="K263" s="172"/>
      <c r="L263" s="173" t="s">
        <v>201</v>
      </c>
      <c r="M263" s="174" t="s">
        <v>198</v>
      </c>
      <c r="N263" s="178" t="str">
        <f>+'PRODUKSI 2'!C23</f>
        <v>PRINTER</v>
      </c>
      <c r="O263" s="179"/>
      <c r="P263" s="225"/>
      <c r="Q263" s="173"/>
      <c r="R263" s="173"/>
      <c r="S263" s="176"/>
    </row>
    <row r="264" spans="1:20" ht="10.5" customHeight="1" thickTop="1">
      <c r="A264" s="170"/>
      <c r="B264" s="182"/>
      <c r="C264" s="182"/>
      <c r="D264" s="182"/>
      <c r="E264" s="182"/>
      <c r="F264" s="182"/>
      <c r="G264" s="182"/>
      <c r="H264" s="182"/>
      <c r="I264" s="183"/>
      <c r="J264" s="169"/>
      <c r="K264" s="170"/>
      <c r="L264" s="182"/>
      <c r="M264" s="182"/>
      <c r="N264" s="182"/>
      <c r="O264" s="182"/>
      <c r="P264" s="182"/>
      <c r="Q264" s="182"/>
      <c r="R264" s="182"/>
      <c r="S264" s="183"/>
    </row>
    <row r="265" spans="1:20">
      <c r="A265" s="170"/>
      <c r="B265" s="184" t="s">
        <v>202</v>
      </c>
      <c r="C265" s="185"/>
      <c r="D265" s="185"/>
      <c r="E265" s="185"/>
      <c r="F265" s="227"/>
      <c r="G265" s="185"/>
      <c r="H265" s="185"/>
      <c r="I265" s="183"/>
      <c r="J265" s="169"/>
      <c r="K265" s="170"/>
      <c r="L265" s="184" t="s">
        <v>202</v>
      </c>
      <c r="M265" s="184"/>
      <c r="N265" s="185"/>
      <c r="O265" s="185"/>
      <c r="P265" s="227"/>
      <c r="Q265" s="185"/>
      <c r="R265" s="185"/>
      <c r="S265" s="183"/>
    </row>
    <row r="266" spans="1:20" ht="14.25" customHeight="1">
      <c r="A266" s="170"/>
      <c r="B266" s="186" t="s">
        <v>111</v>
      </c>
      <c r="C266" s="186"/>
      <c r="D266" s="186"/>
      <c r="E266" s="186"/>
      <c r="F266" s="197"/>
      <c r="G266" s="187"/>
      <c r="H266" s="187">
        <f>+'PRODUKSI 2'!H22</f>
        <v>4394855</v>
      </c>
      <c r="I266" s="188"/>
      <c r="J266" s="187"/>
      <c r="K266" s="170"/>
      <c r="L266" s="186" t="s">
        <v>111</v>
      </c>
      <c r="M266" s="186"/>
      <c r="N266" s="186"/>
      <c r="O266" s="186"/>
      <c r="P266" s="197"/>
      <c r="Q266" s="187"/>
      <c r="R266" s="187">
        <f>+'PRODUKSI 2'!H23</f>
        <v>4394855</v>
      </c>
      <c r="S266" s="188"/>
    </row>
    <row r="267" spans="1:20" ht="14.25" customHeight="1">
      <c r="A267" s="170"/>
      <c r="B267" s="186" t="s">
        <v>203</v>
      </c>
      <c r="C267" s="186"/>
      <c r="D267" s="186"/>
      <c r="E267" s="186"/>
      <c r="F267" s="197"/>
      <c r="G267" s="187"/>
      <c r="H267" s="187">
        <f>+'PRODUKSI 2'!I22</f>
        <v>0</v>
      </c>
      <c r="I267" s="188"/>
      <c r="J267" s="209"/>
      <c r="K267" s="170"/>
      <c r="L267" s="186" t="s">
        <v>203</v>
      </c>
      <c r="M267" s="186"/>
      <c r="N267" s="186"/>
      <c r="O267" s="186"/>
      <c r="P267" s="197"/>
      <c r="Q267" s="187"/>
      <c r="R267" s="187">
        <f>+'PRODUKSI 2'!I23</f>
        <v>0</v>
      </c>
      <c r="S267" s="188"/>
    </row>
    <row r="268" spans="1:20" ht="14.25" customHeight="1">
      <c r="A268" s="170"/>
      <c r="B268" s="186" t="s">
        <v>227</v>
      </c>
      <c r="C268" s="186"/>
      <c r="D268" s="186"/>
      <c r="E268" s="186"/>
      <c r="F268" s="197"/>
      <c r="G268" s="187"/>
      <c r="H268" s="187">
        <f>+'PRODUKSI 2'!J22</f>
        <v>0</v>
      </c>
      <c r="I268" s="188"/>
      <c r="J268" s="209"/>
      <c r="K268" s="170"/>
      <c r="L268" s="186" t="s">
        <v>227</v>
      </c>
      <c r="M268" s="186"/>
      <c r="N268" s="186"/>
      <c r="O268" s="186"/>
      <c r="P268" s="197"/>
      <c r="Q268" s="187"/>
      <c r="R268" s="187">
        <f>+'PRODUKSI 2'!J23</f>
        <v>0</v>
      </c>
      <c r="S268" s="188"/>
    </row>
    <row r="269" spans="1:20" ht="14.25" customHeight="1">
      <c r="A269" s="170"/>
      <c r="B269" s="186" t="s">
        <v>228</v>
      </c>
      <c r="C269" s="186"/>
      <c r="D269" s="186"/>
      <c r="E269" s="186"/>
      <c r="F269" s="197"/>
      <c r="G269" s="187"/>
      <c r="H269" s="187">
        <f>+'PRODUKSI 2'!K22</f>
        <v>0</v>
      </c>
      <c r="I269" s="188"/>
      <c r="J269" s="209"/>
      <c r="K269" s="170"/>
      <c r="L269" s="186" t="s">
        <v>228</v>
      </c>
      <c r="M269" s="186"/>
      <c r="N269" s="186"/>
      <c r="O269" s="186"/>
      <c r="P269" s="197"/>
      <c r="Q269" s="187"/>
      <c r="R269" s="187">
        <f>+'PRODUKSI 2'!K22</f>
        <v>0</v>
      </c>
      <c r="S269" s="188"/>
    </row>
    <row r="270" spans="1:20" ht="14.25" customHeight="1">
      <c r="A270" s="170"/>
      <c r="B270" s="186" t="s">
        <v>224</v>
      </c>
      <c r="C270" s="186"/>
      <c r="D270" s="186"/>
      <c r="E270" s="186"/>
      <c r="F270" s="197"/>
      <c r="G270" s="187"/>
      <c r="H270" s="187">
        <f>+'PRODUKSI 2'!AB22</f>
        <v>448215.69090000005</v>
      </c>
      <c r="I270" s="188"/>
      <c r="J270" s="209"/>
      <c r="K270" s="170"/>
      <c r="L270" s="186" t="s">
        <v>224</v>
      </c>
      <c r="M270" s="186"/>
      <c r="N270" s="186"/>
      <c r="O270" s="186"/>
      <c r="P270" s="197"/>
      <c r="Q270" s="187"/>
      <c r="R270" s="187">
        <f>+'PRODUKSI 2'!AB23</f>
        <v>448215.69090000005</v>
      </c>
      <c r="S270" s="188"/>
    </row>
    <row r="271" spans="1:20" ht="14.25" customHeight="1">
      <c r="A271" s="170"/>
      <c r="B271" s="186" t="s">
        <v>195</v>
      </c>
      <c r="C271" s="186"/>
      <c r="D271" s="187"/>
      <c r="E271" s="186"/>
      <c r="F271" s="197"/>
      <c r="G271" s="187"/>
      <c r="H271" s="187">
        <f>+'PRODUKSI 2'!U22</f>
        <v>100000</v>
      </c>
      <c r="I271" s="188"/>
      <c r="J271" s="187"/>
      <c r="K271" s="170"/>
      <c r="L271" s="186" t="s">
        <v>195</v>
      </c>
      <c r="M271" s="186"/>
      <c r="N271" s="187"/>
      <c r="O271" s="186"/>
      <c r="P271" s="197"/>
      <c r="Q271" s="187"/>
      <c r="R271" s="187">
        <f>+'PRODUKSI 2'!U23</f>
        <v>96000</v>
      </c>
      <c r="S271" s="188"/>
    </row>
    <row r="272" spans="1:20" ht="14.25" customHeight="1">
      <c r="A272" s="170"/>
      <c r="B272" s="220" t="s">
        <v>233</v>
      </c>
      <c r="C272" s="186"/>
      <c r="D272" s="187"/>
      <c r="E272" s="186"/>
      <c r="F272" s="197"/>
      <c r="G272" s="187"/>
      <c r="H272" s="187"/>
      <c r="I272" s="188"/>
      <c r="J272" s="209"/>
      <c r="K272" s="170"/>
      <c r="L272" s="220" t="s">
        <v>233</v>
      </c>
      <c r="M272" s="186"/>
      <c r="N272" s="187"/>
      <c r="O272" s="186"/>
      <c r="P272" s="197"/>
      <c r="Q272" s="187"/>
      <c r="R272" s="187"/>
      <c r="S272" s="188"/>
      <c r="T272" s="218"/>
    </row>
    <row r="273" spans="1:19" ht="14.25" customHeight="1">
      <c r="A273" s="170"/>
      <c r="B273" s="186" t="s">
        <v>206</v>
      </c>
      <c r="C273" s="186"/>
      <c r="D273" s="212">
        <v>0</v>
      </c>
      <c r="E273" s="186" t="s">
        <v>207</v>
      </c>
      <c r="F273" s="197" t="s">
        <v>205</v>
      </c>
      <c r="G273" s="187">
        <v>21564</v>
      </c>
      <c r="H273" s="187">
        <f>G273*D273</f>
        <v>0</v>
      </c>
      <c r="I273" s="188"/>
      <c r="J273" s="187"/>
      <c r="K273" s="170"/>
      <c r="L273" s="186" t="s">
        <v>206</v>
      </c>
      <c r="M273" s="186"/>
      <c r="N273" s="212">
        <v>0</v>
      </c>
      <c r="O273" s="186" t="s">
        <v>207</v>
      </c>
      <c r="P273" s="197" t="s">
        <v>205</v>
      </c>
      <c r="Q273" s="187">
        <v>20592</v>
      </c>
      <c r="R273" s="187">
        <f>Q273*N273</f>
        <v>0</v>
      </c>
      <c r="S273" s="188"/>
    </row>
    <row r="274" spans="1:19" ht="14.25" customHeight="1" thickBot="1">
      <c r="A274" s="170"/>
      <c r="B274" s="190" t="s">
        <v>208</v>
      </c>
      <c r="C274" s="190"/>
      <c r="D274" s="213">
        <v>0</v>
      </c>
      <c r="E274" s="190" t="s">
        <v>207</v>
      </c>
      <c r="F274" s="228" t="s">
        <v>205</v>
      </c>
      <c r="G274" s="192">
        <f>G273</f>
        <v>21564</v>
      </c>
      <c r="H274" s="192">
        <f>G274*D274</f>
        <v>0</v>
      </c>
      <c r="I274" s="188"/>
      <c r="J274" s="187"/>
      <c r="K274" s="170"/>
      <c r="L274" s="190" t="s">
        <v>208</v>
      </c>
      <c r="M274" s="190"/>
      <c r="N274" s="213">
        <v>0</v>
      </c>
      <c r="O274" s="190" t="s">
        <v>207</v>
      </c>
      <c r="P274" s="228" t="s">
        <v>205</v>
      </c>
      <c r="Q274" s="192">
        <f>Q273</f>
        <v>20592</v>
      </c>
      <c r="R274" s="192">
        <f>Q274*N274</f>
        <v>0</v>
      </c>
      <c r="S274" s="188"/>
    </row>
    <row r="275" spans="1:19" ht="15.75" thickBot="1">
      <c r="A275" s="170"/>
      <c r="B275" s="190" t="s">
        <v>219</v>
      </c>
      <c r="C275" s="190"/>
      <c r="D275" s="213">
        <f>SUM(D272:D274)</f>
        <v>0</v>
      </c>
      <c r="E275" s="190"/>
      <c r="F275" s="228"/>
      <c r="G275" s="192"/>
      <c r="H275" s="192">
        <f>SUM(H266:H274)</f>
        <v>4943070.6908999998</v>
      </c>
      <c r="I275" s="188"/>
      <c r="J275" s="187"/>
      <c r="K275" s="170"/>
      <c r="L275" s="190" t="s">
        <v>219</v>
      </c>
      <c r="M275" s="190"/>
      <c r="N275" s="213">
        <f>SUM(N272:N274)</f>
        <v>0</v>
      </c>
      <c r="O275" s="190"/>
      <c r="P275" s="228"/>
      <c r="Q275" s="192"/>
      <c r="R275" s="192">
        <f>SUM(R266:R274)</f>
        <v>4939070.6908999998</v>
      </c>
      <c r="S275" s="188"/>
    </row>
    <row r="276" spans="1:19">
      <c r="A276" s="170"/>
      <c r="B276" s="196" t="s">
        <v>113</v>
      </c>
      <c r="C276" s="186"/>
      <c r="D276" s="186"/>
      <c r="E276" s="186"/>
      <c r="F276" s="197"/>
      <c r="G276" s="187"/>
      <c r="H276" s="187"/>
      <c r="I276" s="188"/>
      <c r="J276" s="209"/>
      <c r="K276" s="170"/>
      <c r="L276" s="196" t="s">
        <v>113</v>
      </c>
      <c r="M276" s="186"/>
      <c r="N276" s="186"/>
      <c r="O276" s="186"/>
      <c r="P276" s="197"/>
      <c r="Q276" s="187"/>
      <c r="R276" s="187"/>
      <c r="S276" s="188"/>
    </row>
    <row r="277" spans="1:19" ht="14.25" customHeight="1">
      <c r="A277" s="170"/>
      <c r="B277" s="186" t="s">
        <v>209</v>
      </c>
      <c r="C277" s="186"/>
      <c r="D277" s="197"/>
      <c r="E277" s="186"/>
      <c r="F277" s="197"/>
      <c r="G277" s="198" t="str">
        <f>+'PRODUKSI 2'!D22</f>
        <v>TK</v>
      </c>
      <c r="H277" s="187">
        <f>+'PRODUKSI 2'!AI22</f>
        <v>0</v>
      </c>
      <c r="I277" s="188"/>
      <c r="J277" s="209"/>
      <c r="K277" s="170"/>
      <c r="L277" s="186" t="s">
        <v>209</v>
      </c>
      <c r="M277" s="186"/>
      <c r="N277" s="198"/>
      <c r="O277" s="186"/>
      <c r="P277" s="197"/>
      <c r="Q277" s="198" t="str">
        <f>+'PRODUKSI 2'!D23</f>
        <v>TK</v>
      </c>
      <c r="R277" s="187">
        <f>+'PRODUKSI 2'!AI23</f>
        <v>0</v>
      </c>
      <c r="S277" s="188"/>
    </row>
    <row r="278" spans="1:19" ht="14.25" customHeight="1">
      <c r="A278" s="170"/>
      <c r="B278" s="186" t="s">
        <v>225</v>
      </c>
      <c r="C278" s="186"/>
      <c r="D278" s="197"/>
      <c r="E278" s="186"/>
      <c r="F278" s="197"/>
      <c r="G278" s="198"/>
      <c r="H278" s="187">
        <f>+'PRODUKSI 2'!AF22+'PRODUKSI 2'!AG22</f>
        <v>48772.11</v>
      </c>
      <c r="I278" s="188"/>
      <c r="J278" s="209"/>
      <c r="K278" s="170"/>
      <c r="L278" s="186" t="s">
        <v>225</v>
      </c>
      <c r="M278" s="186"/>
      <c r="N278" s="198"/>
      <c r="O278" s="186"/>
      <c r="P278" s="197"/>
      <c r="Q278" s="198"/>
      <c r="R278" s="187">
        <f>+'PRODUKSI 2'!AF23+'PRODUKSI 2'!AG23</f>
        <v>48772.11</v>
      </c>
      <c r="S278" s="188"/>
    </row>
    <row r="279" spans="1:19" ht="14.25" customHeight="1">
      <c r="A279" s="170"/>
      <c r="B279" s="186" t="s">
        <v>226</v>
      </c>
      <c r="C279" s="186"/>
      <c r="D279" s="197"/>
      <c r="E279" s="186"/>
      <c r="F279" s="197"/>
      <c r="G279" s="198"/>
      <c r="H279" s="187">
        <f>+'PRODUKSI 2'!AD22+'PRODUKSI 2'!AE22</f>
        <v>146316.33000000002</v>
      </c>
      <c r="I279" s="188"/>
      <c r="J279" s="209"/>
      <c r="K279" s="170"/>
      <c r="L279" s="186" t="s">
        <v>226</v>
      </c>
      <c r="M279" s="186"/>
      <c r="N279" s="198"/>
      <c r="O279" s="186"/>
      <c r="P279" s="197"/>
      <c r="Q279" s="198"/>
      <c r="R279" s="187">
        <f>+'PRODUKSI 2'!AD23+'PRODUKSI 2'!AE23</f>
        <v>146316.33000000002</v>
      </c>
      <c r="S279" s="188"/>
    </row>
    <row r="280" spans="1:19" ht="14.25" customHeight="1">
      <c r="A280" s="170"/>
      <c r="B280" s="186" t="s">
        <v>103</v>
      </c>
      <c r="C280" s="186"/>
      <c r="D280" s="186"/>
      <c r="E280" s="186"/>
      <c r="F280" s="197"/>
      <c r="G280" s="198"/>
      <c r="H280" s="187">
        <f>+H270</f>
        <v>448215.69090000005</v>
      </c>
      <c r="I280" s="188"/>
      <c r="J280" s="209"/>
      <c r="K280" s="170"/>
      <c r="L280" s="186" t="s">
        <v>103</v>
      </c>
      <c r="M280" s="186"/>
      <c r="N280" s="186"/>
      <c r="O280" s="186"/>
      <c r="P280" s="197"/>
      <c r="Q280" s="187"/>
      <c r="R280" s="187">
        <f>+R270</f>
        <v>448215.69090000005</v>
      </c>
      <c r="S280" s="188"/>
    </row>
    <row r="281" spans="1:19" ht="14.25" customHeight="1" thickBot="1">
      <c r="A281" s="170"/>
      <c r="B281" s="190" t="s">
        <v>211</v>
      </c>
      <c r="C281" s="190"/>
      <c r="D281" s="190"/>
      <c r="E281" s="190"/>
      <c r="F281" s="228"/>
      <c r="G281" s="192"/>
      <c r="H281" s="192">
        <f>SUM(H277:H280)</f>
        <v>643304.13089999999</v>
      </c>
      <c r="I281" s="188"/>
      <c r="J281" s="209"/>
      <c r="K281" s="170"/>
      <c r="L281" s="190" t="s">
        <v>211</v>
      </c>
      <c r="M281" s="190"/>
      <c r="N281" s="190"/>
      <c r="O281" s="190"/>
      <c r="P281" s="228"/>
      <c r="Q281" s="192"/>
      <c r="R281" s="192">
        <f>SUM(R277:R280)</f>
        <v>643304.13089999999</v>
      </c>
      <c r="S281" s="188"/>
    </row>
    <row r="282" spans="1:19" ht="15.75" thickBot="1">
      <c r="A282" s="170"/>
      <c r="B282" s="193" t="s">
        <v>220</v>
      </c>
      <c r="C282" s="193"/>
      <c r="D282" s="193"/>
      <c r="E282" s="193"/>
      <c r="F282" s="229"/>
      <c r="G282" s="195"/>
      <c r="H282" s="195">
        <f>H275-H281</f>
        <v>4299766.5599999996</v>
      </c>
      <c r="I282" s="188"/>
      <c r="J282" s="209"/>
      <c r="K282" s="170"/>
      <c r="L282" s="193" t="s">
        <v>220</v>
      </c>
      <c r="M282" s="193"/>
      <c r="N282" s="193"/>
      <c r="O282" s="193"/>
      <c r="P282" s="229"/>
      <c r="Q282" s="195"/>
      <c r="R282" s="195">
        <f>SUM(R275-R281)</f>
        <v>4295766.5599999996</v>
      </c>
      <c r="S282" s="188"/>
    </row>
    <row r="283" spans="1:19">
      <c r="A283" s="170"/>
      <c r="B283" s="186" t="s">
        <v>230</v>
      </c>
      <c r="C283" s="186"/>
      <c r="D283" s="186"/>
      <c r="E283" s="186"/>
      <c r="F283" s="197"/>
      <c r="G283" s="187"/>
      <c r="H283" s="187">
        <v>10000</v>
      </c>
      <c r="I283" s="188"/>
      <c r="J283" s="209"/>
      <c r="K283" s="170"/>
      <c r="L283" s="186" t="s">
        <v>231</v>
      </c>
      <c r="M283" s="186"/>
      <c r="N283" s="186"/>
      <c r="O283" s="186"/>
      <c r="P283" s="197"/>
      <c r="Q283" s="187"/>
      <c r="R283" s="187">
        <v>10000</v>
      </c>
      <c r="S283" s="188"/>
    </row>
    <row r="284" spans="1:19" ht="10.5" customHeight="1" thickBot="1">
      <c r="A284" s="170"/>
      <c r="B284" s="199"/>
      <c r="C284" s="190"/>
      <c r="D284" s="190"/>
      <c r="E284" s="190"/>
      <c r="F284" s="228"/>
      <c r="G284" s="192"/>
      <c r="H284" s="192"/>
      <c r="I284" s="188"/>
      <c r="J284" s="187"/>
      <c r="K284" s="170"/>
      <c r="L284" s="199"/>
      <c r="M284" s="190"/>
      <c r="N284" s="190"/>
      <c r="O284" s="190"/>
      <c r="P284" s="228"/>
      <c r="Q284" s="192"/>
      <c r="R284" s="192"/>
      <c r="S284" s="188"/>
    </row>
    <row r="285" spans="1:19" ht="15.75" thickBot="1">
      <c r="A285" s="170"/>
      <c r="B285" s="200" t="s">
        <v>212</v>
      </c>
      <c r="C285" s="200"/>
      <c r="D285" s="200"/>
      <c r="E285" s="200"/>
      <c r="F285" s="230"/>
      <c r="G285" s="201"/>
      <c r="H285" s="201">
        <f>SUM(H282-H283)</f>
        <v>4289766.5599999996</v>
      </c>
      <c r="I285" s="188"/>
      <c r="J285" s="187"/>
      <c r="K285" s="170"/>
      <c r="L285" s="200" t="s">
        <v>212</v>
      </c>
      <c r="M285" s="200"/>
      <c r="N285" s="200"/>
      <c r="O285" s="200"/>
      <c r="P285" s="230"/>
      <c r="Q285" s="201"/>
      <c r="R285" s="201">
        <f>SUM(R282-R283)</f>
        <v>4285766.5599999996</v>
      </c>
      <c r="S285" s="188"/>
    </row>
    <row r="286" spans="1:19" ht="15.75" thickTop="1">
      <c r="A286" s="170"/>
      <c r="B286" s="202" t="s">
        <v>213</v>
      </c>
      <c r="C286" s="186"/>
      <c r="D286" s="186"/>
      <c r="E286" s="186"/>
      <c r="F286" s="197"/>
      <c r="G286" s="296" t="s">
        <v>214</v>
      </c>
      <c r="H286" s="296"/>
      <c r="I286" s="188"/>
      <c r="J286" s="187"/>
      <c r="K286" s="170"/>
      <c r="L286" s="202" t="s">
        <v>213</v>
      </c>
      <c r="M286" s="186"/>
      <c r="N286" s="186"/>
      <c r="O286" s="186"/>
      <c r="P286" s="197"/>
      <c r="Q286" s="296" t="s">
        <v>214</v>
      </c>
      <c r="R286" s="296"/>
      <c r="S286" s="188"/>
    </row>
    <row r="287" spans="1:19" ht="12.75" customHeight="1">
      <c r="A287" s="170"/>
      <c r="B287" s="186"/>
      <c r="C287" s="186"/>
      <c r="D287" s="186"/>
      <c r="E287" s="186"/>
      <c r="F287" s="197"/>
      <c r="G287" s="187"/>
      <c r="H287" s="187"/>
      <c r="I287" s="188"/>
      <c r="J287" s="187"/>
      <c r="K287" s="170"/>
      <c r="L287" s="186"/>
      <c r="M287" s="186"/>
      <c r="N287" s="186"/>
      <c r="O287" s="186"/>
      <c r="P287" s="197"/>
      <c r="Q287" s="187"/>
      <c r="R287" s="187"/>
      <c r="S287" s="188"/>
    </row>
    <row r="288" spans="1:19" ht="12.75" customHeight="1">
      <c r="A288" s="170"/>
      <c r="B288" s="186"/>
      <c r="C288" s="186"/>
      <c r="D288" s="186"/>
      <c r="E288" s="186"/>
      <c r="F288" s="197"/>
      <c r="G288" s="187"/>
      <c r="H288" s="187"/>
      <c r="I288" s="188"/>
      <c r="J288" s="187"/>
      <c r="K288" s="170"/>
      <c r="L288" s="186"/>
      <c r="M288" s="186"/>
      <c r="N288" s="186"/>
      <c r="O288" s="186"/>
      <c r="P288" s="197"/>
      <c r="Q288" s="187"/>
      <c r="R288" s="187"/>
      <c r="S288" s="188"/>
    </row>
    <row r="289" spans="1:19" ht="12.75" customHeight="1">
      <c r="A289" s="170"/>
      <c r="B289" s="203" t="s">
        <v>215</v>
      </c>
      <c r="C289" s="186"/>
      <c r="D289" s="186"/>
      <c r="E289" s="186"/>
      <c r="F289" s="197"/>
      <c r="G289" s="297" t="s">
        <v>216</v>
      </c>
      <c r="H289" s="297"/>
      <c r="I289" s="188"/>
      <c r="J289" s="187"/>
      <c r="K289" s="170"/>
      <c r="L289" s="203" t="s">
        <v>215</v>
      </c>
      <c r="M289" s="186"/>
      <c r="N289" s="186"/>
      <c r="O289" s="186"/>
      <c r="P289" s="197"/>
      <c r="Q289" s="297" t="s">
        <v>216</v>
      </c>
      <c r="R289" s="297"/>
      <c r="S289" s="188"/>
    </row>
    <row r="290" spans="1:19" ht="7.5" customHeight="1">
      <c r="A290" s="204"/>
      <c r="B290" s="205"/>
      <c r="C290" s="206"/>
      <c r="D290" s="206"/>
      <c r="E290" s="206"/>
      <c r="F290" s="231"/>
      <c r="G290" s="207"/>
      <c r="H290" s="205"/>
      <c r="I290" s="208"/>
      <c r="J290" s="187"/>
      <c r="K290" s="204"/>
      <c r="L290" s="205"/>
      <c r="M290" s="206"/>
      <c r="N290" s="206"/>
      <c r="O290" s="206"/>
      <c r="P290" s="231"/>
      <c r="Q290" s="207"/>
      <c r="R290" s="205"/>
      <c r="S290" s="208"/>
    </row>
    <row r="293" spans="1:19">
      <c r="A293" s="166"/>
      <c r="B293" s="167"/>
      <c r="C293" s="167"/>
      <c r="D293" s="167"/>
      <c r="E293" s="167"/>
      <c r="F293" s="223"/>
      <c r="G293" s="167"/>
      <c r="H293" s="167"/>
      <c r="I293" s="168"/>
      <c r="J293" s="169"/>
      <c r="K293" s="166"/>
      <c r="L293" s="167"/>
      <c r="M293" s="167"/>
      <c r="N293" s="167"/>
      <c r="O293" s="167"/>
      <c r="P293" s="223"/>
      <c r="Q293" s="167"/>
      <c r="R293" s="167"/>
      <c r="S293" s="168"/>
    </row>
    <row r="294" spans="1:19">
      <c r="A294" s="170"/>
      <c r="B294" s="169"/>
      <c r="C294" s="169"/>
      <c r="D294" s="169"/>
      <c r="E294" s="169"/>
      <c r="F294" s="224"/>
      <c r="G294" s="169"/>
      <c r="H294" s="169"/>
      <c r="I294" s="171"/>
      <c r="J294" s="169"/>
      <c r="K294" s="170"/>
      <c r="L294" s="169"/>
      <c r="M294" s="169"/>
      <c r="N294" s="169"/>
      <c r="O294" s="169"/>
      <c r="P294" s="224"/>
      <c r="Q294" s="169"/>
      <c r="R294" s="169"/>
      <c r="S294" s="171"/>
    </row>
    <row r="295" spans="1:19">
      <c r="A295" s="170"/>
      <c r="B295" s="169"/>
      <c r="C295" s="169"/>
      <c r="D295" s="169"/>
      <c r="E295" s="169"/>
      <c r="F295" s="224"/>
      <c r="G295" s="169"/>
      <c r="H295" s="169"/>
      <c r="I295" s="171"/>
      <c r="J295" s="169"/>
      <c r="K295" s="170"/>
      <c r="L295" s="169"/>
      <c r="M295" s="169"/>
      <c r="N295" s="169"/>
      <c r="O295" s="169"/>
      <c r="P295" s="224"/>
      <c r="Q295" s="169"/>
      <c r="R295" s="169"/>
      <c r="S295" s="171"/>
    </row>
    <row r="296" spans="1:19">
      <c r="A296" s="170"/>
      <c r="B296" s="294" t="s">
        <v>196</v>
      </c>
      <c r="C296" s="294"/>
      <c r="D296" s="294"/>
      <c r="E296" s="294"/>
      <c r="F296" s="294"/>
      <c r="G296" s="294"/>
      <c r="H296" s="294"/>
      <c r="I296" s="295"/>
      <c r="J296" s="169"/>
      <c r="K296" s="170"/>
      <c r="L296" s="294" t="s">
        <v>196</v>
      </c>
      <c r="M296" s="294"/>
      <c r="N296" s="294"/>
      <c r="O296" s="294"/>
      <c r="P296" s="294"/>
      <c r="Q296" s="294"/>
      <c r="R296" s="294"/>
      <c r="S296" s="295"/>
    </row>
    <row r="297" spans="1:19">
      <c r="A297" s="172"/>
      <c r="B297" s="173" t="s">
        <v>197</v>
      </c>
      <c r="C297" s="174" t="s">
        <v>198</v>
      </c>
      <c r="D297" s="211">
        <v>17</v>
      </c>
      <c r="E297" s="173"/>
      <c r="F297" s="225"/>
      <c r="G297" s="173"/>
      <c r="H297" s="173"/>
      <c r="I297" s="176"/>
      <c r="J297" s="173"/>
      <c r="K297" s="172"/>
      <c r="L297" s="173" t="s">
        <v>197</v>
      </c>
      <c r="M297" s="174" t="s">
        <v>198</v>
      </c>
      <c r="N297" s="211">
        <v>18</v>
      </c>
      <c r="O297" s="175"/>
      <c r="P297" s="225"/>
      <c r="Q297" s="173"/>
      <c r="R297" s="173"/>
      <c r="S297" s="176"/>
    </row>
    <row r="298" spans="1:19">
      <c r="A298" s="172"/>
      <c r="B298" s="173" t="s">
        <v>199</v>
      </c>
      <c r="C298" s="174" t="s">
        <v>198</v>
      </c>
      <c r="D298" s="177" t="s">
        <v>229</v>
      </c>
      <c r="E298" s="173"/>
      <c r="F298" s="225"/>
      <c r="G298" s="173"/>
      <c r="H298" s="173"/>
      <c r="I298" s="176"/>
      <c r="J298" s="173"/>
      <c r="K298" s="172"/>
      <c r="L298" s="173" t="s">
        <v>199</v>
      </c>
      <c r="M298" s="174" t="s">
        <v>198</v>
      </c>
      <c r="N298" s="177" t="s">
        <v>229</v>
      </c>
      <c r="O298" s="179"/>
      <c r="P298" s="225"/>
      <c r="Q298" s="173"/>
      <c r="R298" s="173"/>
      <c r="S298" s="176"/>
    </row>
    <row r="299" spans="1:19">
      <c r="A299" s="172"/>
      <c r="B299" s="173" t="s">
        <v>200</v>
      </c>
      <c r="C299" s="174" t="s">
        <v>198</v>
      </c>
      <c r="D299" s="177" t="str">
        <f>+'PRODUKSI 2'!B24</f>
        <v>AHMAD NAFI'UN NUR</v>
      </c>
      <c r="E299" s="173"/>
      <c r="F299" s="225"/>
      <c r="G299" s="173"/>
      <c r="H299" s="173"/>
      <c r="I299" s="176"/>
      <c r="J299" s="173"/>
      <c r="K299" s="172"/>
      <c r="L299" s="173" t="s">
        <v>200</v>
      </c>
      <c r="M299" s="174" t="s">
        <v>198</v>
      </c>
      <c r="N299" s="178" t="str">
        <f>+'PRODUKSI 2'!B25</f>
        <v>IRSYA DULFADIL</v>
      </c>
      <c r="O299" s="173"/>
      <c r="P299" s="225"/>
      <c r="Q299" s="173"/>
      <c r="R299" s="173"/>
      <c r="S299" s="176"/>
    </row>
    <row r="300" spans="1:19" ht="15.75" thickBot="1">
      <c r="A300" s="172"/>
      <c r="B300" s="173" t="s">
        <v>201</v>
      </c>
      <c r="C300" s="174" t="s">
        <v>198</v>
      </c>
      <c r="D300" s="177" t="str">
        <f>+'PRODUKSI 2'!C24</f>
        <v>SLITER</v>
      </c>
      <c r="E300" s="173"/>
      <c r="F300" s="225"/>
      <c r="G300" s="173"/>
      <c r="H300" s="173"/>
      <c r="I300" s="176"/>
      <c r="J300" s="173"/>
      <c r="K300" s="172"/>
      <c r="L300" s="173" t="s">
        <v>201</v>
      </c>
      <c r="M300" s="174" t="s">
        <v>198</v>
      </c>
      <c r="N300" s="178" t="str">
        <f>+'PRODUKSI 2'!C25</f>
        <v>SLITER</v>
      </c>
      <c r="O300" s="179"/>
      <c r="P300" s="225"/>
      <c r="Q300" s="173"/>
      <c r="R300" s="173"/>
      <c r="S300" s="176"/>
    </row>
    <row r="301" spans="1:19" ht="10.5" customHeight="1" thickTop="1">
      <c r="A301" s="170"/>
      <c r="B301" s="182"/>
      <c r="C301" s="182"/>
      <c r="D301" s="182"/>
      <c r="E301" s="182"/>
      <c r="F301" s="182"/>
      <c r="G301" s="182"/>
      <c r="H301" s="182"/>
      <c r="I301" s="183"/>
      <c r="J301" s="169"/>
      <c r="K301" s="170"/>
      <c r="L301" s="182"/>
      <c r="M301" s="182"/>
      <c r="N301" s="182"/>
      <c r="O301" s="182"/>
      <c r="P301" s="182"/>
      <c r="Q301" s="182"/>
      <c r="R301" s="182"/>
      <c r="S301" s="183"/>
    </row>
    <row r="302" spans="1:19">
      <c r="A302" s="170"/>
      <c r="B302" s="184" t="s">
        <v>202</v>
      </c>
      <c r="C302" s="185"/>
      <c r="D302" s="185"/>
      <c r="E302" s="185"/>
      <c r="F302" s="227"/>
      <c r="G302" s="185"/>
      <c r="H302" s="185"/>
      <c r="I302" s="183"/>
      <c r="J302" s="169"/>
      <c r="K302" s="170"/>
      <c r="L302" s="184" t="s">
        <v>202</v>
      </c>
      <c r="M302" s="184"/>
      <c r="N302" s="185"/>
      <c r="O302" s="185"/>
      <c r="P302" s="227"/>
      <c r="Q302" s="185"/>
      <c r="R302" s="185"/>
      <c r="S302" s="183"/>
    </row>
    <row r="303" spans="1:19" ht="14.25" customHeight="1">
      <c r="A303" s="170"/>
      <c r="B303" s="186" t="s">
        <v>111</v>
      </c>
      <c r="C303" s="186"/>
      <c r="D303" s="186"/>
      <c r="E303" s="186"/>
      <c r="F303" s="197"/>
      <c r="G303" s="187"/>
      <c r="H303" s="187">
        <f>+'PRODUKSI 2'!H24</f>
        <v>4394855</v>
      </c>
      <c r="I303" s="188"/>
      <c r="J303" s="187"/>
      <c r="K303" s="170"/>
      <c r="L303" s="186" t="s">
        <v>111</v>
      </c>
      <c r="M303" s="186"/>
      <c r="N303" s="186"/>
      <c r="O303" s="186"/>
      <c r="P303" s="197"/>
      <c r="Q303" s="187"/>
      <c r="R303" s="187">
        <f>+'PRODUKSI 2'!H25</f>
        <v>4394855</v>
      </c>
      <c r="S303" s="188"/>
    </row>
    <row r="304" spans="1:19" ht="14.25" customHeight="1">
      <c r="A304" s="170"/>
      <c r="B304" s="186" t="s">
        <v>203</v>
      </c>
      <c r="C304" s="186"/>
      <c r="D304" s="186"/>
      <c r="E304" s="186"/>
      <c r="F304" s="197"/>
      <c r="G304" s="187"/>
      <c r="H304" s="187">
        <f>+'PRODUKSI 2'!I24</f>
        <v>0</v>
      </c>
      <c r="I304" s="188"/>
      <c r="J304" s="209"/>
      <c r="K304" s="170"/>
      <c r="L304" s="186" t="s">
        <v>203</v>
      </c>
      <c r="M304" s="186"/>
      <c r="N304" s="186"/>
      <c r="O304" s="186"/>
      <c r="P304" s="197"/>
      <c r="Q304" s="187"/>
      <c r="R304" s="187">
        <f>+'PRODUKSI 2'!I25</f>
        <v>0</v>
      </c>
      <c r="S304" s="188"/>
    </row>
    <row r="305" spans="1:20" ht="14.25" customHeight="1">
      <c r="A305" s="170"/>
      <c r="B305" s="186" t="s">
        <v>227</v>
      </c>
      <c r="C305" s="186"/>
      <c r="D305" s="186"/>
      <c r="E305" s="186"/>
      <c r="F305" s="197"/>
      <c r="G305" s="187"/>
      <c r="H305" s="187">
        <f>+'PRODUKSI 2'!J24</f>
        <v>0</v>
      </c>
      <c r="I305" s="188"/>
      <c r="J305" s="209"/>
      <c r="K305" s="170"/>
      <c r="L305" s="186" t="s">
        <v>227</v>
      </c>
      <c r="M305" s="186"/>
      <c r="N305" s="186"/>
      <c r="O305" s="186"/>
      <c r="P305" s="197"/>
      <c r="Q305" s="187"/>
      <c r="R305" s="187">
        <f>+'PRODUKSI 2'!J25</f>
        <v>0</v>
      </c>
      <c r="S305" s="188"/>
    </row>
    <row r="306" spans="1:20" ht="14.25" customHeight="1">
      <c r="A306" s="170"/>
      <c r="B306" s="186" t="s">
        <v>228</v>
      </c>
      <c r="C306" s="186"/>
      <c r="D306" s="186"/>
      <c r="E306" s="186"/>
      <c r="F306" s="197"/>
      <c r="G306" s="187"/>
      <c r="H306" s="187">
        <f>+'PRODUKSI 2'!K24</f>
        <v>0</v>
      </c>
      <c r="I306" s="188"/>
      <c r="J306" s="209"/>
      <c r="K306" s="170"/>
      <c r="L306" s="186" t="s">
        <v>228</v>
      </c>
      <c r="M306" s="186"/>
      <c r="N306" s="186"/>
      <c r="O306" s="186"/>
      <c r="P306" s="197"/>
      <c r="Q306" s="187"/>
      <c r="R306" s="187">
        <f>+'PRODUKSI 2'!K25</f>
        <v>0</v>
      </c>
      <c r="S306" s="188"/>
    </row>
    <row r="307" spans="1:20" ht="14.25" customHeight="1">
      <c r="A307" s="170"/>
      <c r="B307" s="186" t="s">
        <v>224</v>
      </c>
      <c r="C307" s="186"/>
      <c r="D307" s="186"/>
      <c r="E307" s="186"/>
      <c r="F307" s="197"/>
      <c r="G307" s="187"/>
      <c r="H307" s="187">
        <f>+'PRODUKSI 2'!AB24</f>
        <v>448215.69090000005</v>
      </c>
      <c r="I307" s="188"/>
      <c r="J307" s="209"/>
      <c r="K307" s="170"/>
      <c r="L307" s="186" t="s">
        <v>224</v>
      </c>
      <c r="M307" s="186"/>
      <c r="N307" s="186"/>
      <c r="O307" s="186"/>
      <c r="P307" s="197"/>
      <c r="Q307" s="187"/>
      <c r="R307" s="187">
        <f>+'PRODUKSI 2'!AB25</f>
        <v>448215.69090000005</v>
      </c>
      <c r="S307" s="188"/>
    </row>
    <row r="308" spans="1:20" ht="14.25" customHeight="1">
      <c r="A308" s="170"/>
      <c r="B308" s="186" t="s">
        <v>195</v>
      </c>
      <c r="C308" s="186"/>
      <c r="D308" s="187"/>
      <c r="E308" s="186"/>
      <c r="F308" s="197"/>
      <c r="G308" s="187"/>
      <c r="H308" s="187">
        <f>+'PRODUKSI 2'!U24</f>
        <v>100000</v>
      </c>
      <c r="I308" s="188"/>
      <c r="J308" s="187"/>
      <c r="K308" s="170"/>
      <c r="L308" s="186" t="s">
        <v>195</v>
      </c>
      <c r="M308" s="186"/>
      <c r="N308" s="187"/>
      <c r="O308" s="186"/>
      <c r="P308" s="197"/>
      <c r="Q308" s="187"/>
      <c r="R308" s="187">
        <f>+'PRODUKSI 2'!U25</f>
        <v>96000</v>
      </c>
      <c r="S308" s="188"/>
    </row>
    <row r="309" spans="1:20" ht="14.25" customHeight="1">
      <c r="A309" s="170"/>
      <c r="B309" s="220" t="s">
        <v>233</v>
      </c>
      <c r="C309" s="186"/>
      <c r="D309" s="187"/>
      <c r="E309" s="186"/>
      <c r="F309" s="197"/>
      <c r="G309" s="187"/>
      <c r="H309" s="187"/>
      <c r="I309" s="188"/>
      <c r="J309" s="209"/>
      <c r="K309" s="170"/>
      <c r="L309" s="220" t="s">
        <v>233</v>
      </c>
      <c r="M309" s="186"/>
      <c r="N309" s="187"/>
      <c r="O309" s="186"/>
      <c r="P309" s="197"/>
      <c r="Q309" s="187"/>
      <c r="R309" s="187"/>
      <c r="S309" s="188"/>
      <c r="T309" s="218"/>
    </row>
    <row r="310" spans="1:20" ht="14.25" customHeight="1">
      <c r="A310" s="170"/>
      <c r="B310" s="186" t="s">
        <v>217</v>
      </c>
      <c r="C310" s="186"/>
      <c r="D310" s="187">
        <v>0</v>
      </c>
      <c r="E310" s="186" t="s">
        <v>218</v>
      </c>
      <c r="F310" s="197" t="s">
        <v>205</v>
      </c>
      <c r="G310" s="187">
        <v>0</v>
      </c>
      <c r="H310" s="187">
        <f>G310*D310</f>
        <v>0</v>
      </c>
      <c r="I310" s="188"/>
      <c r="J310" s="209"/>
      <c r="K310" s="170"/>
      <c r="L310" s="186" t="s">
        <v>217</v>
      </c>
      <c r="M310" s="186"/>
      <c r="N310" s="187">
        <v>0</v>
      </c>
      <c r="O310" s="186" t="s">
        <v>218</v>
      </c>
      <c r="P310" s="197" t="s">
        <v>205</v>
      </c>
      <c r="Q310" s="187">
        <v>0</v>
      </c>
      <c r="R310" s="187">
        <f>Q310*N310</f>
        <v>0</v>
      </c>
      <c r="S310" s="188"/>
      <c r="T310" s="218"/>
    </row>
    <row r="311" spans="1:20" ht="14.25" customHeight="1">
      <c r="A311" s="170"/>
      <c r="B311" s="186" t="s">
        <v>206</v>
      </c>
      <c r="C311" s="186"/>
      <c r="D311" s="212">
        <v>0</v>
      </c>
      <c r="E311" s="186" t="s">
        <v>207</v>
      </c>
      <c r="F311" s="197" t="s">
        <v>205</v>
      </c>
      <c r="G311" s="187">
        <v>20592</v>
      </c>
      <c r="H311" s="187">
        <f>G311*D311</f>
        <v>0</v>
      </c>
      <c r="I311" s="188"/>
      <c r="J311" s="187"/>
      <c r="K311" s="170"/>
      <c r="L311" s="186" t="s">
        <v>206</v>
      </c>
      <c r="M311" s="186"/>
      <c r="N311" s="212">
        <v>0</v>
      </c>
      <c r="O311" s="186" t="s">
        <v>207</v>
      </c>
      <c r="P311" s="197" t="s">
        <v>205</v>
      </c>
      <c r="Q311" s="187">
        <v>20592</v>
      </c>
      <c r="R311" s="187">
        <f>Q311*N311</f>
        <v>0</v>
      </c>
      <c r="S311" s="188"/>
    </row>
    <row r="312" spans="1:20" ht="14.25" customHeight="1" thickBot="1">
      <c r="A312" s="170"/>
      <c r="B312" s="190" t="s">
        <v>208</v>
      </c>
      <c r="C312" s="190"/>
      <c r="D312" s="213">
        <v>0</v>
      </c>
      <c r="E312" s="190" t="s">
        <v>207</v>
      </c>
      <c r="F312" s="228" t="s">
        <v>205</v>
      </c>
      <c r="G312" s="192">
        <f>G311</f>
        <v>20592</v>
      </c>
      <c r="H312" s="192">
        <f>G312*D312</f>
        <v>0</v>
      </c>
      <c r="I312" s="188"/>
      <c r="J312" s="187"/>
      <c r="K312" s="170"/>
      <c r="L312" s="190" t="s">
        <v>208</v>
      </c>
      <c r="M312" s="190"/>
      <c r="N312" s="213">
        <v>0</v>
      </c>
      <c r="O312" s="190" t="s">
        <v>207</v>
      </c>
      <c r="P312" s="228" t="s">
        <v>205</v>
      </c>
      <c r="Q312" s="192">
        <f>Q311</f>
        <v>20592</v>
      </c>
      <c r="R312" s="192">
        <f>Q312*N312</f>
        <v>0</v>
      </c>
      <c r="S312" s="188"/>
    </row>
    <row r="313" spans="1:20" ht="15.75" thickBot="1">
      <c r="A313" s="170"/>
      <c r="B313" s="190" t="s">
        <v>219</v>
      </c>
      <c r="C313" s="190"/>
      <c r="D313" s="213">
        <f>SUM(D310:D312)</f>
        <v>0</v>
      </c>
      <c r="E313" s="190"/>
      <c r="F313" s="228"/>
      <c r="G313" s="192"/>
      <c r="H313" s="192">
        <f>SUM(H303:H312)</f>
        <v>4943070.6908999998</v>
      </c>
      <c r="I313" s="188"/>
      <c r="J313" s="187"/>
      <c r="K313" s="170"/>
      <c r="L313" s="190" t="s">
        <v>219</v>
      </c>
      <c r="M313" s="190"/>
      <c r="N313" s="213">
        <f>SUM(N310:N312)</f>
        <v>0</v>
      </c>
      <c r="O313" s="190"/>
      <c r="P313" s="228"/>
      <c r="Q313" s="192"/>
      <c r="R313" s="192">
        <f>SUM(R303:R312)</f>
        <v>4939070.6908999998</v>
      </c>
      <c r="S313" s="188"/>
    </row>
    <row r="314" spans="1:20">
      <c r="A314" s="170"/>
      <c r="B314" s="196" t="s">
        <v>113</v>
      </c>
      <c r="C314" s="186"/>
      <c r="D314" s="186"/>
      <c r="E314" s="186"/>
      <c r="F314" s="197"/>
      <c r="G314" s="187"/>
      <c r="H314" s="187"/>
      <c r="I314" s="188"/>
      <c r="J314" s="209"/>
      <c r="K314" s="170"/>
      <c r="L314" s="196" t="s">
        <v>113</v>
      </c>
      <c r="M314" s="186"/>
      <c r="N314" s="186"/>
      <c r="O314" s="186"/>
      <c r="P314" s="197"/>
      <c r="Q314" s="187"/>
      <c r="R314" s="187"/>
      <c r="S314" s="188"/>
    </row>
    <row r="315" spans="1:20" ht="14.25" customHeight="1">
      <c r="A315" s="170"/>
      <c r="B315" s="186" t="s">
        <v>209</v>
      </c>
      <c r="C315" s="186"/>
      <c r="D315" s="197"/>
      <c r="E315" s="186"/>
      <c r="F315" s="197"/>
      <c r="G315" s="198" t="str">
        <f>+'PRODUKSI 2'!D24</f>
        <v>TK</v>
      </c>
      <c r="H315" s="187">
        <f>+'PRODUKSI 2'!AI24</f>
        <v>0</v>
      </c>
      <c r="I315" s="188"/>
      <c r="J315" s="209"/>
      <c r="K315" s="170"/>
      <c r="L315" s="186" t="s">
        <v>209</v>
      </c>
      <c r="M315" s="186"/>
      <c r="N315" s="198"/>
      <c r="O315" s="186"/>
      <c r="P315" s="197"/>
      <c r="Q315" s="198" t="str">
        <f>+'PRODUKSI 2'!D25</f>
        <v>TK</v>
      </c>
      <c r="R315" s="187">
        <f>+'PRODUKSI 2'!AI25</f>
        <v>0</v>
      </c>
      <c r="S315" s="188"/>
    </row>
    <row r="316" spans="1:20" ht="14.25" customHeight="1">
      <c r="A316" s="170"/>
      <c r="B316" s="186" t="s">
        <v>225</v>
      </c>
      <c r="C316" s="186"/>
      <c r="D316" s="197"/>
      <c r="E316" s="186"/>
      <c r="F316" s="197"/>
      <c r="G316" s="198"/>
      <c r="H316" s="187">
        <f>+'PRODUKSI 2'!AF24+'PRODUKSI 2'!AG24</f>
        <v>48772.11</v>
      </c>
      <c r="I316" s="188"/>
      <c r="J316" s="209"/>
      <c r="K316" s="170"/>
      <c r="L316" s="186" t="s">
        <v>225</v>
      </c>
      <c r="M316" s="186"/>
      <c r="N316" s="198"/>
      <c r="O316" s="186"/>
      <c r="P316" s="197"/>
      <c r="Q316" s="198"/>
      <c r="R316" s="187">
        <f>+'PRODUKSI 2'!AF25+'PRODUKSI 2'!AG25</f>
        <v>97544.22</v>
      </c>
      <c r="S316" s="188"/>
    </row>
    <row r="317" spans="1:20" ht="14.25" customHeight="1">
      <c r="A317" s="170"/>
      <c r="B317" s="186" t="s">
        <v>226</v>
      </c>
      <c r="C317" s="186"/>
      <c r="D317" s="197"/>
      <c r="E317" s="186"/>
      <c r="F317" s="197"/>
      <c r="G317" s="198"/>
      <c r="H317" s="187">
        <f>+'PRODUKSI 2'!AD24+'PRODUKSI 2'!AE24</f>
        <v>146316.33000000002</v>
      </c>
      <c r="I317" s="188"/>
      <c r="J317" s="209"/>
      <c r="K317" s="170"/>
      <c r="L317" s="186" t="s">
        <v>226</v>
      </c>
      <c r="M317" s="186"/>
      <c r="N317" s="198"/>
      <c r="O317" s="186"/>
      <c r="P317" s="197"/>
      <c r="Q317" s="198"/>
      <c r="R317" s="187">
        <f>+'PRODUKSI 2'!AD25+'PRODUKSI 2'!AE25</f>
        <v>146316.33000000002</v>
      </c>
      <c r="S317" s="188"/>
    </row>
    <row r="318" spans="1:20" ht="14.25" customHeight="1">
      <c r="A318" s="170"/>
      <c r="B318" s="186" t="s">
        <v>103</v>
      </c>
      <c r="C318" s="186"/>
      <c r="D318" s="186"/>
      <c r="E318" s="186"/>
      <c r="F318" s="197"/>
      <c r="G318" s="198"/>
      <c r="H318" s="187">
        <f>+H307</f>
        <v>448215.69090000005</v>
      </c>
      <c r="I318" s="188"/>
      <c r="J318" s="209"/>
      <c r="K318" s="170"/>
      <c r="L318" s="186" t="s">
        <v>103</v>
      </c>
      <c r="M318" s="186"/>
      <c r="N318" s="186"/>
      <c r="O318" s="186"/>
      <c r="P318" s="197"/>
      <c r="Q318" s="187"/>
      <c r="R318" s="187">
        <f>+R307</f>
        <v>448215.69090000005</v>
      </c>
      <c r="S318" s="188"/>
    </row>
    <row r="319" spans="1:20" ht="14.25" customHeight="1" thickBot="1">
      <c r="A319" s="170"/>
      <c r="B319" s="190" t="s">
        <v>211</v>
      </c>
      <c r="C319" s="190"/>
      <c r="D319" s="190"/>
      <c r="E319" s="190"/>
      <c r="F319" s="228"/>
      <c r="G319" s="192"/>
      <c r="H319" s="192">
        <f>SUM(H315:H318)</f>
        <v>643304.13089999999</v>
      </c>
      <c r="I319" s="188"/>
      <c r="J319" s="209"/>
      <c r="K319" s="170"/>
      <c r="L319" s="190" t="s">
        <v>211</v>
      </c>
      <c r="M319" s="190"/>
      <c r="N319" s="190"/>
      <c r="O319" s="190"/>
      <c r="P319" s="228"/>
      <c r="Q319" s="192"/>
      <c r="R319" s="192">
        <f>SUM(R315:R318)</f>
        <v>692076.24090000009</v>
      </c>
      <c r="S319" s="188"/>
    </row>
    <row r="320" spans="1:20" ht="15.75" thickBot="1">
      <c r="A320" s="170"/>
      <c r="B320" s="193" t="s">
        <v>220</v>
      </c>
      <c r="C320" s="193"/>
      <c r="D320" s="193"/>
      <c r="E320" s="193"/>
      <c r="F320" s="229"/>
      <c r="G320" s="195"/>
      <c r="H320" s="195">
        <f>H313-H319</f>
        <v>4299766.5599999996</v>
      </c>
      <c r="I320" s="188"/>
      <c r="J320" s="209"/>
      <c r="K320" s="170"/>
      <c r="L320" s="193" t="s">
        <v>220</v>
      </c>
      <c r="M320" s="193"/>
      <c r="N320" s="193"/>
      <c r="O320" s="193"/>
      <c r="P320" s="229"/>
      <c r="Q320" s="195"/>
      <c r="R320" s="195">
        <f>SUM(R313-R319)</f>
        <v>4246994.4499999993</v>
      </c>
      <c r="S320" s="188"/>
    </row>
    <row r="321" spans="1:19">
      <c r="A321" s="170"/>
      <c r="B321" s="186" t="s">
        <v>231</v>
      </c>
      <c r="C321" s="186"/>
      <c r="D321" s="186"/>
      <c r="E321" s="186"/>
      <c r="F321" s="197"/>
      <c r="G321" s="187"/>
      <c r="H321" s="187">
        <v>10000</v>
      </c>
      <c r="I321" s="188"/>
      <c r="J321" s="209"/>
      <c r="K321" s="170"/>
      <c r="L321" s="186" t="s">
        <v>231</v>
      </c>
      <c r="M321" s="186"/>
      <c r="N321" s="186"/>
      <c r="O321" s="186"/>
      <c r="P321" s="197"/>
      <c r="Q321" s="187"/>
      <c r="R321" s="187">
        <v>10000</v>
      </c>
      <c r="S321" s="188"/>
    </row>
    <row r="322" spans="1:19" ht="10.5" customHeight="1" thickBot="1">
      <c r="A322" s="170"/>
      <c r="B322" s="199"/>
      <c r="C322" s="190"/>
      <c r="D322" s="190"/>
      <c r="E322" s="190"/>
      <c r="F322" s="228"/>
      <c r="G322" s="192"/>
      <c r="H322" s="192"/>
      <c r="I322" s="188"/>
      <c r="J322" s="187"/>
      <c r="K322" s="170"/>
      <c r="L322" s="199"/>
      <c r="M322" s="190"/>
      <c r="N322" s="190"/>
      <c r="O322" s="190"/>
      <c r="P322" s="228"/>
      <c r="Q322" s="192"/>
      <c r="R322" s="192"/>
      <c r="S322" s="188"/>
    </row>
    <row r="323" spans="1:19" ht="15.75" thickBot="1">
      <c r="A323" s="170"/>
      <c r="B323" s="200" t="s">
        <v>212</v>
      </c>
      <c r="C323" s="200"/>
      <c r="D323" s="200"/>
      <c r="E323" s="200"/>
      <c r="F323" s="230"/>
      <c r="G323" s="201"/>
      <c r="H323" s="201">
        <f>SUM(H320-H321)</f>
        <v>4289766.5599999996</v>
      </c>
      <c r="I323" s="188"/>
      <c r="J323" s="187"/>
      <c r="K323" s="170"/>
      <c r="L323" s="200" t="s">
        <v>212</v>
      </c>
      <c r="M323" s="200"/>
      <c r="N323" s="200"/>
      <c r="O323" s="200"/>
      <c r="P323" s="230"/>
      <c r="Q323" s="201"/>
      <c r="R323" s="201">
        <f>SUM(R320-R321)</f>
        <v>4236994.4499999993</v>
      </c>
      <c r="S323" s="188"/>
    </row>
    <row r="324" spans="1:19" ht="15.75" thickTop="1">
      <c r="A324" s="170"/>
      <c r="B324" s="202" t="s">
        <v>213</v>
      </c>
      <c r="C324" s="186"/>
      <c r="D324" s="186"/>
      <c r="E324" s="186"/>
      <c r="F324" s="197"/>
      <c r="G324" s="296" t="s">
        <v>214</v>
      </c>
      <c r="H324" s="296"/>
      <c r="I324" s="188"/>
      <c r="J324" s="187"/>
      <c r="K324" s="170"/>
      <c r="L324" s="202" t="s">
        <v>213</v>
      </c>
      <c r="M324" s="186"/>
      <c r="N324" s="186"/>
      <c r="O324" s="186"/>
      <c r="P324" s="197"/>
      <c r="Q324" s="296" t="s">
        <v>214</v>
      </c>
      <c r="R324" s="296"/>
      <c r="S324" s="188"/>
    </row>
    <row r="325" spans="1:19" ht="12.75" customHeight="1">
      <c r="A325" s="170"/>
      <c r="B325" s="186"/>
      <c r="C325" s="186"/>
      <c r="D325" s="186"/>
      <c r="E325" s="186"/>
      <c r="F325" s="197"/>
      <c r="G325" s="187"/>
      <c r="H325" s="187"/>
      <c r="I325" s="188"/>
      <c r="J325" s="187"/>
      <c r="K325" s="170"/>
      <c r="L325" s="186"/>
      <c r="M325" s="186"/>
      <c r="N325" s="186"/>
      <c r="O325" s="186"/>
      <c r="P325" s="197"/>
      <c r="Q325" s="187"/>
      <c r="R325" s="187"/>
      <c r="S325" s="188"/>
    </row>
    <row r="326" spans="1:19" ht="12.75" customHeight="1">
      <c r="A326" s="170"/>
      <c r="B326" s="186"/>
      <c r="C326" s="186"/>
      <c r="D326" s="186"/>
      <c r="E326" s="186"/>
      <c r="F326" s="197"/>
      <c r="G326" s="187"/>
      <c r="H326" s="187"/>
      <c r="I326" s="188"/>
      <c r="J326" s="187"/>
      <c r="K326" s="170"/>
      <c r="L326" s="186"/>
      <c r="M326" s="186"/>
      <c r="N326" s="186"/>
      <c r="O326" s="186"/>
      <c r="P326" s="197"/>
      <c r="Q326" s="187"/>
      <c r="R326" s="187"/>
      <c r="S326" s="188"/>
    </row>
    <row r="327" spans="1:19" ht="12.75" customHeight="1">
      <c r="A327" s="170"/>
      <c r="B327" s="203" t="s">
        <v>215</v>
      </c>
      <c r="C327" s="186"/>
      <c r="D327" s="186"/>
      <c r="E327" s="186"/>
      <c r="F327" s="197"/>
      <c r="G327" s="297" t="s">
        <v>216</v>
      </c>
      <c r="H327" s="297"/>
      <c r="I327" s="188"/>
      <c r="J327" s="187"/>
      <c r="K327" s="170"/>
      <c r="L327" s="203" t="s">
        <v>215</v>
      </c>
      <c r="M327" s="186"/>
      <c r="N327" s="186"/>
      <c r="O327" s="186"/>
      <c r="P327" s="197"/>
      <c r="Q327" s="297" t="s">
        <v>216</v>
      </c>
      <c r="R327" s="297"/>
      <c r="S327" s="188"/>
    </row>
    <row r="328" spans="1:19" ht="7.5" customHeight="1">
      <c r="A328" s="204"/>
      <c r="B328" s="205"/>
      <c r="C328" s="206"/>
      <c r="D328" s="206"/>
      <c r="E328" s="206"/>
      <c r="F328" s="231"/>
      <c r="G328" s="207"/>
      <c r="H328" s="205"/>
      <c r="I328" s="208"/>
      <c r="J328" s="187"/>
      <c r="K328" s="204"/>
      <c r="L328" s="205"/>
      <c r="M328" s="206"/>
      <c r="N328" s="206"/>
      <c r="O328" s="206"/>
      <c r="P328" s="231"/>
      <c r="Q328" s="207"/>
      <c r="R328" s="205"/>
      <c r="S328" s="208"/>
    </row>
    <row r="330" spans="1:19">
      <c r="A330" s="166"/>
      <c r="B330" s="167"/>
      <c r="C330" s="167"/>
      <c r="D330" s="167"/>
      <c r="E330" s="167"/>
      <c r="F330" s="223"/>
      <c r="G330" s="167"/>
      <c r="H330" s="167"/>
      <c r="I330" s="168"/>
      <c r="J330" s="169"/>
      <c r="K330" s="166"/>
      <c r="L330" s="167"/>
      <c r="M330" s="167"/>
      <c r="N330" s="167"/>
      <c r="O330" s="167"/>
      <c r="P330" s="223"/>
      <c r="Q330" s="167"/>
      <c r="R330" s="167"/>
      <c r="S330" s="168"/>
    </row>
    <row r="331" spans="1:19">
      <c r="A331" s="170"/>
      <c r="B331" s="169"/>
      <c r="C331" s="169"/>
      <c r="D331" s="169"/>
      <c r="E331" s="169"/>
      <c r="F331" s="224"/>
      <c r="G331" s="169"/>
      <c r="H331" s="169"/>
      <c r="I331" s="171"/>
      <c r="J331" s="169"/>
      <c r="K331" s="170"/>
      <c r="L331" s="169"/>
      <c r="M331" s="169"/>
      <c r="N331" s="169"/>
      <c r="O331" s="169"/>
      <c r="P331" s="224"/>
      <c r="Q331" s="169"/>
      <c r="R331" s="169"/>
      <c r="S331" s="171"/>
    </row>
    <row r="332" spans="1:19">
      <c r="A332" s="170"/>
      <c r="B332" s="169"/>
      <c r="C332" s="169"/>
      <c r="D332" s="169"/>
      <c r="E332" s="169"/>
      <c r="F332" s="224"/>
      <c r="G332" s="169"/>
      <c r="H332" s="169"/>
      <c r="I332" s="171"/>
      <c r="J332" s="169"/>
      <c r="K332" s="170"/>
      <c r="L332" s="169"/>
      <c r="M332" s="169"/>
      <c r="N332" s="169"/>
      <c r="O332" s="169"/>
      <c r="P332" s="224"/>
      <c r="Q332" s="169"/>
      <c r="R332" s="169"/>
      <c r="S332" s="171"/>
    </row>
    <row r="333" spans="1:19">
      <c r="A333" s="170"/>
      <c r="B333" s="294" t="s">
        <v>196</v>
      </c>
      <c r="C333" s="294"/>
      <c r="D333" s="294"/>
      <c r="E333" s="294"/>
      <c r="F333" s="294"/>
      <c r="G333" s="294"/>
      <c r="H333" s="294"/>
      <c r="I333" s="295"/>
      <c r="J333" s="169"/>
      <c r="K333" s="170"/>
      <c r="L333" s="294" t="s">
        <v>196</v>
      </c>
      <c r="M333" s="294"/>
      <c r="N333" s="294"/>
      <c r="O333" s="294"/>
      <c r="P333" s="294"/>
      <c r="Q333" s="294"/>
      <c r="R333" s="294"/>
      <c r="S333" s="295"/>
    </row>
    <row r="334" spans="1:19">
      <c r="A334" s="172"/>
      <c r="B334" s="173" t="s">
        <v>197</v>
      </c>
      <c r="C334" s="174" t="s">
        <v>198</v>
      </c>
      <c r="D334" s="211">
        <v>19</v>
      </c>
      <c r="E334" s="173"/>
      <c r="F334" s="225"/>
      <c r="G334" s="173"/>
      <c r="H334" s="173"/>
      <c r="I334" s="176"/>
      <c r="J334" s="173"/>
      <c r="K334" s="172"/>
      <c r="L334" s="173" t="s">
        <v>197</v>
      </c>
      <c r="M334" s="174" t="s">
        <v>198</v>
      </c>
      <c r="N334" s="211">
        <v>20</v>
      </c>
      <c r="O334" s="175"/>
      <c r="P334" s="225"/>
      <c r="Q334" s="173"/>
      <c r="R334" s="173"/>
      <c r="S334" s="176"/>
    </row>
    <row r="335" spans="1:19">
      <c r="A335" s="172"/>
      <c r="B335" s="173" t="s">
        <v>199</v>
      </c>
      <c r="C335" s="174" t="s">
        <v>198</v>
      </c>
      <c r="D335" s="177" t="s">
        <v>229</v>
      </c>
      <c r="E335" s="173"/>
      <c r="F335" s="225"/>
      <c r="G335" s="173"/>
      <c r="H335" s="173"/>
      <c r="I335" s="176"/>
      <c r="J335" s="173"/>
      <c r="K335" s="172"/>
      <c r="L335" s="173" t="s">
        <v>199</v>
      </c>
      <c r="M335" s="174" t="s">
        <v>198</v>
      </c>
      <c r="N335" s="177" t="s">
        <v>229</v>
      </c>
      <c r="O335" s="179"/>
      <c r="P335" s="225"/>
      <c r="Q335" s="173"/>
      <c r="R335" s="173"/>
      <c r="S335" s="176"/>
    </row>
    <row r="336" spans="1:19">
      <c r="A336" s="172"/>
      <c r="B336" s="173" t="s">
        <v>200</v>
      </c>
      <c r="C336" s="174" t="s">
        <v>198</v>
      </c>
      <c r="D336" s="177" t="str">
        <f>+'PRODUKSI 2'!B26</f>
        <v>MARJAN NUR KAMAL</v>
      </c>
      <c r="E336" s="173"/>
      <c r="F336" s="225"/>
      <c r="G336" s="173"/>
      <c r="H336" s="173"/>
      <c r="I336" s="176"/>
      <c r="J336" s="173"/>
      <c r="K336" s="172"/>
      <c r="L336" s="173" t="s">
        <v>200</v>
      </c>
      <c r="M336" s="174" t="s">
        <v>198</v>
      </c>
      <c r="N336" s="178" t="str">
        <f>+'PRODUKSI 2'!B27</f>
        <v>RAHMAT</v>
      </c>
      <c r="O336" s="173"/>
      <c r="P336" s="225"/>
      <c r="Q336" s="173"/>
      <c r="R336" s="173"/>
      <c r="S336" s="176"/>
    </row>
    <row r="337" spans="1:20" ht="15.75" thickBot="1">
      <c r="A337" s="172"/>
      <c r="B337" s="173" t="s">
        <v>201</v>
      </c>
      <c r="C337" s="174" t="s">
        <v>198</v>
      </c>
      <c r="D337" s="177" t="str">
        <f>+'PRODUKSI 2'!C26</f>
        <v>UMUM</v>
      </c>
      <c r="E337" s="173"/>
      <c r="F337" s="225"/>
      <c r="G337" s="173"/>
      <c r="H337" s="173"/>
      <c r="I337" s="176"/>
      <c r="J337" s="173"/>
      <c r="K337" s="172"/>
      <c r="L337" s="173" t="s">
        <v>201</v>
      </c>
      <c r="M337" s="174" t="s">
        <v>198</v>
      </c>
      <c r="N337" s="178" t="str">
        <f>+'PRODUKSI 2'!C27</f>
        <v xml:space="preserve">SLOTER </v>
      </c>
      <c r="O337" s="179"/>
      <c r="P337" s="225"/>
      <c r="Q337" s="173"/>
      <c r="R337" s="173"/>
      <c r="S337" s="176"/>
    </row>
    <row r="338" spans="1:20" ht="10.5" customHeight="1" thickTop="1">
      <c r="A338" s="170"/>
      <c r="B338" s="182"/>
      <c r="C338" s="182"/>
      <c r="D338" s="182"/>
      <c r="E338" s="182"/>
      <c r="F338" s="182"/>
      <c r="G338" s="182"/>
      <c r="H338" s="182"/>
      <c r="I338" s="183"/>
      <c r="J338" s="169"/>
      <c r="K338" s="170"/>
      <c r="L338" s="182"/>
      <c r="M338" s="182"/>
      <c r="N338" s="182"/>
      <c r="O338" s="182"/>
      <c r="P338" s="182"/>
      <c r="Q338" s="182"/>
      <c r="R338" s="182"/>
      <c r="S338" s="183"/>
    </row>
    <row r="339" spans="1:20">
      <c r="A339" s="170"/>
      <c r="B339" s="184" t="s">
        <v>202</v>
      </c>
      <c r="C339" s="185"/>
      <c r="D339" s="185"/>
      <c r="E339" s="185"/>
      <c r="F339" s="227"/>
      <c r="G339" s="185"/>
      <c r="H339" s="185"/>
      <c r="I339" s="183"/>
      <c r="J339" s="169"/>
      <c r="K339" s="170"/>
      <c r="L339" s="184" t="s">
        <v>202</v>
      </c>
      <c r="M339" s="184"/>
      <c r="N339" s="185"/>
      <c r="O339" s="185"/>
      <c r="P339" s="227"/>
      <c r="Q339" s="185"/>
      <c r="R339" s="185"/>
      <c r="S339" s="183"/>
    </row>
    <row r="340" spans="1:20" ht="14.25" customHeight="1">
      <c r="A340" s="170"/>
      <c r="B340" s="186" t="s">
        <v>111</v>
      </c>
      <c r="C340" s="186"/>
      <c r="D340" s="186"/>
      <c r="E340" s="186"/>
      <c r="F340" s="197"/>
      <c r="G340" s="187"/>
      <c r="H340" s="187">
        <f>+'PRODUKSI 2'!H26</f>
        <v>4394855</v>
      </c>
      <c r="I340" s="188"/>
      <c r="J340" s="187"/>
      <c r="K340" s="170"/>
      <c r="L340" s="186" t="s">
        <v>111</v>
      </c>
      <c r="M340" s="186"/>
      <c r="N340" s="186"/>
      <c r="O340" s="186"/>
      <c r="P340" s="197"/>
      <c r="Q340" s="187"/>
      <c r="R340" s="187">
        <f>+'PRODUKSI 2'!H27</f>
        <v>4394855</v>
      </c>
      <c r="S340" s="188"/>
    </row>
    <row r="341" spans="1:20" ht="14.25" customHeight="1">
      <c r="A341" s="170"/>
      <c r="B341" s="186" t="s">
        <v>203</v>
      </c>
      <c r="C341" s="186"/>
      <c r="D341" s="186"/>
      <c r="E341" s="186"/>
      <c r="F341" s="197"/>
      <c r="G341" s="187"/>
      <c r="H341" s="187">
        <f>+'PRODUKSI 2'!I26</f>
        <v>0</v>
      </c>
      <c r="I341" s="188"/>
      <c r="J341" s="209"/>
      <c r="K341" s="170"/>
      <c r="L341" s="186" t="s">
        <v>203</v>
      </c>
      <c r="M341" s="186"/>
      <c r="N341" s="186"/>
      <c r="O341" s="186"/>
      <c r="P341" s="197"/>
      <c r="Q341" s="187"/>
      <c r="R341" s="187">
        <f>+'PRODUKSI 2'!I27</f>
        <v>0</v>
      </c>
      <c r="S341" s="188"/>
    </row>
    <row r="342" spans="1:20" ht="14.25" customHeight="1">
      <c r="A342" s="170"/>
      <c r="B342" s="186" t="s">
        <v>227</v>
      </c>
      <c r="C342" s="186"/>
      <c r="D342" s="186"/>
      <c r="E342" s="186"/>
      <c r="F342" s="197"/>
      <c r="G342" s="187"/>
      <c r="H342" s="187">
        <f>+'PRODUKSI 2'!J26</f>
        <v>0</v>
      </c>
      <c r="I342" s="188"/>
      <c r="J342" s="209"/>
      <c r="K342" s="170"/>
      <c r="L342" s="186" t="s">
        <v>227</v>
      </c>
      <c r="M342" s="186"/>
      <c r="N342" s="186"/>
      <c r="O342" s="186"/>
      <c r="P342" s="197"/>
      <c r="Q342" s="187"/>
      <c r="R342" s="187">
        <f>+'PRODUKSI 2'!J27</f>
        <v>0</v>
      </c>
      <c r="S342" s="188"/>
    </row>
    <row r="343" spans="1:20" ht="14.25" customHeight="1">
      <c r="A343" s="170"/>
      <c r="B343" s="186" t="s">
        <v>228</v>
      </c>
      <c r="C343" s="186"/>
      <c r="D343" s="186"/>
      <c r="E343" s="186"/>
      <c r="F343" s="197"/>
      <c r="G343" s="187"/>
      <c r="H343" s="187">
        <f>+'PRODUKSI 2'!K26</f>
        <v>0</v>
      </c>
      <c r="I343" s="188"/>
      <c r="J343" s="209"/>
      <c r="K343" s="170"/>
      <c r="L343" s="186" t="s">
        <v>228</v>
      </c>
      <c r="M343" s="186"/>
      <c r="N343" s="186"/>
      <c r="O343" s="186"/>
      <c r="P343" s="197"/>
      <c r="Q343" s="187"/>
      <c r="R343" s="187">
        <f>+'PRODUKSI 2'!K27</f>
        <v>0</v>
      </c>
      <c r="S343" s="188"/>
    </row>
    <row r="344" spans="1:20" ht="14.25" customHeight="1">
      <c r="A344" s="170"/>
      <c r="B344" s="186" t="s">
        <v>224</v>
      </c>
      <c r="C344" s="186"/>
      <c r="D344" s="186"/>
      <c r="E344" s="186"/>
      <c r="F344" s="197"/>
      <c r="G344" s="187"/>
      <c r="H344" s="187">
        <f>+'PRODUKSI 2'!AB26</f>
        <v>448215.69090000005</v>
      </c>
      <c r="I344" s="188"/>
      <c r="J344" s="209"/>
      <c r="K344" s="170"/>
      <c r="L344" s="186" t="s">
        <v>224</v>
      </c>
      <c r="M344" s="186"/>
      <c r="N344" s="186"/>
      <c r="O344" s="186"/>
      <c r="P344" s="197"/>
      <c r="Q344" s="187"/>
      <c r="R344" s="187">
        <f>+'PRODUKSI 2'!AB27</f>
        <v>448215.69090000005</v>
      </c>
      <c r="S344" s="188"/>
    </row>
    <row r="345" spans="1:20" ht="14.25" customHeight="1">
      <c r="A345" s="170"/>
      <c r="B345" s="186" t="s">
        <v>195</v>
      </c>
      <c r="C345" s="186"/>
      <c r="D345" s="187"/>
      <c r="E345" s="186"/>
      <c r="F345" s="197"/>
      <c r="G345" s="187"/>
      <c r="H345" s="187">
        <f>+'PRODUKSI 2'!U26</f>
        <v>92000</v>
      </c>
      <c r="I345" s="188"/>
      <c r="J345" s="187"/>
      <c r="K345" s="170"/>
      <c r="L345" s="186" t="s">
        <v>195</v>
      </c>
      <c r="M345" s="186"/>
      <c r="N345" s="187"/>
      <c r="O345" s="186"/>
      <c r="P345" s="197"/>
      <c r="Q345" s="187"/>
      <c r="R345" s="187">
        <f>+'PRODUKSI 2'!U27</f>
        <v>92000</v>
      </c>
      <c r="S345" s="188"/>
    </row>
    <row r="346" spans="1:20" ht="14.25" customHeight="1">
      <c r="A346" s="170"/>
      <c r="B346" s="220" t="s">
        <v>233</v>
      </c>
      <c r="C346" s="186"/>
      <c r="D346" s="187"/>
      <c r="E346" s="186"/>
      <c r="F346" s="197"/>
      <c r="G346" s="187"/>
      <c r="H346" s="187"/>
      <c r="I346" s="188"/>
      <c r="J346" s="209"/>
      <c r="K346" s="170"/>
      <c r="L346" s="220" t="s">
        <v>233</v>
      </c>
      <c r="M346" s="186"/>
      <c r="N346" s="187"/>
      <c r="O346" s="186"/>
      <c r="P346" s="197"/>
      <c r="Q346" s="187"/>
      <c r="R346" s="187"/>
      <c r="S346" s="188"/>
      <c r="T346" s="218"/>
    </row>
    <row r="347" spans="1:20" ht="14.25" customHeight="1">
      <c r="A347" s="170"/>
      <c r="B347" s="186" t="s">
        <v>206</v>
      </c>
      <c r="C347" s="186"/>
      <c r="D347" s="212">
        <v>0</v>
      </c>
      <c r="E347" s="186" t="s">
        <v>207</v>
      </c>
      <c r="F347" s="197" t="s">
        <v>205</v>
      </c>
      <c r="G347" s="187">
        <v>20592</v>
      </c>
      <c r="H347" s="187">
        <f>G347*D347</f>
        <v>0</v>
      </c>
      <c r="I347" s="188"/>
      <c r="J347" s="187"/>
      <c r="K347" s="170"/>
      <c r="L347" s="186" t="s">
        <v>206</v>
      </c>
      <c r="M347" s="186"/>
      <c r="N347" s="212">
        <v>0</v>
      </c>
      <c r="O347" s="186" t="s">
        <v>207</v>
      </c>
      <c r="P347" s="197" t="s">
        <v>205</v>
      </c>
      <c r="Q347" s="187">
        <v>20592</v>
      </c>
      <c r="R347" s="187">
        <f>Q347*N347</f>
        <v>0</v>
      </c>
      <c r="S347" s="188"/>
    </row>
    <row r="348" spans="1:20" ht="14.25" customHeight="1" thickBot="1">
      <c r="A348" s="170"/>
      <c r="B348" s="190" t="s">
        <v>208</v>
      </c>
      <c r="C348" s="190"/>
      <c r="D348" s="213">
        <v>0</v>
      </c>
      <c r="E348" s="190" t="s">
        <v>207</v>
      </c>
      <c r="F348" s="228" t="s">
        <v>205</v>
      </c>
      <c r="G348" s="192">
        <f>G347</f>
        <v>20592</v>
      </c>
      <c r="H348" s="192">
        <f>G348*D348</f>
        <v>0</v>
      </c>
      <c r="I348" s="188"/>
      <c r="J348" s="187"/>
      <c r="K348" s="170"/>
      <c r="L348" s="190" t="s">
        <v>208</v>
      </c>
      <c r="M348" s="190"/>
      <c r="N348" s="213">
        <v>0</v>
      </c>
      <c r="O348" s="190" t="s">
        <v>207</v>
      </c>
      <c r="P348" s="228" t="s">
        <v>205</v>
      </c>
      <c r="Q348" s="192">
        <f>Q347</f>
        <v>20592</v>
      </c>
      <c r="R348" s="192">
        <f>Q348*N348</f>
        <v>0</v>
      </c>
      <c r="S348" s="188"/>
    </row>
    <row r="349" spans="1:20" ht="15.75" thickBot="1">
      <c r="A349" s="170"/>
      <c r="B349" s="190" t="s">
        <v>219</v>
      </c>
      <c r="C349" s="190"/>
      <c r="D349" s="213">
        <f>SUM(D346:D348)</f>
        <v>0</v>
      </c>
      <c r="E349" s="190"/>
      <c r="F349" s="228"/>
      <c r="G349" s="192"/>
      <c r="H349" s="192">
        <f>SUM(H340:H348)</f>
        <v>4935070.6908999998</v>
      </c>
      <c r="I349" s="188"/>
      <c r="J349" s="187"/>
      <c r="K349" s="170"/>
      <c r="L349" s="190" t="s">
        <v>219</v>
      </c>
      <c r="M349" s="190"/>
      <c r="N349" s="213">
        <f>SUM(N346:N348)</f>
        <v>0</v>
      </c>
      <c r="O349" s="190"/>
      <c r="P349" s="228"/>
      <c r="Q349" s="192"/>
      <c r="R349" s="192">
        <f>SUM(R340:R348)</f>
        <v>4935070.6908999998</v>
      </c>
      <c r="S349" s="188"/>
    </row>
    <row r="350" spans="1:20">
      <c r="A350" s="170"/>
      <c r="B350" s="196" t="s">
        <v>113</v>
      </c>
      <c r="C350" s="186"/>
      <c r="D350" s="186"/>
      <c r="E350" s="186"/>
      <c r="F350" s="197"/>
      <c r="G350" s="187"/>
      <c r="H350" s="187"/>
      <c r="I350" s="188"/>
      <c r="J350" s="209"/>
      <c r="K350" s="170"/>
      <c r="L350" s="196" t="s">
        <v>113</v>
      </c>
      <c r="M350" s="186"/>
      <c r="N350" s="186"/>
      <c r="O350" s="186"/>
      <c r="P350" s="197"/>
      <c r="Q350" s="187"/>
      <c r="R350" s="187"/>
      <c r="S350" s="188"/>
    </row>
    <row r="351" spans="1:20" ht="14.25" customHeight="1">
      <c r="A351" s="170"/>
      <c r="B351" s="186" t="s">
        <v>209</v>
      </c>
      <c r="C351" s="186"/>
      <c r="D351" s="197"/>
      <c r="E351" s="186"/>
      <c r="F351" s="197"/>
      <c r="G351" s="198" t="str">
        <f>+'PRODUKSI 2'!D26</f>
        <v>TK</v>
      </c>
      <c r="H351" s="187">
        <f>+'PRODUKSI 2'!AI26</f>
        <v>0</v>
      </c>
      <c r="I351" s="188"/>
      <c r="J351" s="209"/>
      <c r="K351" s="170"/>
      <c r="L351" s="186" t="s">
        <v>209</v>
      </c>
      <c r="M351" s="186"/>
      <c r="N351" s="198"/>
      <c r="O351" s="186"/>
      <c r="P351" s="197"/>
      <c r="Q351" s="198" t="str">
        <f>+'PRODUKSI 2'!D27</f>
        <v>TK</v>
      </c>
      <c r="R351" s="187">
        <f>+'PRODUKSI 2'!AI27</f>
        <v>0</v>
      </c>
      <c r="S351" s="188"/>
    </row>
    <row r="352" spans="1:20" ht="14.25" customHeight="1">
      <c r="A352" s="170"/>
      <c r="B352" s="186" t="s">
        <v>225</v>
      </c>
      <c r="C352" s="186"/>
      <c r="D352" s="197"/>
      <c r="E352" s="186"/>
      <c r="F352" s="197"/>
      <c r="G352" s="198"/>
      <c r="H352" s="187">
        <f>+'PRODUKSI 2'!AF26+'PRODUKSI 2'!AG26</f>
        <v>48772.11</v>
      </c>
      <c r="I352" s="188"/>
      <c r="J352" s="209"/>
      <c r="K352" s="170"/>
      <c r="L352" s="186" t="s">
        <v>225</v>
      </c>
      <c r="M352" s="186"/>
      <c r="N352" s="198"/>
      <c r="O352" s="186"/>
      <c r="P352" s="197"/>
      <c r="Q352" s="198"/>
      <c r="R352" s="187">
        <f>+'PRODUKSI 2'!AF27+'PRODUKSI 2'!AG27</f>
        <v>48772.11</v>
      </c>
      <c r="S352" s="188"/>
    </row>
    <row r="353" spans="1:19" ht="14.25" customHeight="1">
      <c r="A353" s="170"/>
      <c r="B353" s="186" t="s">
        <v>226</v>
      </c>
      <c r="C353" s="186"/>
      <c r="D353" s="197"/>
      <c r="E353" s="186"/>
      <c r="F353" s="197"/>
      <c r="G353" s="198"/>
      <c r="H353" s="187">
        <f>+'PRODUKSI 2'!AD26+'PRODUKSI 2'!AE26</f>
        <v>146316.33000000002</v>
      </c>
      <c r="I353" s="188"/>
      <c r="J353" s="209"/>
      <c r="K353" s="170"/>
      <c r="L353" s="186" t="s">
        <v>226</v>
      </c>
      <c r="M353" s="186"/>
      <c r="N353" s="198"/>
      <c r="O353" s="186"/>
      <c r="P353" s="197"/>
      <c r="Q353" s="198"/>
      <c r="R353" s="187">
        <f>+'PRODUKSI 2'!AD27+'PRODUKSI 2'!AE27</f>
        <v>146316.33000000002</v>
      </c>
      <c r="S353" s="188"/>
    </row>
    <row r="354" spans="1:19" ht="14.25" customHeight="1">
      <c r="A354" s="170"/>
      <c r="B354" s="186" t="s">
        <v>103</v>
      </c>
      <c r="C354" s="186"/>
      <c r="D354" s="186"/>
      <c r="E354" s="186"/>
      <c r="F354" s="197"/>
      <c r="G354" s="198"/>
      <c r="H354" s="187">
        <f>+H344</f>
        <v>448215.69090000005</v>
      </c>
      <c r="I354" s="188"/>
      <c r="J354" s="209"/>
      <c r="K354" s="170"/>
      <c r="L354" s="186" t="s">
        <v>103</v>
      </c>
      <c r="M354" s="186"/>
      <c r="N354" s="186"/>
      <c r="O354" s="186"/>
      <c r="P354" s="197"/>
      <c r="Q354" s="187"/>
      <c r="R354" s="187">
        <f>+R344</f>
        <v>448215.69090000005</v>
      </c>
      <c r="S354" s="188"/>
    </row>
    <row r="355" spans="1:19" ht="14.25" customHeight="1" thickBot="1">
      <c r="A355" s="170"/>
      <c r="B355" s="190" t="s">
        <v>211</v>
      </c>
      <c r="C355" s="190"/>
      <c r="D355" s="190"/>
      <c r="E355" s="190"/>
      <c r="F355" s="228"/>
      <c r="G355" s="192"/>
      <c r="H355" s="192">
        <f>SUM(H351:H354)</f>
        <v>643304.13089999999</v>
      </c>
      <c r="I355" s="188"/>
      <c r="J355" s="209"/>
      <c r="K355" s="170"/>
      <c r="L355" s="190" t="s">
        <v>211</v>
      </c>
      <c r="M355" s="190"/>
      <c r="N355" s="190"/>
      <c r="O355" s="190"/>
      <c r="P355" s="228"/>
      <c r="Q355" s="192"/>
      <c r="R355" s="192">
        <f>SUM(R351:R354)</f>
        <v>643304.13089999999</v>
      </c>
      <c r="S355" s="188"/>
    </row>
    <row r="356" spans="1:19" ht="15.75" thickBot="1">
      <c r="A356" s="170"/>
      <c r="B356" s="193" t="s">
        <v>220</v>
      </c>
      <c r="C356" s="193"/>
      <c r="D356" s="193"/>
      <c r="E356" s="193"/>
      <c r="F356" s="229"/>
      <c r="G356" s="195"/>
      <c r="H356" s="195">
        <f>H349-H355</f>
        <v>4291766.5599999996</v>
      </c>
      <c r="I356" s="188"/>
      <c r="J356" s="209"/>
      <c r="K356" s="170"/>
      <c r="L356" s="193" t="s">
        <v>220</v>
      </c>
      <c r="M356" s="193"/>
      <c r="N356" s="193"/>
      <c r="O356" s="193"/>
      <c r="P356" s="229"/>
      <c r="Q356" s="195"/>
      <c r="R356" s="195">
        <f>SUM(R349-R355)</f>
        <v>4291766.5599999996</v>
      </c>
      <c r="S356" s="188"/>
    </row>
    <row r="357" spans="1:19">
      <c r="A357" s="170"/>
      <c r="B357" s="186" t="s">
        <v>230</v>
      </c>
      <c r="C357" s="186"/>
      <c r="D357" s="186"/>
      <c r="E357" s="186"/>
      <c r="F357" s="197"/>
      <c r="G357" s="187"/>
      <c r="H357" s="187">
        <v>10000</v>
      </c>
      <c r="I357" s="188"/>
      <c r="J357" s="209"/>
      <c r="K357" s="170"/>
      <c r="L357" s="186" t="s">
        <v>231</v>
      </c>
      <c r="M357" s="186"/>
      <c r="N357" s="186"/>
      <c r="O357" s="186"/>
      <c r="P357" s="197"/>
      <c r="Q357" s="187"/>
      <c r="R357" s="187">
        <v>10000</v>
      </c>
      <c r="S357" s="188"/>
    </row>
    <row r="358" spans="1:19" ht="10.5" customHeight="1" thickBot="1">
      <c r="A358" s="170"/>
      <c r="B358" s="199"/>
      <c r="C358" s="190"/>
      <c r="D358" s="190"/>
      <c r="E358" s="190"/>
      <c r="F358" s="228"/>
      <c r="G358" s="192"/>
      <c r="H358" s="192"/>
      <c r="I358" s="188"/>
      <c r="J358" s="187"/>
      <c r="K358" s="170"/>
      <c r="L358" s="199"/>
      <c r="M358" s="190"/>
      <c r="N358" s="190"/>
      <c r="O358" s="190"/>
      <c r="P358" s="228"/>
      <c r="Q358" s="192"/>
      <c r="R358" s="192"/>
      <c r="S358" s="188"/>
    </row>
    <row r="359" spans="1:19" ht="15.75" thickBot="1">
      <c r="A359" s="170"/>
      <c r="B359" s="200" t="s">
        <v>212</v>
      </c>
      <c r="C359" s="200"/>
      <c r="D359" s="200"/>
      <c r="E359" s="200"/>
      <c r="F359" s="230"/>
      <c r="G359" s="201"/>
      <c r="H359" s="201">
        <f>SUM(H356-H357)</f>
        <v>4281766.5599999996</v>
      </c>
      <c r="I359" s="188"/>
      <c r="J359" s="187"/>
      <c r="K359" s="170"/>
      <c r="L359" s="200" t="s">
        <v>212</v>
      </c>
      <c r="M359" s="200"/>
      <c r="N359" s="200"/>
      <c r="O359" s="200"/>
      <c r="P359" s="230"/>
      <c r="Q359" s="201"/>
      <c r="R359" s="201">
        <f>SUM(R356-R357)</f>
        <v>4281766.5599999996</v>
      </c>
      <c r="S359" s="188"/>
    </row>
    <row r="360" spans="1:19" ht="15.75" thickTop="1">
      <c r="A360" s="170"/>
      <c r="B360" s="202" t="s">
        <v>213</v>
      </c>
      <c r="C360" s="186"/>
      <c r="D360" s="186"/>
      <c r="E360" s="186"/>
      <c r="F360" s="197"/>
      <c r="G360" s="296" t="s">
        <v>214</v>
      </c>
      <c r="H360" s="296"/>
      <c r="I360" s="188"/>
      <c r="J360" s="187"/>
      <c r="K360" s="170"/>
      <c r="L360" s="202" t="s">
        <v>213</v>
      </c>
      <c r="M360" s="186"/>
      <c r="N360" s="186"/>
      <c r="O360" s="186"/>
      <c r="P360" s="197"/>
      <c r="Q360" s="296" t="s">
        <v>214</v>
      </c>
      <c r="R360" s="296"/>
      <c r="S360" s="188"/>
    </row>
    <row r="361" spans="1:19" ht="12.75" customHeight="1">
      <c r="A361" s="170"/>
      <c r="B361" s="186"/>
      <c r="C361" s="186"/>
      <c r="D361" s="186"/>
      <c r="E361" s="186"/>
      <c r="F361" s="197"/>
      <c r="G361" s="187"/>
      <c r="H361" s="187"/>
      <c r="I361" s="188"/>
      <c r="J361" s="187"/>
      <c r="K361" s="170"/>
      <c r="L361" s="186"/>
      <c r="M361" s="186"/>
      <c r="N361" s="186"/>
      <c r="O361" s="186"/>
      <c r="P361" s="197"/>
      <c r="Q361" s="187"/>
      <c r="R361" s="187"/>
      <c r="S361" s="188"/>
    </row>
    <row r="362" spans="1:19" ht="12.75" customHeight="1">
      <c r="A362" s="170"/>
      <c r="B362" s="186"/>
      <c r="C362" s="186"/>
      <c r="D362" s="186"/>
      <c r="E362" s="186"/>
      <c r="F362" s="197"/>
      <c r="G362" s="187"/>
      <c r="H362" s="187"/>
      <c r="I362" s="188"/>
      <c r="J362" s="187"/>
      <c r="K362" s="170"/>
      <c r="L362" s="186"/>
      <c r="M362" s="186"/>
      <c r="N362" s="186"/>
      <c r="O362" s="186"/>
      <c r="P362" s="197"/>
      <c r="Q362" s="187"/>
      <c r="R362" s="187"/>
      <c r="S362" s="188"/>
    </row>
    <row r="363" spans="1:19" ht="12.75" customHeight="1">
      <c r="A363" s="170"/>
      <c r="B363" s="203" t="s">
        <v>215</v>
      </c>
      <c r="C363" s="186"/>
      <c r="D363" s="186"/>
      <c r="E363" s="186"/>
      <c r="F363" s="197"/>
      <c r="G363" s="297" t="s">
        <v>216</v>
      </c>
      <c r="H363" s="297"/>
      <c r="I363" s="188"/>
      <c r="J363" s="187"/>
      <c r="K363" s="170"/>
      <c r="L363" s="203" t="s">
        <v>215</v>
      </c>
      <c r="M363" s="186"/>
      <c r="N363" s="186"/>
      <c r="O363" s="186"/>
      <c r="P363" s="197"/>
      <c r="Q363" s="297" t="s">
        <v>216</v>
      </c>
      <c r="R363" s="297"/>
      <c r="S363" s="188"/>
    </row>
    <row r="364" spans="1:19" ht="7.5" customHeight="1">
      <c r="A364" s="204"/>
      <c r="B364" s="205"/>
      <c r="C364" s="206"/>
      <c r="D364" s="206"/>
      <c r="E364" s="206"/>
      <c r="F364" s="231"/>
      <c r="G364" s="207"/>
      <c r="H364" s="205"/>
      <c r="I364" s="208"/>
      <c r="J364" s="187"/>
      <c r="K364" s="204"/>
      <c r="L364" s="205"/>
      <c r="M364" s="206"/>
      <c r="N364" s="206"/>
      <c r="O364" s="206"/>
      <c r="P364" s="231"/>
      <c r="Q364" s="207"/>
      <c r="R364" s="205"/>
      <c r="S364" s="208"/>
    </row>
    <row r="367" spans="1:19">
      <c r="A367" s="166"/>
      <c r="B367" s="167"/>
      <c r="C367" s="167"/>
      <c r="D367" s="167"/>
      <c r="E367" s="167"/>
      <c r="F367" s="223"/>
      <c r="G367" s="167"/>
      <c r="H367" s="167"/>
      <c r="I367" s="168"/>
      <c r="J367" s="169"/>
      <c r="K367" s="166"/>
      <c r="L367" s="167"/>
      <c r="M367" s="167"/>
      <c r="N367" s="167"/>
      <c r="O367" s="167"/>
      <c r="P367" s="223"/>
      <c r="Q367" s="167"/>
      <c r="R367" s="167"/>
      <c r="S367" s="168"/>
    </row>
    <row r="368" spans="1:19">
      <c r="A368" s="170"/>
      <c r="B368" s="169"/>
      <c r="C368" s="169"/>
      <c r="D368" s="169"/>
      <c r="E368" s="169"/>
      <c r="F368" s="224"/>
      <c r="G368" s="169"/>
      <c r="H368" s="169"/>
      <c r="I368" s="171"/>
      <c r="J368" s="169"/>
      <c r="K368" s="170"/>
      <c r="L368" s="169"/>
      <c r="M368" s="169"/>
      <c r="N368" s="169"/>
      <c r="O368" s="169"/>
      <c r="P368" s="224"/>
      <c r="Q368" s="169"/>
      <c r="R368" s="169"/>
      <c r="S368" s="171"/>
    </row>
    <row r="369" spans="1:20">
      <c r="A369" s="170"/>
      <c r="B369" s="169"/>
      <c r="C369" s="169"/>
      <c r="D369" s="169"/>
      <c r="E369" s="169"/>
      <c r="F369" s="224"/>
      <c r="G369" s="169"/>
      <c r="H369" s="169"/>
      <c r="I369" s="171"/>
      <c r="J369" s="169"/>
      <c r="K369" s="170"/>
      <c r="L369" s="169"/>
      <c r="M369" s="169"/>
      <c r="N369" s="169"/>
      <c r="O369" s="169"/>
      <c r="P369" s="224"/>
      <c r="Q369" s="169"/>
      <c r="R369" s="169"/>
      <c r="S369" s="171"/>
    </row>
    <row r="370" spans="1:20">
      <c r="A370" s="170"/>
      <c r="B370" s="294" t="s">
        <v>196</v>
      </c>
      <c r="C370" s="294"/>
      <c r="D370" s="294"/>
      <c r="E370" s="294"/>
      <c r="F370" s="294"/>
      <c r="G370" s="294"/>
      <c r="H370" s="294"/>
      <c r="I370" s="295"/>
      <c r="J370" s="169"/>
      <c r="K370" s="170"/>
      <c r="L370" s="294" t="s">
        <v>196</v>
      </c>
      <c r="M370" s="294"/>
      <c r="N370" s="294"/>
      <c r="O370" s="294"/>
      <c r="P370" s="294"/>
      <c r="Q370" s="294"/>
      <c r="R370" s="294"/>
      <c r="S370" s="295"/>
    </row>
    <row r="371" spans="1:20">
      <c r="A371" s="172"/>
      <c r="B371" s="173" t="s">
        <v>197</v>
      </c>
      <c r="C371" s="174" t="s">
        <v>198</v>
      </c>
      <c r="D371" s="211">
        <v>21</v>
      </c>
      <c r="E371" s="173"/>
      <c r="F371" s="225"/>
      <c r="G371" s="173"/>
      <c r="H371" s="173"/>
      <c r="I371" s="176"/>
      <c r="J371" s="173"/>
      <c r="K371" s="172"/>
      <c r="L371" s="173" t="s">
        <v>197</v>
      </c>
      <c r="M371" s="174" t="s">
        <v>198</v>
      </c>
      <c r="N371" s="211">
        <v>22</v>
      </c>
      <c r="O371" s="175"/>
      <c r="P371" s="225"/>
      <c r="Q371" s="173"/>
      <c r="R371" s="173"/>
      <c r="S371" s="176"/>
    </row>
    <row r="372" spans="1:20">
      <c r="A372" s="172"/>
      <c r="B372" s="173" t="s">
        <v>199</v>
      </c>
      <c r="C372" s="174" t="s">
        <v>198</v>
      </c>
      <c r="D372" s="177" t="s">
        <v>229</v>
      </c>
      <c r="E372" s="173"/>
      <c r="F372" s="225"/>
      <c r="G372" s="173"/>
      <c r="H372" s="173"/>
      <c r="I372" s="176"/>
      <c r="J372" s="173"/>
      <c r="K372" s="172"/>
      <c r="L372" s="173" t="s">
        <v>199</v>
      </c>
      <c r="M372" s="174" t="s">
        <v>198</v>
      </c>
      <c r="N372" s="177" t="s">
        <v>229</v>
      </c>
      <c r="O372" s="179"/>
      <c r="P372" s="225"/>
      <c r="Q372" s="173"/>
      <c r="R372" s="173"/>
      <c r="S372" s="176"/>
    </row>
    <row r="373" spans="1:20">
      <c r="A373" s="172"/>
      <c r="B373" s="173" t="s">
        <v>200</v>
      </c>
      <c r="C373" s="174" t="s">
        <v>198</v>
      </c>
      <c r="D373" s="177" t="str">
        <f>+'PRODUKSI 2'!B28</f>
        <v>FAIS MUHAMAD RIZWAN</v>
      </c>
      <c r="E373" s="173"/>
      <c r="F373" s="225"/>
      <c r="G373" s="173"/>
      <c r="H373" s="173"/>
      <c r="I373" s="176"/>
      <c r="J373" s="173"/>
      <c r="K373" s="172"/>
      <c r="L373" s="173" t="s">
        <v>200</v>
      </c>
      <c r="M373" s="174" t="s">
        <v>198</v>
      </c>
      <c r="N373" s="178" t="str">
        <f>+'PRODUKSI 2'!B29</f>
        <v>MUHAMAD RENALDI</v>
      </c>
      <c r="O373" s="173"/>
      <c r="P373" s="225"/>
      <c r="Q373" s="173"/>
      <c r="R373" s="173"/>
      <c r="S373" s="176"/>
    </row>
    <row r="374" spans="1:20" ht="15.75" thickBot="1">
      <c r="A374" s="172"/>
      <c r="B374" s="173" t="s">
        <v>201</v>
      </c>
      <c r="C374" s="174" t="s">
        <v>198</v>
      </c>
      <c r="D374" s="177" t="str">
        <f>+'PRODUKSI 2'!C28</f>
        <v>DELIVERY</v>
      </c>
      <c r="E374" s="173"/>
      <c r="F374" s="225"/>
      <c r="G374" s="173"/>
      <c r="H374" s="173"/>
      <c r="I374" s="176"/>
      <c r="J374" s="173"/>
      <c r="K374" s="172"/>
      <c r="L374" s="173" t="s">
        <v>201</v>
      </c>
      <c r="M374" s="174" t="s">
        <v>198</v>
      </c>
      <c r="N374" s="178" t="str">
        <f>+'PRODUKSI 2'!C29</f>
        <v>DELIVERY</v>
      </c>
      <c r="O374" s="179"/>
      <c r="P374" s="225"/>
      <c r="Q374" s="173"/>
      <c r="R374" s="173"/>
      <c r="S374" s="176"/>
    </row>
    <row r="375" spans="1:20" ht="10.5" customHeight="1" thickTop="1">
      <c r="A375" s="170"/>
      <c r="B375" s="182"/>
      <c r="C375" s="182"/>
      <c r="D375" s="182"/>
      <c r="E375" s="182"/>
      <c r="F375" s="182"/>
      <c r="G375" s="182"/>
      <c r="H375" s="182"/>
      <c r="I375" s="183"/>
      <c r="J375" s="169"/>
      <c r="K375" s="170"/>
      <c r="L375" s="182"/>
      <c r="M375" s="182"/>
      <c r="N375" s="182"/>
      <c r="O375" s="182"/>
      <c r="P375" s="182"/>
      <c r="Q375" s="182"/>
      <c r="R375" s="182"/>
      <c r="S375" s="183"/>
    </row>
    <row r="376" spans="1:20">
      <c r="A376" s="170"/>
      <c r="B376" s="184" t="s">
        <v>202</v>
      </c>
      <c r="C376" s="185"/>
      <c r="D376" s="185"/>
      <c r="E376" s="185"/>
      <c r="F376" s="227"/>
      <c r="G376" s="185"/>
      <c r="H376" s="185"/>
      <c r="I376" s="183"/>
      <c r="J376" s="169"/>
      <c r="K376" s="170"/>
      <c r="L376" s="184" t="s">
        <v>202</v>
      </c>
      <c r="M376" s="184"/>
      <c r="N376" s="185"/>
      <c r="O376" s="185"/>
      <c r="P376" s="227"/>
      <c r="Q376" s="185"/>
      <c r="R376" s="185"/>
      <c r="S376" s="183"/>
    </row>
    <row r="377" spans="1:20" ht="14.25" customHeight="1">
      <c r="A377" s="170"/>
      <c r="B377" s="186" t="s">
        <v>111</v>
      </c>
      <c r="C377" s="186"/>
      <c r="D377" s="186"/>
      <c r="E377" s="186"/>
      <c r="F377" s="197"/>
      <c r="G377" s="187"/>
      <c r="H377" s="187">
        <f>+'PRODUKSI 2'!H28</f>
        <v>4394855</v>
      </c>
      <c r="I377" s="188"/>
      <c r="J377" s="187"/>
      <c r="K377" s="170"/>
      <c r="L377" s="186" t="s">
        <v>111</v>
      </c>
      <c r="M377" s="186"/>
      <c r="N377" s="186"/>
      <c r="O377" s="186"/>
      <c r="P377" s="197"/>
      <c r="Q377" s="187"/>
      <c r="R377" s="187">
        <f>+'PRODUKSI 2'!H29</f>
        <v>4394855</v>
      </c>
      <c r="S377" s="188"/>
    </row>
    <row r="378" spans="1:20" ht="14.25" customHeight="1">
      <c r="A378" s="170"/>
      <c r="B378" s="186" t="s">
        <v>203</v>
      </c>
      <c r="C378" s="186"/>
      <c r="D378" s="186"/>
      <c r="E378" s="186"/>
      <c r="F378" s="197"/>
      <c r="G378" s="187"/>
      <c r="H378" s="187">
        <f>+'PRODUKSI 2'!I28</f>
        <v>0</v>
      </c>
      <c r="I378" s="188"/>
      <c r="J378" s="209"/>
      <c r="K378" s="170"/>
      <c r="L378" s="186" t="s">
        <v>203</v>
      </c>
      <c r="M378" s="186"/>
      <c r="N378" s="186"/>
      <c r="O378" s="186"/>
      <c r="P378" s="197"/>
      <c r="Q378" s="187"/>
      <c r="R378" s="187">
        <f>+'PRODUKSI 2'!I29</f>
        <v>0</v>
      </c>
      <c r="S378" s="188"/>
    </row>
    <row r="379" spans="1:20" ht="14.25" customHeight="1">
      <c r="A379" s="170"/>
      <c r="B379" s="186" t="s">
        <v>227</v>
      </c>
      <c r="C379" s="186"/>
      <c r="D379" s="186"/>
      <c r="E379" s="186"/>
      <c r="F379" s="197"/>
      <c r="G379" s="187"/>
      <c r="H379" s="187">
        <f>+'PRODUKSI 2'!J28</f>
        <v>0</v>
      </c>
      <c r="I379" s="188"/>
      <c r="J379" s="209"/>
      <c r="K379" s="170"/>
      <c r="L379" s="186" t="s">
        <v>227</v>
      </c>
      <c r="M379" s="186"/>
      <c r="N379" s="186"/>
      <c r="O379" s="186"/>
      <c r="P379" s="197"/>
      <c r="Q379" s="187"/>
      <c r="R379" s="187">
        <f>+'PRODUKSI 2'!J29</f>
        <v>0</v>
      </c>
      <c r="S379" s="188"/>
    </row>
    <row r="380" spans="1:20" ht="14.25" customHeight="1">
      <c r="A380" s="170"/>
      <c r="B380" s="186" t="s">
        <v>228</v>
      </c>
      <c r="C380" s="186"/>
      <c r="D380" s="186"/>
      <c r="E380" s="186"/>
      <c r="F380" s="197"/>
      <c r="G380" s="187"/>
      <c r="H380" s="187">
        <f>+'PRODUKSI 2'!K28</f>
        <v>0</v>
      </c>
      <c r="I380" s="188"/>
      <c r="J380" s="209"/>
      <c r="K380" s="170"/>
      <c r="L380" s="186" t="s">
        <v>228</v>
      </c>
      <c r="M380" s="186"/>
      <c r="N380" s="186"/>
      <c r="O380" s="186"/>
      <c r="P380" s="197"/>
      <c r="Q380" s="187"/>
      <c r="R380" s="187">
        <f>+'PRODUKSI 2'!K29</f>
        <v>0</v>
      </c>
      <c r="S380" s="188"/>
    </row>
    <row r="381" spans="1:20" ht="14.25" customHeight="1">
      <c r="A381" s="170"/>
      <c r="B381" s="186" t="s">
        <v>224</v>
      </c>
      <c r="C381" s="186"/>
      <c r="D381" s="186"/>
      <c r="E381" s="186"/>
      <c r="F381" s="197"/>
      <c r="G381" s="187"/>
      <c r="H381" s="187">
        <f>+'PRODUKSI 2'!AB28</f>
        <v>448215.69090000005</v>
      </c>
      <c r="I381" s="188"/>
      <c r="J381" s="209"/>
      <c r="K381" s="170"/>
      <c r="L381" s="186" t="s">
        <v>224</v>
      </c>
      <c r="M381" s="186"/>
      <c r="N381" s="186"/>
      <c r="O381" s="186"/>
      <c r="P381" s="197"/>
      <c r="Q381" s="187"/>
      <c r="R381" s="187">
        <f>+'PRODUKSI 2'!AB29</f>
        <v>448215.69090000005</v>
      </c>
      <c r="S381" s="188"/>
    </row>
    <row r="382" spans="1:20" ht="14.25" customHeight="1">
      <c r="A382" s="170"/>
      <c r="B382" s="186" t="s">
        <v>195</v>
      </c>
      <c r="C382" s="186"/>
      <c r="D382" s="187"/>
      <c r="E382" s="186"/>
      <c r="F382" s="197"/>
      <c r="G382" s="187"/>
      <c r="H382" s="187">
        <f>+'PRODUKSI 2'!U28</f>
        <v>92000</v>
      </c>
      <c r="I382" s="188"/>
      <c r="J382" s="187"/>
      <c r="K382" s="170"/>
      <c r="L382" s="186" t="s">
        <v>195</v>
      </c>
      <c r="M382" s="186"/>
      <c r="N382" s="187"/>
      <c r="O382" s="186"/>
      <c r="P382" s="197"/>
      <c r="Q382" s="187"/>
      <c r="R382" s="187">
        <f>+'PRODUKSI 2'!U29</f>
        <v>92000</v>
      </c>
      <c r="S382" s="188"/>
    </row>
    <row r="383" spans="1:20" ht="14.25" customHeight="1">
      <c r="A383" s="170"/>
      <c r="B383" s="220" t="s">
        <v>233</v>
      </c>
      <c r="C383" s="186"/>
      <c r="D383" s="187"/>
      <c r="E383" s="186"/>
      <c r="F383" s="197"/>
      <c r="G383" s="187"/>
      <c r="H383" s="187"/>
      <c r="I383" s="188"/>
      <c r="J383" s="209"/>
      <c r="K383" s="170"/>
      <c r="L383" s="220" t="s">
        <v>233</v>
      </c>
      <c r="M383" s="186"/>
      <c r="N383" s="187"/>
      <c r="O383" s="186"/>
      <c r="P383" s="197"/>
      <c r="Q383" s="187"/>
      <c r="R383" s="187"/>
      <c r="S383" s="188"/>
      <c r="T383" s="218"/>
    </row>
    <row r="384" spans="1:20" ht="14.25" customHeight="1">
      <c r="A384" s="170"/>
      <c r="B384" s="186" t="s">
        <v>206</v>
      </c>
      <c r="C384" s="186"/>
      <c r="D384" s="212">
        <v>0</v>
      </c>
      <c r="E384" s="186" t="s">
        <v>207</v>
      </c>
      <c r="F384" s="197" t="s">
        <v>205</v>
      </c>
      <c r="G384" s="187">
        <v>20592</v>
      </c>
      <c r="H384" s="187">
        <f>G384*D384</f>
        <v>0</v>
      </c>
      <c r="I384" s="188"/>
      <c r="J384" s="187"/>
      <c r="K384" s="170"/>
      <c r="L384" s="186" t="s">
        <v>206</v>
      </c>
      <c r="M384" s="186"/>
      <c r="N384" s="212">
        <v>0</v>
      </c>
      <c r="O384" s="186" t="s">
        <v>207</v>
      </c>
      <c r="P384" s="197" t="s">
        <v>205</v>
      </c>
      <c r="Q384" s="187">
        <v>20592</v>
      </c>
      <c r="R384" s="187">
        <f>Q384*N384</f>
        <v>0</v>
      </c>
      <c r="S384" s="188"/>
    </row>
    <row r="385" spans="1:19" ht="14.25" customHeight="1" thickBot="1">
      <c r="A385" s="170"/>
      <c r="B385" s="190" t="s">
        <v>208</v>
      </c>
      <c r="C385" s="190"/>
      <c r="D385" s="213">
        <v>0</v>
      </c>
      <c r="E385" s="190" t="s">
        <v>207</v>
      </c>
      <c r="F385" s="228" t="s">
        <v>205</v>
      </c>
      <c r="G385" s="192">
        <f>G384</f>
        <v>20592</v>
      </c>
      <c r="H385" s="192">
        <f>G385*D385</f>
        <v>0</v>
      </c>
      <c r="I385" s="188"/>
      <c r="J385" s="187"/>
      <c r="K385" s="170"/>
      <c r="L385" s="190" t="s">
        <v>208</v>
      </c>
      <c r="M385" s="190"/>
      <c r="N385" s="213">
        <v>0</v>
      </c>
      <c r="O385" s="190" t="s">
        <v>207</v>
      </c>
      <c r="P385" s="228" t="s">
        <v>205</v>
      </c>
      <c r="Q385" s="192">
        <f>Q384</f>
        <v>20592</v>
      </c>
      <c r="R385" s="192">
        <f>Q385*N385</f>
        <v>0</v>
      </c>
      <c r="S385" s="188"/>
    </row>
    <row r="386" spans="1:19" ht="15.75" thickBot="1">
      <c r="A386" s="170"/>
      <c r="B386" s="190" t="s">
        <v>219</v>
      </c>
      <c r="C386" s="190"/>
      <c r="D386" s="213">
        <f>SUM(D383:D385)</f>
        <v>0</v>
      </c>
      <c r="E386" s="190"/>
      <c r="F386" s="228"/>
      <c r="G386" s="192"/>
      <c r="H386" s="192">
        <f>SUM(H377:H385)</f>
        <v>4935070.6908999998</v>
      </c>
      <c r="I386" s="188"/>
      <c r="J386" s="187"/>
      <c r="K386" s="170"/>
      <c r="L386" s="190" t="s">
        <v>219</v>
      </c>
      <c r="M386" s="190"/>
      <c r="N386" s="213">
        <f>SUM(N383:N385)</f>
        <v>0</v>
      </c>
      <c r="O386" s="190"/>
      <c r="P386" s="228"/>
      <c r="Q386" s="192"/>
      <c r="R386" s="192">
        <f>SUM(R377:R385)</f>
        <v>4935070.6908999998</v>
      </c>
      <c r="S386" s="188"/>
    </row>
    <row r="387" spans="1:19">
      <c r="A387" s="170"/>
      <c r="B387" s="196" t="s">
        <v>113</v>
      </c>
      <c r="C387" s="186"/>
      <c r="D387" s="186"/>
      <c r="E387" s="186"/>
      <c r="F387" s="197"/>
      <c r="G387" s="187"/>
      <c r="H387" s="187"/>
      <c r="I387" s="188"/>
      <c r="J387" s="209"/>
      <c r="K387" s="170"/>
      <c r="L387" s="196" t="s">
        <v>113</v>
      </c>
      <c r="M387" s="186"/>
      <c r="N387" s="186"/>
      <c r="O387" s="186"/>
      <c r="P387" s="197"/>
      <c r="Q387" s="187"/>
      <c r="R387" s="187"/>
      <c r="S387" s="188"/>
    </row>
    <row r="388" spans="1:19" ht="14.25" customHeight="1">
      <c r="A388" s="170"/>
      <c r="B388" s="186" t="s">
        <v>209</v>
      </c>
      <c r="C388" s="186"/>
      <c r="D388" s="197"/>
      <c r="E388" s="186"/>
      <c r="F388" s="197"/>
      <c r="G388" s="198" t="str">
        <f>+'PRODUKSI 2'!D28</f>
        <v>TK</v>
      </c>
      <c r="H388" s="187">
        <f>+'PRODUKSI 2'!AI28</f>
        <v>0</v>
      </c>
      <c r="I388" s="188"/>
      <c r="J388" s="209"/>
      <c r="K388" s="170"/>
      <c r="L388" s="186" t="s">
        <v>209</v>
      </c>
      <c r="M388" s="186"/>
      <c r="N388" s="198"/>
      <c r="O388" s="186"/>
      <c r="P388" s="197"/>
      <c r="Q388" s="198" t="str">
        <f>+'PRODUKSI 2'!D29</f>
        <v>TK</v>
      </c>
      <c r="R388" s="187">
        <f>+'PRODUKSI 2'!AI29</f>
        <v>0</v>
      </c>
      <c r="S388" s="188"/>
    </row>
    <row r="389" spans="1:19" ht="14.25" customHeight="1">
      <c r="A389" s="170"/>
      <c r="B389" s="186" t="s">
        <v>225</v>
      </c>
      <c r="C389" s="186"/>
      <c r="D389" s="197"/>
      <c r="E389" s="186"/>
      <c r="F389" s="197"/>
      <c r="G389" s="198"/>
      <c r="H389" s="187">
        <f>+'PRODUKSI 2'!AF28+'PRODUKSI 2'!AG28</f>
        <v>48772.11</v>
      </c>
      <c r="I389" s="188"/>
      <c r="J389" s="209"/>
      <c r="K389" s="170"/>
      <c r="L389" s="186" t="s">
        <v>225</v>
      </c>
      <c r="M389" s="186"/>
      <c r="N389" s="198"/>
      <c r="O389" s="186"/>
      <c r="P389" s="197"/>
      <c r="Q389" s="198"/>
      <c r="R389" s="187">
        <f>+'PRODUKSI 2'!AF29+'PRODUKSI 2'!AG29</f>
        <v>48772.11</v>
      </c>
      <c r="S389" s="188"/>
    </row>
    <row r="390" spans="1:19" ht="14.25" customHeight="1">
      <c r="A390" s="170"/>
      <c r="B390" s="186" t="s">
        <v>226</v>
      </c>
      <c r="C390" s="186"/>
      <c r="D390" s="197"/>
      <c r="E390" s="186"/>
      <c r="F390" s="197"/>
      <c r="G390" s="198"/>
      <c r="H390" s="187">
        <f>+'PRODUKSI 2'!AD28+'PRODUKSI 2'!AE28</f>
        <v>146316.33000000002</v>
      </c>
      <c r="I390" s="188"/>
      <c r="J390" s="209"/>
      <c r="K390" s="170"/>
      <c r="L390" s="186" t="s">
        <v>226</v>
      </c>
      <c r="M390" s="186"/>
      <c r="N390" s="198"/>
      <c r="O390" s="186"/>
      <c r="P390" s="197"/>
      <c r="Q390" s="198"/>
      <c r="R390" s="187">
        <f>+'PRODUKSI 2'!AD29+'PRODUKSI 2'!AE29</f>
        <v>146316.33000000002</v>
      </c>
      <c r="S390" s="188"/>
    </row>
    <row r="391" spans="1:19" ht="14.25" customHeight="1">
      <c r="A391" s="170"/>
      <c r="B391" s="186" t="s">
        <v>103</v>
      </c>
      <c r="C391" s="186"/>
      <c r="D391" s="186"/>
      <c r="E391" s="186"/>
      <c r="F391" s="197"/>
      <c r="G391" s="198"/>
      <c r="H391" s="187">
        <f>+H381</f>
        <v>448215.69090000005</v>
      </c>
      <c r="I391" s="188"/>
      <c r="J391" s="209"/>
      <c r="K391" s="170"/>
      <c r="L391" s="186" t="s">
        <v>103</v>
      </c>
      <c r="M391" s="186"/>
      <c r="N391" s="186"/>
      <c r="O391" s="186"/>
      <c r="P391" s="197"/>
      <c r="Q391" s="187"/>
      <c r="R391" s="187">
        <f>+R381</f>
        <v>448215.69090000005</v>
      </c>
      <c r="S391" s="188"/>
    </row>
    <row r="392" spans="1:19" ht="14.25" customHeight="1" thickBot="1">
      <c r="A392" s="170"/>
      <c r="B392" s="190" t="s">
        <v>211</v>
      </c>
      <c r="C392" s="190"/>
      <c r="D392" s="190"/>
      <c r="E392" s="190"/>
      <c r="F392" s="228"/>
      <c r="G392" s="192"/>
      <c r="H392" s="192">
        <f>SUM(H388:H391)</f>
        <v>643304.13089999999</v>
      </c>
      <c r="I392" s="188"/>
      <c r="J392" s="209"/>
      <c r="K392" s="170"/>
      <c r="L392" s="190" t="s">
        <v>211</v>
      </c>
      <c r="M392" s="190"/>
      <c r="N392" s="190"/>
      <c r="O392" s="190"/>
      <c r="P392" s="228"/>
      <c r="Q392" s="192"/>
      <c r="R392" s="192">
        <f>SUM(R388:R391)</f>
        <v>643304.13089999999</v>
      </c>
      <c r="S392" s="188"/>
    </row>
    <row r="393" spans="1:19" ht="15.75" thickBot="1">
      <c r="A393" s="170"/>
      <c r="B393" s="193" t="s">
        <v>220</v>
      </c>
      <c r="C393" s="193"/>
      <c r="D393" s="193"/>
      <c r="E393" s="193"/>
      <c r="F393" s="229"/>
      <c r="G393" s="195"/>
      <c r="H393" s="195">
        <f>H386-H392</f>
        <v>4291766.5599999996</v>
      </c>
      <c r="I393" s="188"/>
      <c r="J393" s="209"/>
      <c r="K393" s="170"/>
      <c r="L393" s="193" t="s">
        <v>220</v>
      </c>
      <c r="M393" s="193"/>
      <c r="N393" s="193"/>
      <c r="O393" s="193"/>
      <c r="P393" s="229"/>
      <c r="Q393" s="195"/>
      <c r="R393" s="195">
        <f>SUM(R386-R392)</f>
        <v>4291766.5599999996</v>
      </c>
      <c r="S393" s="188"/>
    </row>
    <row r="394" spans="1:19">
      <c r="A394" s="170"/>
      <c r="B394" s="186" t="s">
        <v>230</v>
      </c>
      <c r="C394" s="186"/>
      <c r="D394" s="186"/>
      <c r="E394" s="186"/>
      <c r="F394" s="197"/>
      <c r="G394" s="187"/>
      <c r="H394" s="187">
        <v>10000</v>
      </c>
      <c r="I394" s="188"/>
      <c r="J394" s="209"/>
      <c r="K394" s="170"/>
      <c r="L394" s="186" t="s">
        <v>221</v>
      </c>
      <c r="M394" s="186"/>
      <c r="N394" s="186"/>
      <c r="O394" s="186"/>
      <c r="P394" s="197"/>
      <c r="Q394" s="187"/>
      <c r="R394" s="187">
        <v>10000</v>
      </c>
      <c r="S394" s="188"/>
    </row>
    <row r="395" spans="1:19" ht="10.5" customHeight="1" thickBot="1">
      <c r="A395" s="170"/>
      <c r="B395" s="199"/>
      <c r="C395" s="190"/>
      <c r="D395" s="190"/>
      <c r="E395" s="190"/>
      <c r="F395" s="228"/>
      <c r="G395" s="192"/>
      <c r="H395" s="192"/>
      <c r="I395" s="188"/>
      <c r="J395" s="187"/>
      <c r="K395" s="170"/>
      <c r="L395" s="199"/>
      <c r="M395" s="190"/>
      <c r="N395" s="190"/>
      <c r="O395" s="190"/>
      <c r="P395" s="228"/>
      <c r="Q395" s="192"/>
      <c r="R395" s="192"/>
      <c r="S395" s="188"/>
    </row>
    <row r="396" spans="1:19" ht="15.75" thickBot="1">
      <c r="A396" s="170"/>
      <c r="B396" s="200" t="s">
        <v>212</v>
      </c>
      <c r="C396" s="200"/>
      <c r="D396" s="200"/>
      <c r="E396" s="200"/>
      <c r="F396" s="230"/>
      <c r="G396" s="201"/>
      <c r="H396" s="201">
        <f>SUM(H393-H394)</f>
        <v>4281766.5599999996</v>
      </c>
      <c r="I396" s="188"/>
      <c r="J396" s="187"/>
      <c r="K396" s="170"/>
      <c r="L396" s="200" t="s">
        <v>212</v>
      </c>
      <c r="M396" s="200"/>
      <c r="N396" s="200"/>
      <c r="O396" s="200"/>
      <c r="P396" s="230"/>
      <c r="Q396" s="201"/>
      <c r="R396" s="201">
        <f>SUM(R393-R394)</f>
        <v>4281766.5599999996</v>
      </c>
      <c r="S396" s="188"/>
    </row>
    <row r="397" spans="1:19" ht="15.75" thickTop="1">
      <c r="A397" s="170"/>
      <c r="B397" s="202" t="s">
        <v>213</v>
      </c>
      <c r="C397" s="186"/>
      <c r="D397" s="186"/>
      <c r="E397" s="186"/>
      <c r="F397" s="197"/>
      <c r="G397" s="296" t="s">
        <v>214</v>
      </c>
      <c r="H397" s="296"/>
      <c r="I397" s="188"/>
      <c r="J397" s="187"/>
      <c r="K397" s="170"/>
      <c r="L397" s="202" t="s">
        <v>213</v>
      </c>
      <c r="M397" s="186"/>
      <c r="N397" s="186"/>
      <c r="O397" s="186"/>
      <c r="P397" s="197"/>
      <c r="Q397" s="296" t="s">
        <v>214</v>
      </c>
      <c r="R397" s="296"/>
      <c r="S397" s="188"/>
    </row>
    <row r="398" spans="1:19" ht="12.75" customHeight="1">
      <c r="A398" s="170"/>
      <c r="B398" s="186"/>
      <c r="C398" s="186"/>
      <c r="D398" s="186"/>
      <c r="E398" s="186"/>
      <c r="F398" s="197"/>
      <c r="G398" s="187"/>
      <c r="H398" s="187"/>
      <c r="I398" s="188"/>
      <c r="J398" s="187"/>
      <c r="K398" s="170"/>
      <c r="L398" s="186"/>
      <c r="M398" s="186"/>
      <c r="N398" s="186"/>
      <c r="O398" s="186"/>
      <c r="P398" s="197"/>
      <c r="Q398" s="187"/>
      <c r="R398" s="187"/>
      <c r="S398" s="188"/>
    </row>
    <row r="399" spans="1:19" ht="12.75" customHeight="1">
      <c r="A399" s="170"/>
      <c r="B399" s="186"/>
      <c r="C399" s="186"/>
      <c r="D399" s="186"/>
      <c r="E399" s="186"/>
      <c r="F399" s="197"/>
      <c r="G399" s="187"/>
      <c r="H399" s="187"/>
      <c r="I399" s="188"/>
      <c r="J399" s="187"/>
      <c r="K399" s="170"/>
      <c r="L399" s="186"/>
      <c r="M399" s="186"/>
      <c r="N399" s="186"/>
      <c r="O399" s="186"/>
      <c r="P399" s="197"/>
      <c r="Q399" s="187"/>
      <c r="R399" s="187"/>
      <c r="S399" s="188"/>
    </row>
    <row r="400" spans="1:19" ht="12.75" customHeight="1">
      <c r="A400" s="170"/>
      <c r="B400" s="203" t="s">
        <v>215</v>
      </c>
      <c r="C400" s="186"/>
      <c r="D400" s="186"/>
      <c r="E400" s="186"/>
      <c r="F400" s="197"/>
      <c r="G400" s="297" t="s">
        <v>216</v>
      </c>
      <c r="H400" s="297"/>
      <c r="I400" s="188"/>
      <c r="J400" s="187"/>
      <c r="K400" s="170"/>
      <c r="L400" s="203" t="s">
        <v>215</v>
      </c>
      <c r="M400" s="186"/>
      <c r="N400" s="186"/>
      <c r="O400" s="186"/>
      <c r="P400" s="197"/>
      <c r="Q400" s="297" t="s">
        <v>216</v>
      </c>
      <c r="R400" s="297"/>
      <c r="S400" s="188"/>
    </row>
    <row r="401" spans="1:19" ht="7.5" customHeight="1">
      <c r="A401" s="204"/>
      <c r="B401" s="205"/>
      <c r="C401" s="206"/>
      <c r="D401" s="206"/>
      <c r="E401" s="206"/>
      <c r="F401" s="231"/>
      <c r="G401" s="207"/>
      <c r="H401" s="205"/>
      <c r="I401" s="208"/>
      <c r="J401" s="187"/>
      <c r="K401" s="204"/>
      <c r="L401" s="205"/>
      <c r="M401" s="206"/>
      <c r="N401" s="206"/>
      <c r="O401" s="206"/>
      <c r="P401" s="231"/>
      <c r="Q401" s="207"/>
      <c r="R401" s="205"/>
      <c r="S401" s="208"/>
    </row>
    <row r="403" spans="1:19">
      <c r="A403" s="166"/>
      <c r="B403" s="167"/>
      <c r="C403" s="167"/>
      <c r="D403" s="167"/>
      <c r="E403" s="167"/>
      <c r="F403" s="223"/>
      <c r="G403" s="167"/>
      <c r="H403" s="167"/>
      <c r="I403" s="168"/>
      <c r="J403" s="169"/>
      <c r="K403" s="166"/>
      <c r="L403" s="167"/>
      <c r="M403" s="167"/>
      <c r="N403" s="167"/>
      <c r="O403" s="167"/>
      <c r="P403" s="223"/>
      <c r="Q403" s="167"/>
      <c r="R403" s="167"/>
      <c r="S403" s="168"/>
    </row>
    <row r="404" spans="1:19">
      <c r="A404" s="170"/>
      <c r="B404" s="169"/>
      <c r="C404" s="169"/>
      <c r="D404" s="169"/>
      <c r="E404" s="169"/>
      <c r="F404" s="224"/>
      <c r="G404" s="169"/>
      <c r="H404" s="169"/>
      <c r="I404" s="171"/>
      <c r="J404" s="169"/>
      <c r="K404" s="170"/>
      <c r="L404" s="169"/>
      <c r="M404" s="169"/>
      <c r="N404" s="169"/>
      <c r="O404" s="169"/>
      <c r="P404" s="224"/>
      <c r="Q404" s="169"/>
      <c r="R404" s="169"/>
      <c r="S404" s="171"/>
    </row>
    <row r="405" spans="1:19">
      <c r="A405" s="170"/>
      <c r="B405" s="169"/>
      <c r="C405" s="169"/>
      <c r="D405" s="169"/>
      <c r="E405" s="169"/>
      <c r="F405" s="224"/>
      <c r="G405" s="169"/>
      <c r="H405" s="169"/>
      <c r="I405" s="171"/>
      <c r="J405" s="169"/>
      <c r="K405" s="170"/>
      <c r="L405" s="169"/>
      <c r="M405" s="169"/>
      <c r="N405" s="169"/>
      <c r="O405" s="169"/>
      <c r="P405" s="224"/>
      <c r="Q405" s="169"/>
      <c r="R405" s="169"/>
      <c r="S405" s="171"/>
    </row>
    <row r="406" spans="1:19">
      <c r="A406" s="170"/>
      <c r="B406" s="294" t="s">
        <v>196</v>
      </c>
      <c r="C406" s="294"/>
      <c r="D406" s="294"/>
      <c r="E406" s="294"/>
      <c r="F406" s="294"/>
      <c r="G406" s="294"/>
      <c r="H406" s="294"/>
      <c r="I406" s="295"/>
      <c r="J406" s="169"/>
      <c r="K406" s="170"/>
      <c r="L406" s="294" t="s">
        <v>196</v>
      </c>
      <c r="M406" s="294"/>
      <c r="N406" s="294"/>
      <c r="O406" s="294"/>
      <c r="P406" s="294"/>
      <c r="Q406" s="294"/>
      <c r="R406" s="294"/>
      <c r="S406" s="295"/>
    </row>
    <row r="407" spans="1:19">
      <c r="A407" s="172"/>
      <c r="B407" s="173" t="s">
        <v>197</v>
      </c>
      <c r="C407" s="174" t="s">
        <v>198</v>
      </c>
      <c r="D407" s="211">
        <v>23</v>
      </c>
      <c r="E407" s="173"/>
      <c r="F407" s="225"/>
      <c r="G407" s="173"/>
      <c r="H407" s="173"/>
      <c r="I407" s="176"/>
      <c r="J407" s="173"/>
      <c r="K407" s="172"/>
      <c r="L407" s="173" t="s">
        <v>197</v>
      </c>
      <c r="M407" s="174" t="s">
        <v>198</v>
      </c>
      <c r="N407" s="211">
        <v>24</v>
      </c>
      <c r="O407" s="175"/>
      <c r="P407" s="225"/>
      <c r="Q407" s="173"/>
      <c r="R407" s="173"/>
      <c r="S407" s="176"/>
    </row>
    <row r="408" spans="1:19">
      <c r="A408" s="172"/>
      <c r="B408" s="173" t="s">
        <v>199</v>
      </c>
      <c r="C408" s="174" t="s">
        <v>198</v>
      </c>
      <c r="D408" s="177" t="s">
        <v>229</v>
      </c>
      <c r="E408" s="173"/>
      <c r="F408" s="225"/>
      <c r="G408" s="173"/>
      <c r="H408" s="173"/>
      <c r="I408" s="176"/>
      <c r="J408" s="173"/>
      <c r="K408" s="172"/>
      <c r="L408" s="173" t="s">
        <v>199</v>
      </c>
      <c r="M408" s="174" t="s">
        <v>198</v>
      </c>
      <c r="N408" s="177" t="s">
        <v>229</v>
      </c>
      <c r="O408" s="179"/>
      <c r="P408" s="225"/>
      <c r="Q408" s="173"/>
      <c r="R408" s="173"/>
      <c r="S408" s="176"/>
    </row>
    <row r="409" spans="1:19">
      <c r="A409" s="172"/>
      <c r="B409" s="173" t="s">
        <v>200</v>
      </c>
      <c r="C409" s="174" t="s">
        <v>198</v>
      </c>
      <c r="D409" s="177" t="str">
        <f>+'PRODUKSI 2'!B30</f>
        <v>RISKI MAULANA</v>
      </c>
      <c r="E409" s="173"/>
      <c r="F409" s="225"/>
      <c r="G409" s="173"/>
      <c r="H409" s="173"/>
      <c r="I409" s="176"/>
      <c r="J409" s="173"/>
      <c r="K409" s="172"/>
      <c r="L409" s="173" t="s">
        <v>200</v>
      </c>
      <c r="M409" s="174" t="s">
        <v>198</v>
      </c>
      <c r="N409" s="178" t="str">
        <f>+'PRODUKSI 2'!B31</f>
        <v>KHOLIS RIFQI ALFATHIN</v>
      </c>
      <c r="O409" s="173"/>
      <c r="P409" s="225"/>
      <c r="Q409" s="173"/>
      <c r="R409" s="173"/>
      <c r="S409" s="176"/>
    </row>
    <row r="410" spans="1:19" ht="15.75" thickBot="1">
      <c r="A410" s="172"/>
      <c r="B410" s="173" t="s">
        <v>201</v>
      </c>
      <c r="C410" s="174" t="s">
        <v>198</v>
      </c>
      <c r="D410" s="177" t="str">
        <f>+'PRODUKSI 2'!C30</f>
        <v xml:space="preserve">SLOTER </v>
      </c>
      <c r="E410" s="173"/>
      <c r="F410" s="225"/>
      <c r="G410" s="173"/>
      <c r="H410" s="173"/>
      <c r="I410" s="176"/>
      <c r="J410" s="173"/>
      <c r="K410" s="172"/>
      <c r="L410" s="173" t="s">
        <v>201</v>
      </c>
      <c r="M410" s="174" t="s">
        <v>198</v>
      </c>
      <c r="N410" s="178" t="str">
        <f>+'PRODUKSI 2'!C31</f>
        <v>PRINTER</v>
      </c>
      <c r="O410" s="179"/>
      <c r="P410" s="225"/>
      <c r="Q410" s="173"/>
      <c r="R410" s="173"/>
      <c r="S410" s="176"/>
    </row>
    <row r="411" spans="1:19" ht="10.5" customHeight="1" thickTop="1">
      <c r="A411" s="170"/>
      <c r="B411" s="182"/>
      <c r="C411" s="182"/>
      <c r="D411" s="182"/>
      <c r="E411" s="182"/>
      <c r="F411" s="182"/>
      <c r="G411" s="182"/>
      <c r="H411" s="182"/>
      <c r="I411" s="183"/>
      <c r="J411" s="169"/>
      <c r="K411" s="170"/>
      <c r="L411" s="182"/>
      <c r="M411" s="182"/>
      <c r="N411" s="182"/>
      <c r="O411" s="182"/>
      <c r="P411" s="182"/>
      <c r="Q411" s="182"/>
      <c r="R411" s="182"/>
      <c r="S411" s="183"/>
    </row>
    <row r="412" spans="1:19">
      <c r="A412" s="170"/>
      <c r="B412" s="184" t="s">
        <v>202</v>
      </c>
      <c r="C412" s="185"/>
      <c r="D412" s="185"/>
      <c r="E412" s="185"/>
      <c r="F412" s="227"/>
      <c r="G412" s="185"/>
      <c r="H412" s="185"/>
      <c r="I412" s="183"/>
      <c r="J412" s="169"/>
      <c r="K412" s="170"/>
      <c r="L412" s="184" t="s">
        <v>202</v>
      </c>
      <c r="M412" s="184"/>
      <c r="N412" s="185"/>
      <c r="O412" s="185"/>
      <c r="P412" s="227"/>
      <c r="Q412" s="185"/>
      <c r="R412" s="185"/>
      <c r="S412" s="183"/>
    </row>
    <row r="413" spans="1:19" ht="14.25" customHeight="1">
      <c r="A413" s="170"/>
      <c r="B413" s="186" t="s">
        <v>111</v>
      </c>
      <c r="C413" s="186"/>
      <c r="D413" s="186"/>
      <c r="E413" s="186"/>
      <c r="F413" s="197"/>
      <c r="G413" s="187"/>
      <c r="H413" s="187">
        <f>+'PRODUKSI 2'!H30</f>
        <v>4394855</v>
      </c>
      <c r="I413" s="188"/>
      <c r="J413" s="187"/>
      <c r="K413" s="170"/>
      <c r="L413" s="186" t="s">
        <v>111</v>
      </c>
      <c r="M413" s="186"/>
      <c r="N413" s="186"/>
      <c r="O413" s="186"/>
      <c r="P413" s="197"/>
      <c r="Q413" s="187"/>
      <c r="R413" s="187">
        <f>+'PRODUKSI 2'!H31</f>
        <v>4394855</v>
      </c>
      <c r="S413" s="188"/>
    </row>
    <row r="414" spans="1:19" ht="14.25" customHeight="1">
      <c r="A414" s="170"/>
      <c r="B414" s="186" t="s">
        <v>203</v>
      </c>
      <c r="C414" s="186"/>
      <c r="D414" s="186"/>
      <c r="E414" s="186"/>
      <c r="F414" s="197"/>
      <c r="G414" s="187"/>
      <c r="H414" s="187">
        <f>+'PRODUKSI 2'!I30</f>
        <v>0</v>
      </c>
      <c r="I414" s="188"/>
      <c r="J414" s="209"/>
      <c r="K414" s="170"/>
      <c r="L414" s="186" t="s">
        <v>203</v>
      </c>
      <c r="M414" s="186"/>
      <c r="N414" s="186"/>
      <c r="O414" s="186"/>
      <c r="P414" s="197"/>
      <c r="Q414" s="187"/>
      <c r="R414" s="187">
        <f>+'PRODUKSI 2'!I31</f>
        <v>0</v>
      </c>
      <c r="S414" s="188"/>
    </row>
    <row r="415" spans="1:19" ht="14.25" customHeight="1">
      <c r="A415" s="170"/>
      <c r="B415" s="186" t="s">
        <v>227</v>
      </c>
      <c r="C415" s="186"/>
      <c r="D415" s="186"/>
      <c r="E415" s="186"/>
      <c r="F415" s="197"/>
      <c r="G415" s="187"/>
      <c r="H415" s="187">
        <f>+'PRODUKSI 2'!J30</f>
        <v>0</v>
      </c>
      <c r="I415" s="188"/>
      <c r="J415" s="209"/>
      <c r="K415" s="170"/>
      <c r="L415" s="186" t="s">
        <v>227</v>
      </c>
      <c r="M415" s="186"/>
      <c r="N415" s="186"/>
      <c r="O415" s="186"/>
      <c r="P415" s="197"/>
      <c r="Q415" s="187"/>
      <c r="R415" s="187">
        <f>+'PRODUKSI 2'!J31</f>
        <v>0</v>
      </c>
      <c r="S415" s="188"/>
    </row>
    <row r="416" spans="1:19" ht="14.25" customHeight="1">
      <c r="A416" s="170"/>
      <c r="B416" s="186" t="s">
        <v>228</v>
      </c>
      <c r="C416" s="186"/>
      <c r="D416" s="186"/>
      <c r="E416" s="186"/>
      <c r="F416" s="197"/>
      <c r="G416" s="187"/>
      <c r="H416" s="187">
        <f>+'PRODUKSI 2'!K30</f>
        <v>0</v>
      </c>
      <c r="I416" s="188"/>
      <c r="J416" s="209"/>
      <c r="K416" s="170"/>
      <c r="L416" s="186" t="s">
        <v>228</v>
      </c>
      <c r="M416" s="186"/>
      <c r="N416" s="186"/>
      <c r="O416" s="186"/>
      <c r="P416" s="197"/>
      <c r="Q416" s="187"/>
      <c r="R416" s="187">
        <f>+'PRODUKSI 2'!K31</f>
        <v>0</v>
      </c>
      <c r="S416" s="188"/>
    </row>
    <row r="417" spans="1:20" ht="14.25" customHeight="1">
      <c r="A417" s="170"/>
      <c r="B417" s="186" t="s">
        <v>224</v>
      </c>
      <c r="C417" s="186"/>
      <c r="D417" s="186"/>
      <c r="E417" s="186"/>
      <c r="F417" s="197"/>
      <c r="G417" s="187"/>
      <c r="H417" s="187">
        <f>+'PRODUKSI 2'!AB30</f>
        <v>448215.69090000005</v>
      </c>
      <c r="I417" s="188"/>
      <c r="J417" s="209"/>
      <c r="K417" s="170"/>
      <c r="L417" s="186" t="s">
        <v>224</v>
      </c>
      <c r="M417" s="186"/>
      <c r="N417" s="186"/>
      <c r="O417" s="186"/>
      <c r="P417" s="197"/>
      <c r="Q417" s="187"/>
      <c r="R417" s="187">
        <f>+'PRODUKSI 2'!AB31</f>
        <v>448215.69090000005</v>
      </c>
      <c r="S417" s="188"/>
    </row>
    <row r="418" spans="1:20" ht="14.25" customHeight="1">
      <c r="A418" s="170"/>
      <c r="B418" s="186" t="s">
        <v>195</v>
      </c>
      <c r="C418" s="186"/>
      <c r="D418" s="187"/>
      <c r="E418" s="186"/>
      <c r="F418" s="197"/>
      <c r="G418" s="187"/>
      <c r="H418" s="187">
        <f>+'PRODUKSI 2'!U30</f>
        <v>88000</v>
      </c>
      <c r="I418" s="188"/>
      <c r="J418" s="187"/>
      <c r="K418" s="170"/>
      <c r="L418" s="186" t="s">
        <v>195</v>
      </c>
      <c r="M418" s="186"/>
      <c r="N418" s="187"/>
      <c r="O418" s="186"/>
      <c r="P418" s="197"/>
      <c r="Q418" s="187"/>
      <c r="R418" s="187">
        <f>+'PRODUKSI 2'!U31</f>
        <v>96000</v>
      </c>
      <c r="S418" s="188"/>
    </row>
    <row r="419" spans="1:20" ht="14.25" customHeight="1">
      <c r="A419" s="170"/>
      <c r="B419" s="220" t="s">
        <v>233</v>
      </c>
      <c r="C419" s="186"/>
      <c r="D419" s="187"/>
      <c r="E419" s="186"/>
      <c r="F419" s="197"/>
      <c r="G419" s="187"/>
      <c r="H419" s="187"/>
      <c r="I419" s="188"/>
      <c r="J419" s="209"/>
      <c r="K419" s="170"/>
      <c r="L419" s="220" t="s">
        <v>233</v>
      </c>
      <c r="M419" s="186"/>
      <c r="N419" s="187"/>
      <c r="O419" s="186"/>
      <c r="P419" s="197"/>
      <c r="Q419" s="187"/>
      <c r="R419" s="187"/>
      <c r="S419" s="188"/>
      <c r="T419" s="218"/>
    </row>
    <row r="420" spans="1:20" ht="14.25" customHeight="1">
      <c r="A420" s="170"/>
      <c r="B420" s="186" t="s">
        <v>206</v>
      </c>
      <c r="C420" s="186"/>
      <c r="D420" s="212">
        <v>0</v>
      </c>
      <c r="E420" s="186" t="s">
        <v>207</v>
      </c>
      <c r="F420" s="197" t="s">
        <v>205</v>
      </c>
      <c r="G420" s="187">
        <v>20592</v>
      </c>
      <c r="H420" s="187">
        <f>G420*D420</f>
        <v>0</v>
      </c>
      <c r="I420" s="188"/>
      <c r="J420" s="187"/>
      <c r="K420" s="170"/>
      <c r="L420" s="186" t="s">
        <v>206</v>
      </c>
      <c r="M420" s="186"/>
      <c r="N420" s="212">
        <v>0</v>
      </c>
      <c r="O420" s="186" t="s">
        <v>207</v>
      </c>
      <c r="P420" s="197" t="s">
        <v>205</v>
      </c>
      <c r="Q420" s="187">
        <v>20592</v>
      </c>
      <c r="R420" s="187">
        <f>Q420*N420</f>
        <v>0</v>
      </c>
      <c r="S420" s="188"/>
    </row>
    <row r="421" spans="1:20" ht="14.25" customHeight="1" thickBot="1">
      <c r="A421" s="170"/>
      <c r="B421" s="190" t="s">
        <v>208</v>
      </c>
      <c r="C421" s="190"/>
      <c r="D421" s="213">
        <v>0</v>
      </c>
      <c r="E421" s="190" t="s">
        <v>207</v>
      </c>
      <c r="F421" s="228" t="s">
        <v>205</v>
      </c>
      <c r="G421" s="192">
        <f>G420</f>
        <v>20592</v>
      </c>
      <c r="H421" s="192">
        <f>G421*D421</f>
        <v>0</v>
      </c>
      <c r="I421" s="188"/>
      <c r="J421" s="187"/>
      <c r="K421" s="170"/>
      <c r="L421" s="190" t="s">
        <v>208</v>
      </c>
      <c r="M421" s="190"/>
      <c r="N421" s="213">
        <v>0</v>
      </c>
      <c r="O421" s="190" t="s">
        <v>207</v>
      </c>
      <c r="P421" s="228" t="s">
        <v>205</v>
      </c>
      <c r="Q421" s="192">
        <f>Q420</f>
        <v>20592</v>
      </c>
      <c r="R421" s="192">
        <f>Q421*N421</f>
        <v>0</v>
      </c>
      <c r="S421" s="188"/>
    </row>
    <row r="422" spans="1:20" ht="15.75" thickBot="1">
      <c r="A422" s="170"/>
      <c r="B422" s="190" t="s">
        <v>219</v>
      </c>
      <c r="C422" s="190"/>
      <c r="D422" s="213">
        <f>SUM(D419:D421)</f>
        <v>0</v>
      </c>
      <c r="E422" s="190"/>
      <c r="F422" s="228"/>
      <c r="G422" s="192"/>
      <c r="H422" s="192">
        <f>SUM(H413:H421)</f>
        <v>4931070.6908999998</v>
      </c>
      <c r="I422" s="188"/>
      <c r="J422" s="187"/>
      <c r="K422" s="170"/>
      <c r="L422" s="190" t="s">
        <v>219</v>
      </c>
      <c r="M422" s="190"/>
      <c r="N422" s="213">
        <f>SUM(N419:N421)</f>
        <v>0</v>
      </c>
      <c r="O422" s="190"/>
      <c r="P422" s="228"/>
      <c r="Q422" s="192"/>
      <c r="R422" s="192">
        <f>SUM(R413:R421)</f>
        <v>4939070.6908999998</v>
      </c>
      <c r="S422" s="188"/>
    </row>
    <row r="423" spans="1:20">
      <c r="A423" s="170"/>
      <c r="B423" s="196" t="s">
        <v>113</v>
      </c>
      <c r="C423" s="186"/>
      <c r="D423" s="186"/>
      <c r="E423" s="186"/>
      <c r="F423" s="197"/>
      <c r="G423" s="187"/>
      <c r="H423" s="187"/>
      <c r="I423" s="188"/>
      <c r="J423" s="209"/>
      <c r="K423" s="170"/>
      <c r="L423" s="196" t="s">
        <v>113</v>
      </c>
      <c r="M423" s="186"/>
      <c r="N423" s="186"/>
      <c r="O423" s="186"/>
      <c r="P423" s="197"/>
      <c r="Q423" s="187"/>
      <c r="R423" s="187"/>
      <c r="S423" s="188"/>
    </row>
    <row r="424" spans="1:20" ht="14.25" customHeight="1">
      <c r="A424" s="170"/>
      <c r="B424" s="186" t="s">
        <v>209</v>
      </c>
      <c r="C424" s="186"/>
      <c r="D424" s="197"/>
      <c r="E424" s="186"/>
      <c r="F424" s="197"/>
      <c r="G424" s="198" t="str">
        <f>+'PRODUKSI 2'!D30</f>
        <v>TK</v>
      </c>
      <c r="H424" s="187">
        <f>+'PRODUKSI 2'!AI30</f>
        <v>0</v>
      </c>
      <c r="I424" s="188"/>
      <c r="J424" s="209"/>
      <c r="K424" s="170"/>
      <c r="L424" s="186" t="s">
        <v>209</v>
      </c>
      <c r="M424" s="186"/>
      <c r="N424" s="198"/>
      <c r="O424" s="186"/>
      <c r="P424" s="197"/>
      <c r="Q424" s="198" t="str">
        <f>+'PRODUKSI 2'!D31</f>
        <v>TK</v>
      </c>
      <c r="R424" s="187">
        <f>+'PRODUKSI 2'!AI31</f>
        <v>0</v>
      </c>
      <c r="S424" s="188"/>
    </row>
    <row r="425" spans="1:20" ht="14.25" customHeight="1">
      <c r="A425" s="170"/>
      <c r="B425" s="186" t="s">
        <v>225</v>
      </c>
      <c r="C425" s="186"/>
      <c r="D425" s="197"/>
      <c r="E425" s="186"/>
      <c r="F425" s="197"/>
      <c r="G425" s="198"/>
      <c r="H425" s="187">
        <f>+'PRODUKSI 2'!AF30+'PRODUKSI 2'!AG30</f>
        <v>48772.11</v>
      </c>
      <c r="I425" s="188"/>
      <c r="J425" s="209"/>
      <c r="K425" s="170"/>
      <c r="L425" s="186" t="s">
        <v>225</v>
      </c>
      <c r="M425" s="186"/>
      <c r="N425" s="198"/>
      <c r="O425" s="186"/>
      <c r="P425" s="197"/>
      <c r="Q425" s="198"/>
      <c r="R425" s="187">
        <f>+'PRODUKSI 2'!AF31+'PRODUKSI 2'!AG31</f>
        <v>48772.11</v>
      </c>
      <c r="S425" s="188"/>
    </row>
    <row r="426" spans="1:20" ht="14.25" customHeight="1">
      <c r="A426" s="170"/>
      <c r="B426" s="186" t="s">
        <v>226</v>
      </c>
      <c r="C426" s="186"/>
      <c r="D426" s="197"/>
      <c r="E426" s="186"/>
      <c r="F426" s="197"/>
      <c r="G426" s="198"/>
      <c r="H426" s="187">
        <f>+'PRODUKSI 2'!AD30+'PRODUKSI 2'!AE30</f>
        <v>146316.33000000002</v>
      </c>
      <c r="I426" s="188"/>
      <c r="J426" s="209"/>
      <c r="K426" s="170"/>
      <c r="L426" s="186" t="s">
        <v>226</v>
      </c>
      <c r="M426" s="186"/>
      <c r="N426" s="198"/>
      <c r="O426" s="186"/>
      <c r="P426" s="197"/>
      <c r="Q426" s="198"/>
      <c r="R426" s="187">
        <f>+'PRODUKSI 2'!AD31+'PRODUKSI 2'!AE31</f>
        <v>146316.33000000002</v>
      </c>
      <c r="S426" s="188"/>
    </row>
    <row r="427" spans="1:20" ht="14.25" customHeight="1">
      <c r="A427" s="170"/>
      <c r="B427" s="186" t="s">
        <v>103</v>
      </c>
      <c r="C427" s="186"/>
      <c r="D427" s="186"/>
      <c r="E427" s="186"/>
      <c r="F427" s="197"/>
      <c r="G427" s="198"/>
      <c r="H427" s="187">
        <f>+H417</f>
        <v>448215.69090000005</v>
      </c>
      <c r="I427" s="188"/>
      <c r="J427" s="209"/>
      <c r="K427" s="170"/>
      <c r="L427" s="186" t="s">
        <v>103</v>
      </c>
      <c r="M427" s="186"/>
      <c r="N427" s="186"/>
      <c r="O427" s="186"/>
      <c r="P427" s="197"/>
      <c r="Q427" s="187"/>
      <c r="R427" s="187">
        <f>+R417</f>
        <v>448215.69090000005</v>
      </c>
      <c r="S427" s="188"/>
    </row>
    <row r="428" spans="1:20" ht="14.25" customHeight="1" thickBot="1">
      <c r="A428" s="170"/>
      <c r="B428" s="190" t="s">
        <v>211</v>
      </c>
      <c r="C428" s="190"/>
      <c r="D428" s="190"/>
      <c r="E428" s="190"/>
      <c r="F428" s="228"/>
      <c r="G428" s="192"/>
      <c r="H428" s="192">
        <f>SUM(H424:H427)</f>
        <v>643304.13089999999</v>
      </c>
      <c r="I428" s="188"/>
      <c r="J428" s="209"/>
      <c r="K428" s="170"/>
      <c r="L428" s="190" t="s">
        <v>211</v>
      </c>
      <c r="M428" s="190"/>
      <c r="N428" s="190"/>
      <c r="O428" s="190"/>
      <c r="P428" s="228"/>
      <c r="Q428" s="192"/>
      <c r="R428" s="192">
        <f>SUM(R424:R427)</f>
        <v>643304.13089999999</v>
      </c>
      <c r="S428" s="188"/>
    </row>
    <row r="429" spans="1:20" ht="15.75" thickBot="1">
      <c r="A429" s="170"/>
      <c r="B429" s="193" t="s">
        <v>220</v>
      </c>
      <c r="C429" s="193"/>
      <c r="D429" s="193"/>
      <c r="E429" s="193"/>
      <c r="F429" s="229"/>
      <c r="G429" s="195"/>
      <c r="H429" s="195">
        <f>H422-H428</f>
        <v>4287766.5599999996</v>
      </c>
      <c r="I429" s="188"/>
      <c r="J429" s="209"/>
      <c r="K429" s="170"/>
      <c r="L429" s="193" t="s">
        <v>220</v>
      </c>
      <c r="M429" s="193"/>
      <c r="N429" s="193"/>
      <c r="O429" s="193"/>
      <c r="P429" s="229"/>
      <c r="Q429" s="195"/>
      <c r="R429" s="195">
        <f>SUM(R422-R428)</f>
        <v>4295766.5599999996</v>
      </c>
      <c r="S429" s="188"/>
    </row>
    <row r="430" spans="1:20">
      <c r="A430" s="170"/>
      <c r="B430" s="186" t="s">
        <v>231</v>
      </c>
      <c r="C430" s="186"/>
      <c r="D430" s="186"/>
      <c r="E430" s="186"/>
      <c r="F430" s="197"/>
      <c r="G430" s="187"/>
      <c r="H430" s="187">
        <v>10000</v>
      </c>
      <c r="I430" s="188"/>
      <c r="J430" s="209"/>
      <c r="K430" s="170"/>
      <c r="L430" s="186" t="s">
        <v>231</v>
      </c>
      <c r="M430" s="186"/>
      <c r="N430" s="186"/>
      <c r="O430" s="186"/>
      <c r="P430" s="197"/>
      <c r="Q430" s="187"/>
      <c r="R430" s="187">
        <v>10000</v>
      </c>
      <c r="S430" s="188"/>
    </row>
    <row r="431" spans="1:20" ht="10.5" customHeight="1" thickBot="1">
      <c r="A431" s="170"/>
      <c r="B431" s="199"/>
      <c r="C431" s="190"/>
      <c r="D431" s="190"/>
      <c r="E431" s="190"/>
      <c r="F431" s="228"/>
      <c r="G431" s="192"/>
      <c r="H431" s="192"/>
      <c r="I431" s="188"/>
      <c r="J431" s="187"/>
      <c r="K431" s="170"/>
      <c r="L431" s="199"/>
      <c r="M431" s="190"/>
      <c r="N431" s="190"/>
      <c r="O431" s="190"/>
      <c r="P431" s="228"/>
      <c r="Q431" s="192"/>
      <c r="R431" s="192"/>
      <c r="S431" s="188"/>
    </row>
    <row r="432" spans="1:20" ht="15.75" thickBot="1">
      <c r="A432" s="170"/>
      <c r="B432" s="200" t="s">
        <v>212</v>
      </c>
      <c r="C432" s="200"/>
      <c r="D432" s="200"/>
      <c r="E432" s="200"/>
      <c r="F432" s="230"/>
      <c r="G432" s="201"/>
      <c r="H432" s="201">
        <f>SUM(H429-H430)</f>
        <v>4277766.5599999996</v>
      </c>
      <c r="I432" s="188"/>
      <c r="J432" s="187"/>
      <c r="K432" s="170"/>
      <c r="L432" s="200" t="s">
        <v>212</v>
      </c>
      <c r="M432" s="200"/>
      <c r="N432" s="200"/>
      <c r="O432" s="200"/>
      <c r="P432" s="230"/>
      <c r="Q432" s="201"/>
      <c r="R432" s="201">
        <f>SUM(R429-R430)</f>
        <v>4285766.5599999996</v>
      </c>
      <c r="S432" s="188"/>
    </row>
    <row r="433" spans="1:19" ht="15.75" thickTop="1">
      <c r="A433" s="170"/>
      <c r="B433" s="202" t="s">
        <v>213</v>
      </c>
      <c r="C433" s="186"/>
      <c r="D433" s="186"/>
      <c r="E433" s="186"/>
      <c r="F433" s="197"/>
      <c r="G433" s="296" t="s">
        <v>214</v>
      </c>
      <c r="H433" s="296"/>
      <c r="I433" s="188"/>
      <c r="J433" s="187"/>
      <c r="K433" s="170"/>
      <c r="L433" s="202" t="s">
        <v>213</v>
      </c>
      <c r="M433" s="186"/>
      <c r="N433" s="186"/>
      <c r="O433" s="186"/>
      <c r="P433" s="197"/>
      <c r="Q433" s="296" t="s">
        <v>214</v>
      </c>
      <c r="R433" s="296"/>
      <c r="S433" s="188"/>
    </row>
    <row r="434" spans="1:19" ht="12.75" customHeight="1">
      <c r="A434" s="170"/>
      <c r="B434" s="186"/>
      <c r="C434" s="186"/>
      <c r="D434" s="186"/>
      <c r="E434" s="186"/>
      <c r="F434" s="197"/>
      <c r="G434" s="187"/>
      <c r="H434" s="187"/>
      <c r="I434" s="188"/>
      <c r="J434" s="187"/>
      <c r="K434" s="170"/>
      <c r="L434" s="186"/>
      <c r="M434" s="186"/>
      <c r="N434" s="186"/>
      <c r="O434" s="186"/>
      <c r="P434" s="197"/>
      <c r="Q434" s="187"/>
      <c r="R434" s="187"/>
      <c r="S434" s="188"/>
    </row>
    <row r="435" spans="1:19" ht="12.75" customHeight="1">
      <c r="A435" s="170"/>
      <c r="B435" s="186"/>
      <c r="C435" s="186"/>
      <c r="D435" s="186"/>
      <c r="E435" s="186"/>
      <c r="F435" s="197"/>
      <c r="G435" s="187"/>
      <c r="H435" s="187"/>
      <c r="I435" s="188"/>
      <c r="J435" s="187"/>
      <c r="K435" s="170"/>
      <c r="L435" s="186"/>
      <c r="M435" s="186"/>
      <c r="N435" s="186"/>
      <c r="O435" s="186"/>
      <c r="P435" s="197"/>
      <c r="Q435" s="187"/>
      <c r="R435" s="187"/>
      <c r="S435" s="188"/>
    </row>
    <row r="436" spans="1:19" ht="12.75" customHeight="1">
      <c r="A436" s="170"/>
      <c r="B436" s="203" t="s">
        <v>215</v>
      </c>
      <c r="C436" s="186"/>
      <c r="D436" s="186"/>
      <c r="E436" s="186"/>
      <c r="F436" s="197"/>
      <c r="G436" s="297" t="s">
        <v>216</v>
      </c>
      <c r="H436" s="297"/>
      <c r="I436" s="188"/>
      <c r="J436" s="187"/>
      <c r="K436" s="170"/>
      <c r="L436" s="203" t="s">
        <v>215</v>
      </c>
      <c r="M436" s="186"/>
      <c r="N436" s="186"/>
      <c r="O436" s="186"/>
      <c r="P436" s="197"/>
      <c r="Q436" s="297" t="s">
        <v>216</v>
      </c>
      <c r="R436" s="297"/>
      <c r="S436" s="188"/>
    </row>
    <row r="437" spans="1:19" ht="7.5" customHeight="1">
      <c r="A437" s="204"/>
      <c r="B437" s="205"/>
      <c r="C437" s="206"/>
      <c r="D437" s="206"/>
      <c r="E437" s="206"/>
      <c r="F437" s="231"/>
      <c r="G437" s="207"/>
      <c r="H437" s="205"/>
      <c r="I437" s="208"/>
      <c r="J437" s="187"/>
      <c r="K437" s="204"/>
      <c r="L437" s="205"/>
      <c r="M437" s="206"/>
      <c r="N437" s="206"/>
      <c r="O437" s="206"/>
      <c r="P437" s="231"/>
      <c r="Q437" s="207"/>
      <c r="R437" s="205"/>
      <c r="S437" s="208"/>
    </row>
    <row r="440" spans="1:19">
      <c r="A440" s="166"/>
      <c r="B440" s="167"/>
      <c r="C440" s="167"/>
      <c r="D440" s="167"/>
      <c r="E440" s="167"/>
      <c r="F440" s="223"/>
      <c r="G440" s="167"/>
      <c r="H440" s="167"/>
      <c r="I440" s="168"/>
      <c r="J440" s="169"/>
      <c r="K440" s="166"/>
      <c r="L440" s="167"/>
      <c r="M440" s="167"/>
      <c r="N440" s="167"/>
      <c r="O440" s="167"/>
      <c r="P440" s="223"/>
      <c r="Q440" s="167"/>
      <c r="R440" s="167"/>
      <c r="S440" s="168"/>
    </row>
    <row r="441" spans="1:19">
      <c r="A441" s="170"/>
      <c r="B441" s="169"/>
      <c r="C441" s="169"/>
      <c r="D441" s="169"/>
      <c r="E441" s="169"/>
      <c r="F441" s="224"/>
      <c r="G441" s="169"/>
      <c r="H441" s="169"/>
      <c r="I441" s="171"/>
      <c r="J441" s="169"/>
      <c r="K441" s="170"/>
      <c r="L441" s="169"/>
      <c r="M441" s="169"/>
      <c r="N441" s="169"/>
      <c r="O441" s="169"/>
      <c r="P441" s="224"/>
      <c r="Q441" s="169"/>
      <c r="R441" s="169"/>
      <c r="S441" s="171"/>
    </row>
    <row r="442" spans="1:19">
      <c r="A442" s="170"/>
      <c r="B442" s="169"/>
      <c r="C442" s="169"/>
      <c r="D442" s="169"/>
      <c r="E442" s="169"/>
      <c r="F442" s="224"/>
      <c r="G442" s="169"/>
      <c r="H442" s="169"/>
      <c r="I442" s="171"/>
      <c r="J442" s="169"/>
      <c r="K442" s="170"/>
      <c r="L442" s="169"/>
      <c r="M442" s="169"/>
      <c r="N442" s="169"/>
      <c r="O442" s="169"/>
      <c r="P442" s="224"/>
      <c r="Q442" s="169"/>
      <c r="R442" s="169"/>
      <c r="S442" s="171"/>
    </row>
    <row r="443" spans="1:19">
      <c r="A443" s="170"/>
      <c r="B443" s="294" t="s">
        <v>196</v>
      </c>
      <c r="C443" s="294"/>
      <c r="D443" s="294"/>
      <c r="E443" s="294"/>
      <c r="F443" s="294"/>
      <c r="G443" s="294"/>
      <c r="H443" s="294"/>
      <c r="I443" s="295"/>
      <c r="J443" s="169"/>
      <c r="K443" s="170"/>
      <c r="L443" s="294" t="s">
        <v>196</v>
      </c>
      <c r="M443" s="294"/>
      <c r="N443" s="294"/>
      <c r="O443" s="294"/>
      <c r="P443" s="294"/>
      <c r="Q443" s="294"/>
      <c r="R443" s="294"/>
      <c r="S443" s="295"/>
    </row>
    <row r="444" spans="1:19">
      <c r="A444" s="172"/>
      <c r="B444" s="173" t="s">
        <v>197</v>
      </c>
      <c r="C444" s="174" t="s">
        <v>198</v>
      </c>
      <c r="D444" s="211">
        <v>25</v>
      </c>
      <c r="E444" s="173"/>
      <c r="F444" s="225"/>
      <c r="G444" s="173"/>
      <c r="H444" s="173"/>
      <c r="I444" s="176"/>
      <c r="J444" s="173"/>
      <c r="K444" s="172"/>
      <c r="L444" s="173" t="s">
        <v>197</v>
      </c>
      <c r="M444" s="174" t="s">
        <v>198</v>
      </c>
      <c r="N444" s="211">
        <v>26</v>
      </c>
      <c r="O444" s="175"/>
      <c r="P444" s="225"/>
      <c r="Q444" s="173"/>
      <c r="R444" s="173"/>
      <c r="S444" s="176"/>
    </row>
    <row r="445" spans="1:19">
      <c r="A445" s="172"/>
      <c r="B445" s="173" t="s">
        <v>199</v>
      </c>
      <c r="C445" s="174" t="s">
        <v>198</v>
      </c>
      <c r="D445" s="177" t="s">
        <v>229</v>
      </c>
      <c r="E445" s="173"/>
      <c r="F445" s="225"/>
      <c r="G445" s="173"/>
      <c r="H445" s="173"/>
      <c r="I445" s="176"/>
      <c r="J445" s="173"/>
      <c r="K445" s="172"/>
      <c r="L445" s="173" t="s">
        <v>199</v>
      </c>
      <c r="M445" s="174" t="s">
        <v>198</v>
      </c>
      <c r="N445" s="177" t="s">
        <v>229</v>
      </c>
      <c r="O445" s="179"/>
      <c r="P445" s="225"/>
      <c r="Q445" s="173"/>
      <c r="R445" s="173"/>
      <c r="S445" s="176"/>
    </row>
    <row r="446" spans="1:19">
      <c r="A446" s="172"/>
      <c r="B446" s="173" t="s">
        <v>200</v>
      </c>
      <c r="C446" s="174" t="s">
        <v>198</v>
      </c>
      <c r="D446" s="177" t="str">
        <f>+'PRODUKSI 2'!B32</f>
        <v>DIKA HARNIA PUTRA</v>
      </c>
      <c r="E446" s="173"/>
      <c r="F446" s="225"/>
      <c r="G446" s="173"/>
      <c r="H446" s="173"/>
      <c r="I446" s="176"/>
      <c r="J446" s="173"/>
      <c r="K446" s="172"/>
      <c r="L446" s="173" t="s">
        <v>200</v>
      </c>
      <c r="M446" s="174" t="s">
        <v>198</v>
      </c>
      <c r="N446" s="178" t="str">
        <f>+'PRODUKSI 2'!B33</f>
        <v>ICAS IRAWAN</v>
      </c>
      <c r="O446" s="173"/>
      <c r="P446" s="225"/>
      <c r="Q446" s="173"/>
      <c r="R446" s="173"/>
      <c r="S446" s="176"/>
    </row>
    <row r="447" spans="1:19" ht="15.75" thickBot="1">
      <c r="A447" s="172"/>
      <c r="B447" s="173" t="s">
        <v>201</v>
      </c>
      <c r="C447" s="174" t="s">
        <v>198</v>
      </c>
      <c r="D447" s="177" t="str">
        <f>+'PRODUKSI 2'!C32</f>
        <v>SLITTER</v>
      </c>
      <c r="E447" s="173"/>
      <c r="F447" s="225"/>
      <c r="G447" s="173"/>
      <c r="H447" s="173"/>
      <c r="I447" s="176"/>
      <c r="J447" s="173"/>
      <c r="K447" s="172"/>
      <c r="L447" s="173" t="s">
        <v>201</v>
      </c>
      <c r="M447" s="174" t="s">
        <v>198</v>
      </c>
      <c r="N447" s="178" t="str">
        <f>+'PRODUKSI 2'!C33</f>
        <v>PRINTER</v>
      </c>
      <c r="O447" s="179"/>
      <c r="P447" s="225"/>
      <c r="Q447" s="173"/>
      <c r="R447" s="173"/>
      <c r="S447" s="176"/>
    </row>
    <row r="448" spans="1:19" ht="10.5" customHeight="1" thickTop="1">
      <c r="A448" s="170"/>
      <c r="B448" s="182"/>
      <c r="C448" s="182"/>
      <c r="D448" s="182"/>
      <c r="E448" s="182"/>
      <c r="F448" s="182"/>
      <c r="G448" s="182"/>
      <c r="H448" s="182"/>
      <c r="I448" s="183"/>
      <c r="J448" s="169"/>
      <c r="K448" s="170"/>
      <c r="L448" s="182"/>
      <c r="M448" s="182"/>
      <c r="N448" s="182"/>
      <c r="O448" s="182"/>
      <c r="P448" s="182"/>
      <c r="Q448" s="182"/>
      <c r="R448" s="182"/>
      <c r="S448" s="183"/>
    </row>
    <row r="449" spans="1:20">
      <c r="A449" s="170"/>
      <c r="B449" s="184" t="s">
        <v>202</v>
      </c>
      <c r="C449" s="185"/>
      <c r="D449" s="185"/>
      <c r="E449" s="185"/>
      <c r="F449" s="227"/>
      <c r="G449" s="185"/>
      <c r="H449" s="185"/>
      <c r="I449" s="183"/>
      <c r="J449" s="169"/>
      <c r="K449" s="170"/>
      <c r="L449" s="184" t="s">
        <v>202</v>
      </c>
      <c r="M449" s="184"/>
      <c r="N449" s="185"/>
      <c r="O449" s="185"/>
      <c r="P449" s="227"/>
      <c r="Q449" s="185"/>
      <c r="R449" s="185"/>
      <c r="S449" s="183"/>
    </row>
    <row r="450" spans="1:20" ht="14.25" customHeight="1">
      <c r="A450" s="170"/>
      <c r="B450" s="186" t="s">
        <v>111</v>
      </c>
      <c r="C450" s="186"/>
      <c r="D450" s="186"/>
      <c r="E450" s="186"/>
      <c r="F450" s="197"/>
      <c r="G450" s="187"/>
      <c r="H450" s="187">
        <f>+'PRODUKSI 2'!H32</f>
        <v>4394855</v>
      </c>
      <c r="I450" s="188"/>
      <c r="J450" s="187"/>
      <c r="K450" s="170"/>
      <c r="L450" s="186" t="s">
        <v>111</v>
      </c>
      <c r="M450" s="186"/>
      <c r="N450" s="186"/>
      <c r="O450" s="186"/>
      <c r="P450" s="197"/>
      <c r="Q450" s="187"/>
      <c r="R450" s="187">
        <f>+'PRODUKSI 2'!H33</f>
        <v>4394855</v>
      </c>
      <c r="S450" s="188"/>
    </row>
    <row r="451" spans="1:20" ht="14.25" customHeight="1">
      <c r="A451" s="170"/>
      <c r="B451" s="186" t="s">
        <v>203</v>
      </c>
      <c r="C451" s="186"/>
      <c r="D451" s="186"/>
      <c r="E451" s="186"/>
      <c r="F451" s="197"/>
      <c r="G451" s="187"/>
      <c r="H451" s="187">
        <f>+'PRODUKSI 2'!I32</f>
        <v>0</v>
      </c>
      <c r="I451" s="188"/>
      <c r="J451" s="209"/>
      <c r="K451" s="170"/>
      <c r="L451" s="186" t="s">
        <v>203</v>
      </c>
      <c r="M451" s="186"/>
      <c r="N451" s="186"/>
      <c r="O451" s="186"/>
      <c r="P451" s="197"/>
      <c r="Q451" s="187"/>
      <c r="R451" s="187">
        <f>+'PRODUKSI 2'!I33</f>
        <v>0</v>
      </c>
      <c r="S451" s="188"/>
    </row>
    <row r="452" spans="1:20" ht="14.25" customHeight="1">
      <c r="A452" s="170"/>
      <c r="B452" s="186" t="s">
        <v>227</v>
      </c>
      <c r="C452" s="186"/>
      <c r="D452" s="186"/>
      <c r="E452" s="186"/>
      <c r="F452" s="197"/>
      <c r="G452" s="187"/>
      <c r="H452" s="187">
        <f>+'PRODUKSI 2'!J32</f>
        <v>0</v>
      </c>
      <c r="I452" s="188"/>
      <c r="J452" s="209"/>
      <c r="K452" s="170"/>
      <c r="L452" s="186" t="s">
        <v>227</v>
      </c>
      <c r="M452" s="186"/>
      <c r="N452" s="186"/>
      <c r="O452" s="186"/>
      <c r="P452" s="197"/>
      <c r="Q452" s="187"/>
      <c r="R452" s="187">
        <f>+'PRODUKSI 2'!J33</f>
        <v>0</v>
      </c>
      <c r="S452" s="188"/>
    </row>
    <row r="453" spans="1:20" ht="14.25" customHeight="1">
      <c r="A453" s="170"/>
      <c r="B453" s="186" t="s">
        <v>228</v>
      </c>
      <c r="C453" s="186"/>
      <c r="D453" s="186"/>
      <c r="E453" s="186"/>
      <c r="F453" s="197"/>
      <c r="G453" s="187"/>
      <c r="H453" s="187">
        <f>+'PRODUKSI 2'!K32</f>
        <v>0</v>
      </c>
      <c r="I453" s="188"/>
      <c r="J453" s="209"/>
      <c r="K453" s="170"/>
      <c r="L453" s="186" t="s">
        <v>228</v>
      </c>
      <c r="M453" s="186"/>
      <c r="N453" s="186"/>
      <c r="O453" s="186"/>
      <c r="P453" s="197"/>
      <c r="Q453" s="187"/>
      <c r="R453" s="187">
        <f>+'PRODUKSI 2'!K33</f>
        <v>0</v>
      </c>
      <c r="S453" s="188"/>
    </row>
    <row r="454" spans="1:20" ht="14.25" customHeight="1">
      <c r="A454" s="170"/>
      <c r="B454" s="186" t="s">
        <v>224</v>
      </c>
      <c r="C454" s="186"/>
      <c r="D454" s="186"/>
      <c r="E454" s="186"/>
      <c r="F454" s="197"/>
      <c r="G454" s="187"/>
      <c r="H454" s="187">
        <f>+'PRODUKSI 2'!AB32</f>
        <v>448215.69090000005</v>
      </c>
      <c r="I454" s="188"/>
      <c r="J454" s="209"/>
      <c r="K454" s="170"/>
      <c r="L454" s="186" t="s">
        <v>224</v>
      </c>
      <c r="M454" s="186"/>
      <c r="N454" s="186"/>
      <c r="O454" s="186"/>
      <c r="P454" s="197"/>
      <c r="Q454" s="187"/>
      <c r="R454" s="187">
        <f>+'PRODUKSI 2'!AB33</f>
        <v>448215.69090000005</v>
      </c>
      <c r="S454" s="188"/>
    </row>
    <row r="455" spans="1:20" ht="14.25" customHeight="1">
      <c r="A455" s="170"/>
      <c r="B455" s="186" t="s">
        <v>195</v>
      </c>
      <c r="C455" s="186"/>
      <c r="D455" s="187"/>
      <c r="E455" s="186"/>
      <c r="F455" s="197"/>
      <c r="G455" s="187"/>
      <c r="H455" s="187">
        <f>+'PRODUKSI 2'!U32</f>
        <v>96000</v>
      </c>
      <c r="I455" s="188"/>
      <c r="J455" s="187"/>
      <c r="K455" s="170"/>
      <c r="L455" s="186" t="s">
        <v>195</v>
      </c>
      <c r="M455" s="186"/>
      <c r="N455" s="187"/>
      <c r="O455" s="186"/>
      <c r="P455" s="197"/>
      <c r="Q455" s="187"/>
      <c r="R455" s="187">
        <f>+'PRODUKSI 2'!U33</f>
        <v>96000</v>
      </c>
      <c r="S455" s="188"/>
    </row>
    <row r="456" spans="1:20" ht="14.25" customHeight="1">
      <c r="A456" s="170"/>
      <c r="B456" s="220" t="s">
        <v>233</v>
      </c>
      <c r="C456" s="186"/>
      <c r="D456" s="187"/>
      <c r="E456" s="186"/>
      <c r="F456" s="197"/>
      <c r="G456" s="187"/>
      <c r="H456" s="187"/>
      <c r="I456" s="188"/>
      <c r="J456" s="209"/>
      <c r="K456" s="170"/>
      <c r="L456" s="220" t="s">
        <v>233</v>
      </c>
      <c r="M456" s="186"/>
      <c r="N456" s="187"/>
      <c r="O456" s="186"/>
      <c r="P456" s="197"/>
      <c r="Q456" s="187"/>
      <c r="R456" s="187"/>
      <c r="S456" s="188"/>
      <c r="T456" s="218"/>
    </row>
    <row r="457" spans="1:20" ht="14.25" customHeight="1">
      <c r="A457" s="170"/>
      <c r="B457" s="186" t="s">
        <v>206</v>
      </c>
      <c r="C457" s="186"/>
      <c r="D457" s="212">
        <v>0</v>
      </c>
      <c r="E457" s="186" t="s">
        <v>207</v>
      </c>
      <c r="F457" s="197" t="s">
        <v>205</v>
      </c>
      <c r="G457" s="187">
        <v>20592</v>
      </c>
      <c r="H457" s="187">
        <f>G457*D457</f>
        <v>0</v>
      </c>
      <c r="I457" s="188"/>
      <c r="J457" s="187"/>
      <c r="K457" s="170"/>
      <c r="L457" s="186" t="s">
        <v>206</v>
      </c>
      <c r="M457" s="186"/>
      <c r="N457" s="212">
        <v>0</v>
      </c>
      <c r="O457" s="186" t="s">
        <v>207</v>
      </c>
      <c r="P457" s="197" t="s">
        <v>205</v>
      </c>
      <c r="Q457" s="187">
        <v>20592</v>
      </c>
      <c r="R457" s="187">
        <f>Q457*N457</f>
        <v>0</v>
      </c>
      <c r="S457" s="188"/>
    </row>
    <row r="458" spans="1:20" ht="14.25" customHeight="1" thickBot="1">
      <c r="A458" s="170"/>
      <c r="B458" s="190" t="s">
        <v>208</v>
      </c>
      <c r="C458" s="190"/>
      <c r="D458" s="213">
        <v>0</v>
      </c>
      <c r="E458" s="190" t="s">
        <v>207</v>
      </c>
      <c r="F458" s="228" t="s">
        <v>205</v>
      </c>
      <c r="G458" s="192">
        <f>G457</f>
        <v>20592</v>
      </c>
      <c r="H458" s="192">
        <f>G458*D458</f>
        <v>0</v>
      </c>
      <c r="I458" s="188"/>
      <c r="J458" s="187"/>
      <c r="K458" s="170"/>
      <c r="L458" s="190" t="s">
        <v>208</v>
      </c>
      <c r="M458" s="190"/>
      <c r="N458" s="213">
        <v>0</v>
      </c>
      <c r="O458" s="190" t="s">
        <v>207</v>
      </c>
      <c r="P458" s="228" t="s">
        <v>205</v>
      </c>
      <c r="Q458" s="192">
        <f>Q457</f>
        <v>20592</v>
      </c>
      <c r="R458" s="192">
        <f>Q458*N458</f>
        <v>0</v>
      </c>
      <c r="S458" s="188"/>
    </row>
    <row r="459" spans="1:20" ht="15.75" thickBot="1">
      <c r="A459" s="170"/>
      <c r="B459" s="190" t="s">
        <v>219</v>
      </c>
      <c r="C459" s="190"/>
      <c r="D459" s="213">
        <f>SUM(D456:D458)</f>
        <v>0</v>
      </c>
      <c r="E459" s="190"/>
      <c r="F459" s="228"/>
      <c r="G459" s="192"/>
      <c r="H459" s="192">
        <f>SUM(H450:H458)</f>
        <v>4939070.6908999998</v>
      </c>
      <c r="I459" s="188"/>
      <c r="J459" s="187"/>
      <c r="K459" s="170"/>
      <c r="L459" s="190" t="s">
        <v>219</v>
      </c>
      <c r="M459" s="190"/>
      <c r="N459" s="213">
        <f>SUM(N456:N458)</f>
        <v>0</v>
      </c>
      <c r="O459" s="190"/>
      <c r="P459" s="228"/>
      <c r="Q459" s="192"/>
      <c r="R459" s="192">
        <f>SUM(R450:R458)</f>
        <v>4939070.6908999998</v>
      </c>
      <c r="S459" s="188"/>
    </row>
    <row r="460" spans="1:20">
      <c r="A460" s="170"/>
      <c r="B460" s="196" t="s">
        <v>113</v>
      </c>
      <c r="C460" s="186"/>
      <c r="D460" s="186"/>
      <c r="E460" s="186"/>
      <c r="F460" s="197"/>
      <c r="G460" s="187"/>
      <c r="H460" s="187"/>
      <c r="I460" s="188"/>
      <c r="J460" s="209"/>
      <c r="K460" s="170"/>
      <c r="L460" s="196" t="s">
        <v>113</v>
      </c>
      <c r="M460" s="186"/>
      <c r="N460" s="186"/>
      <c r="O460" s="186"/>
      <c r="P460" s="197"/>
      <c r="Q460" s="187"/>
      <c r="R460" s="187"/>
      <c r="S460" s="188"/>
    </row>
    <row r="461" spans="1:20" ht="14.25" customHeight="1">
      <c r="A461" s="170"/>
      <c r="B461" s="186" t="s">
        <v>209</v>
      </c>
      <c r="C461" s="186"/>
      <c r="D461" s="197"/>
      <c r="E461" s="186"/>
      <c r="F461" s="197"/>
      <c r="G461" s="198" t="str">
        <f>+'PRODUKSI 2'!D33</f>
        <v>TK</v>
      </c>
      <c r="H461" s="187">
        <f>+'PRODUKSI 2'!AI32</f>
        <v>0</v>
      </c>
      <c r="I461" s="188"/>
      <c r="J461" s="209"/>
      <c r="K461" s="170"/>
      <c r="L461" s="186" t="s">
        <v>209</v>
      </c>
      <c r="M461" s="186"/>
      <c r="N461" s="198"/>
      <c r="O461" s="186"/>
      <c r="P461" s="197"/>
      <c r="Q461" s="198" t="str">
        <f>+'PRODUKSI 2'!D33</f>
        <v>TK</v>
      </c>
      <c r="R461" s="187">
        <f>+'PRODUKSI 2'!AI33</f>
        <v>0</v>
      </c>
      <c r="S461" s="188"/>
    </row>
    <row r="462" spans="1:20" ht="14.25" customHeight="1">
      <c r="A462" s="170"/>
      <c r="B462" s="186" t="s">
        <v>225</v>
      </c>
      <c r="C462" s="186"/>
      <c r="D462" s="197"/>
      <c r="E462" s="186"/>
      <c r="F462" s="197"/>
      <c r="G462" s="198"/>
      <c r="H462" s="187">
        <f>+'PRODUKSI 2'!AF32+'PRODUKSI 2'!AG32</f>
        <v>48772.11</v>
      </c>
      <c r="I462" s="188"/>
      <c r="J462" s="209"/>
      <c r="K462" s="170"/>
      <c r="L462" s="186" t="s">
        <v>225</v>
      </c>
      <c r="M462" s="186"/>
      <c r="N462" s="198"/>
      <c r="O462" s="186"/>
      <c r="P462" s="197"/>
      <c r="Q462" s="198"/>
      <c r="R462" s="187">
        <f>+'PRODUKSI 2'!AF33+'PRODUKSI 2'!AG33</f>
        <v>48772.11</v>
      </c>
      <c r="S462" s="188"/>
    </row>
    <row r="463" spans="1:20" ht="14.25" customHeight="1">
      <c r="A463" s="170"/>
      <c r="B463" s="186" t="s">
        <v>226</v>
      </c>
      <c r="C463" s="186"/>
      <c r="D463" s="197"/>
      <c r="E463" s="186"/>
      <c r="F463" s="197"/>
      <c r="G463" s="198"/>
      <c r="H463" s="187">
        <f>+'PRODUKSI 2'!AD32+'PRODUKSI 2'!AE32</f>
        <v>146316.33000000002</v>
      </c>
      <c r="I463" s="188"/>
      <c r="J463" s="209"/>
      <c r="K463" s="170"/>
      <c r="L463" s="186" t="s">
        <v>226</v>
      </c>
      <c r="M463" s="186"/>
      <c r="N463" s="198"/>
      <c r="O463" s="186"/>
      <c r="P463" s="197"/>
      <c r="Q463" s="198"/>
      <c r="R463" s="187">
        <f>+'PRODUKSI 2'!AD33+'PRODUKSI 2'!AE33</f>
        <v>146316.33000000002</v>
      </c>
      <c r="S463" s="188"/>
    </row>
    <row r="464" spans="1:20" ht="14.25" customHeight="1">
      <c r="A464" s="170"/>
      <c r="B464" s="186" t="s">
        <v>103</v>
      </c>
      <c r="C464" s="186"/>
      <c r="D464" s="186"/>
      <c r="E464" s="186"/>
      <c r="F464" s="197"/>
      <c r="G464" s="198"/>
      <c r="H464" s="187">
        <f>+H454</f>
        <v>448215.69090000005</v>
      </c>
      <c r="I464" s="188"/>
      <c r="J464" s="209"/>
      <c r="K464" s="170"/>
      <c r="L464" s="186" t="s">
        <v>103</v>
      </c>
      <c r="M464" s="186"/>
      <c r="N464" s="186"/>
      <c r="O464" s="186"/>
      <c r="P464" s="197"/>
      <c r="Q464" s="187"/>
      <c r="R464" s="187">
        <f>+R454</f>
        <v>448215.69090000005</v>
      </c>
      <c r="S464" s="188"/>
    </row>
    <row r="465" spans="1:19" ht="14.25" customHeight="1" thickBot="1">
      <c r="A465" s="170"/>
      <c r="B465" s="190" t="s">
        <v>211</v>
      </c>
      <c r="C465" s="190"/>
      <c r="D465" s="190"/>
      <c r="E465" s="190"/>
      <c r="F465" s="228"/>
      <c r="G465" s="192"/>
      <c r="H465" s="192">
        <f>SUM(H461:H464)</f>
        <v>643304.13089999999</v>
      </c>
      <c r="I465" s="188"/>
      <c r="J465" s="209"/>
      <c r="K465" s="170"/>
      <c r="L465" s="190" t="s">
        <v>211</v>
      </c>
      <c r="M465" s="190"/>
      <c r="N465" s="190"/>
      <c r="O465" s="190"/>
      <c r="P465" s="228"/>
      <c r="Q465" s="192"/>
      <c r="R465" s="192">
        <f>SUM(R461:R464)</f>
        <v>643304.13089999999</v>
      </c>
      <c r="S465" s="188"/>
    </row>
    <row r="466" spans="1:19" ht="15.75" thickBot="1">
      <c r="A466" s="170"/>
      <c r="B466" s="193" t="s">
        <v>220</v>
      </c>
      <c r="C466" s="193"/>
      <c r="D466" s="193"/>
      <c r="E466" s="193"/>
      <c r="F466" s="229"/>
      <c r="G466" s="195"/>
      <c r="H466" s="195">
        <f>H459-H465</f>
        <v>4295766.5599999996</v>
      </c>
      <c r="I466" s="188"/>
      <c r="J466" s="209"/>
      <c r="K466" s="170"/>
      <c r="L466" s="193" t="s">
        <v>220</v>
      </c>
      <c r="M466" s="193"/>
      <c r="N466" s="193"/>
      <c r="O466" s="193"/>
      <c r="P466" s="229"/>
      <c r="Q466" s="195"/>
      <c r="R466" s="195">
        <f>SUM(R459-R465)</f>
        <v>4295766.5599999996</v>
      </c>
      <c r="S466" s="188"/>
    </row>
    <row r="467" spans="1:19">
      <c r="A467" s="170"/>
      <c r="B467" s="186" t="s">
        <v>231</v>
      </c>
      <c r="C467" s="186"/>
      <c r="D467" s="186"/>
      <c r="E467" s="186"/>
      <c r="F467" s="197"/>
      <c r="G467" s="187"/>
      <c r="H467" s="187">
        <v>10000</v>
      </c>
      <c r="I467" s="188"/>
      <c r="J467" s="209"/>
      <c r="K467" s="170"/>
      <c r="L467" s="186" t="s">
        <v>230</v>
      </c>
      <c r="M467" s="186"/>
      <c r="N467" s="186"/>
      <c r="O467" s="186"/>
      <c r="P467" s="197"/>
      <c r="Q467" s="187"/>
      <c r="R467" s="187">
        <v>10000</v>
      </c>
      <c r="S467" s="188"/>
    </row>
    <row r="468" spans="1:19" ht="10.5" customHeight="1" thickBot="1">
      <c r="A468" s="170"/>
      <c r="B468" s="199"/>
      <c r="C468" s="190"/>
      <c r="D468" s="190"/>
      <c r="E468" s="190"/>
      <c r="F468" s="228"/>
      <c r="G468" s="192"/>
      <c r="H468" s="192"/>
      <c r="I468" s="188"/>
      <c r="J468" s="187"/>
      <c r="K468" s="170"/>
      <c r="L468" s="199"/>
      <c r="M468" s="190"/>
      <c r="N468" s="190"/>
      <c r="O468" s="190"/>
      <c r="P468" s="228"/>
      <c r="Q468" s="192"/>
      <c r="R468" s="192"/>
      <c r="S468" s="188"/>
    </row>
    <row r="469" spans="1:19" ht="15.75" thickBot="1">
      <c r="A469" s="170"/>
      <c r="B469" s="200" t="s">
        <v>212</v>
      </c>
      <c r="C469" s="200"/>
      <c r="D469" s="200"/>
      <c r="E469" s="200"/>
      <c r="F469" s="230"/>
      <c r="G469" s="201"/>
      <c r="H469" s="201">
        <f>SUM(H466-H467)</f>
        <v>4285766.5599999996</v>
      </c>
      <c r="I469" s="188"/>
      <c r="J469" s="187"/>
      <c r="K469" s="170"/>
      <c r="L469" s="200" t="s">
        <v>212</v>
      </c>
      <c r="M469" s="200"/>
      <c r="N469" s="200"/>
      <c r="O469" s="200"/>
      <c r="P469" s="230"/>
      <c r="Q469" s="201"/>
      <c r="R469" s="201">
        <f>SUM(R466-R467)</f>
        <v>4285766.5599999996</v>
      </c>
      <c r="S469" s="188"/>
    </row>
    <row r="470" spans="1:19" ht="15.75" thickTop="1">
      <c r="A470" s="170"/>
      <c r="B470" s="202" t="s">
        <v>213</v>
      </c>
      <c r="C470" s="186"/>
      <c r="D470" s="186"/>
      <c r="E470" s="186"/>
      <c r="F470" s="197"/>
      <c r="G470" s="296" t="s">
        <v>214</v>
      </c>
      <c r="H470" s="296"/>
      <c r="I470" s="188"/>
      <c r="J470" s="187"/>
      <c r="K470" s="170"/>
      <c r="L470" s="202" t="s">
        <v>213</v>
      </c>
      <c r="M470" s="186"/>
      <c r="N470" s="186"/>
      <c r="O470" s="186"/>
      <c r="P470" s="197"/>
      <c r="Q470" s="296" t="s">
        <v>214</v>
      </c>
      <c r="R470" s="296"/>
      <c r="S470" s="188"/>
    </row>
    <row r="471" spans="1:19" ht="12.75" customHeight="1">
      <c r="A471" s="170"/>
      <c r="B471" s="186"/>
      <c r="C471" s="186"/>
      <c r="D471" s="186"/>
      <c r="E471" s="186"/>
      <c r="F471" s="197"/>
      <c r="G471" s="187"/>
      <c r="H471" s="187"/>
      <c r="I471" s="188"/>
      <c r="J471" s="187"/>
      <c r="K471" s="170"/>
      <c r="L471" s="186"/>
      <c r="M471" s="186"/>
      <c r="N471" s="186"/>
      <c r="O471" s="186"/>
      <c r="P471" s="197"/>
      <c r="Q471" s="187"/>
      <c r="R471" s="187"/>
      <c r="S471" s="188"/>
    </row>
    <row r="472" spans="1:19" ht="12.75" customHeight="1">
      <c r="A472" s="170"/>
      <c r="B472" s="186"/>
      <c r="C472" s="186"/>
      <c r="D472" s="186"/>
      <c r="E472" s="186"/>
      <c r="F472" s="197"/>
      <c r="G472" s="187"/>
      <c r="H472" s="187"/>
      <c r="I472" s="188"/>
      <c r="J472" s="187"/>
      <c r="K472" s="170"/>
      <c r="L472" s="186"/>
      <c r="M472" s="186"/>
      <c r="N472" s="186"/>
      <c r="O472" s="186"/>
      <c r="P472" s="197"/>
      <c r="Q472" s="187"/>
      <c r="R472" s="187"/>
      <c r="S472" s="188"/>
    </row>
    <row r="473" spans="1:19" ht="12.75" customHeight="1">
      <c r="A473" s="170"/>
      <c r="B473" s="203" t="s">
        <v>215</v>
      </c>
      <c r="C473" s="186"/>
      <c r="D473" s="186"/>
      <c r="E473" s="186"/>
      <c r="F473" s="197"/>
      <c r="G473" s="297" t="s">
        <v>216</v>
      </c>
      <c r="H473" s="297"/>
      <c r="I473" s="188"/>
      <c r="J473" s="187"/>
      <c r="K473" s="170"/>
      <c r="L473" s="203" t="s">
        <v>215</v>
      </c>
      <c r="M473" s="186"/>
      <c r="N473" s="186"/>
      <c r="O473" s="186"/>
      <c r="P473" s="197"/>
      <c r="Q473" s="297" t="s">
        <v>216</v>
      </c>
      <c r="R473" s="297"/>
      <c r="S473" s="188"/>
    </row>
    <row r="474" spans="1:19" ht="7.5" customHeight="1">
      <c r="A474" s="204"/>
      <c r="B474" s="205"/>
      <c r="C474" s="206"/>
      <c r="D474" s="206"/>
      <c r="E474" s="206"/>
      <c r="F474" s="231"/>
      <c r="G474" s="207"/>
      <c r="H474" s="205"/>
      <c r="I474" s="208"/>
      <c r="J474" s="187"/>
      <c r="K474" s="204"/>
      <c r="L474" s="205"/>
      <c r="M474" s="206"/>
      <c r="N474" s="206"/>
      <c r="O474" s="206"/>
      <c r="P474" s="231"/>
      <c r="Q474" s="207"/>
      <c r="R474" s="205"/>
      <c r="S474" s="208"/>
    </row>
    <row r="476" spans="1:19">
      <c r="A476" s="166"/>
      <c r="B476" s="167"/>
      <c r="C476" s="167"/>
      <c r="D476" s="167"/>
      <c r="E476" s="167"/>
      <c r="F476" s="223"/>
      <c r="G476" s="167"/>
      <c r="H476" s="167"/>
      <c r="I476" s="168"/>
      <c r="J476" s="169"/>
      <c r="K476" s="166"/>
      <c r="L476" s="167"/>
      <c r="M476" s="167"/>
      <c r="N476" s="167"/>
      <c r="O476" s="167"/>
      <c r="P476" s="223"/>
      <c r="Q476" s="167"/>
      <c r="R476" s="167"/>
      <c r="S476" s="168"/>
    </row>
    <row r="477" spans="1:19">
      <c r="A477" s="170"/>
      <c r="B477" s="169"/>
      <c r="C477" s="169"/>
      <c r="D477" s="169"/>
      <c r="E477" s="169"/>
      <c r="F477" s="224"/>
      <c r="G477" s="169"/>
      <c r="H477" s="169"/>
      <c r="I477" s="171"/>
      <c r="J477" s="169"/>
      <c r="K477" s="170"/>
      <c r="L477" s="169"/>
      <c r="M477" s="169"/>
      <c r="N477" s="169"/>
      <c r="O477" s="169"/>
      <c r="P477" s="224"/>
      <c r="Q477" s="169"/>
      <c r="R477" s="169"/>
      <c r="S477" s="171"/>
    </row>
    <row r="478" spans="1:19">
      <c r="A478" s="170"/>
      <c r="B478" s="169"/>
      <c r="C478" s="169"/>
      <c r="D478" s="169"/>
      <c r="E478" s="169"/>
      <c r="F478" s="224"/>
      <c r="G478" s="169"/>
      <c r="H478" s="169"/>
      <c r="I478" s="171"/>
      <c r="J478" s="169"/>
      <c r="K478" s="170"/>
      <c r="L478" s="169"/>
      <c r="M478" s="169"/>
      <c r="N478" s="169"/>
      <c r="O478" s="169"/>
      <c r="P478" s="224"/>
      <c r="Q478" s="169"/>
      <c r="R478" s="169"/>
      <c r="S478" s="171"/>
    </row>
    <row r="479" spans="1:19">
      <c r="A479" s="170"/>
      <c r="B479" s="294" t="s">
        <v>196</v>
      </c>
      <c r="C479" s="294"/>
      <c r="D479" s="294"/>
      <c r="E479" s="294"/>
      <c r="F479" s="294"/>
      <c r="G479" s="294"/>
      <c r="H479" s="294"/>
      <c r="I479" s="295"/>
      <c r="J479" s="169"/>
      <c r="K479" s="170"/>
      <c r="L479" s="294" t="s">
        <v>196</v>
      </c>
      <c r="M479" s="294"/>
      <c r="N479" s="294"/>
      <c r="O479" s="294"/>
      <c r="P479" s="294"/>
      <c r="Q479" s="294"/>
      <c r="R479" s="294"/>
      <c r="S479" s="295"/>
    </row>
    <row r="480" spans="1:19">
      <c r="A480" s="172"/>
      <c r="B480" s="173" t="s">
        <v>197</v>
      </c>
      <c r="C480" s="174" t="s">
        <v>198</v>
      </c>
      <c r="D480" s="211">
        <v>27</v>
      </c>
      <c r="E480" s="173"/>
      <c r="F480" s="225"/>
      <c r="G480" s="173"/>
      <c r="H480" s="173"/>
      <c r="I480" s="176"/>
      <c r="J480" s="173"/>
      <c r="K480" s="172"/>
      <c r="L480" s="173" t="s">
        <v>197</v>
      </c>
      <c r="M480" s="174" t="s">
        <v>198</v>
      </c>
      <c r="N480" s="211">
        <v>28</v>
      </c>
      <c r="O480" s="175"/>
      <c r="P480" s="225"/>
      <c r="Q480" s="173"/>
      <c r="R480" s="173"/>
      <c r="S480" s="176"/>
    </row>
    <row r="481" spans="1:20">
      <c r="A481" s="172"/>
      <c r="B481" s="173" t="s">
        <v>199</v>
      </c>
      <c r="C481" s="174" t="s">
        <v>198</v>
      </c>
      <c r="D481" s="177" t="s">
        <v>229</v>
      </c>
      <c r="E481" s="173"/>
      <c r="F481" s="225"/>
      <c r="G481" s="173"/>
      <c r="H481" s="173"/>
      <c r="I481" s="176"/>
      <c r="J481" s="173"/>
      <c r="K481" s="172"/>
      <c r="L481" s="173" t="s">
        <v>199</v>
      </c>
      <c r="M481" s="174" t="s">
        <v>198</v>
      </c>
      <c r="N481" s="177" t="s">
        <v>229</v>
      </c>
      <c r="O481" s="179"/>
      <c r="P481" s="225"/>
      <c r="Q481" s="173"/>
      <c r="R481" s="173"/>
      <c r="S481" s="176"/>
    </row>
    <row r="482" spans="1:20">
      <c r="A482" s="172"/>
      <c r="B482" s="173" t="s">
        <v>200</v>
      </c>
      <c r="C482" s="174" t="s">
        <v>198</v>
      </c>
      <c r="D482" s="177" t="str">
        <f>+'PRODUKSI 2'!B36</f>
        <v>ELIS MAWATI</v>
      </c>
      <c r="E482" s="173"/>
      <c r="F482" s="225"/>
      <c r="G482" s="173"/>
      <c r="H482" s="173"/>
      <c r="I482" s="176"/>
      <c r="J482" s="173"/>
      <c r="K482" s="172"/>
      <c r="L482" s="173" t="s">
        <v>200</v>
      </c>
      <c r="M482" s="174" t="s">
        <v>198</v>
      </c>
      <c r="N482" s="178" t="e">
        <f>+'PRODUKSI 2'!#REF!</f>
        <v>#REF!</v>
      </c>
      <c r="O482" s="173"/>
      <c r="P482" s="225"/>
      <c r="Q482" s="173"/>
      <c r="R482" s="173"/>
      <c r="S482" s="176"/>
    </row>
    <row r="483" spans="1:20" ht="15.75" thickBot="1">
      <c r="A483" s="172"/>
      <c r="B483" s="173" t="s">
        <v>201</v>
      </c>
      <c r="C483" s="174" t="s">
        <v>198</v>
      </c>
      <c r="D483" s="177" t="str">
        <f>+'PRODUKSI 2'!C36</f>
        <v>BANDING</v>
      </c>
      <c r="E483" s="173"/>
      <c r="F483" s="225"/>
      <c r="G483" s="173"/>
      <c r="H483" s="173"/>
      <c r="I483" s="176"/>
      <c r="J483" s="173"/>
      <c r="K483" s="172"/>
      <c r="L483" s="173" t="s">
        <v>201</v>
      </c>
      <c r="M483" s="174" t="s">
        <v>198</v>
      </c>
      <c r="N483" s="178" t="e">
        <f>+'PRODUKSI 2'!#REF!</f>
        <v>#REF!</v>
      </c>
      <c r="O483" s="179"/>
      <c r="P483" s="225"/>
      <c r="Q483" s="173"/>
      <c r="R483" s="173"/>
      <c r="S483" s="176"/>
    </row>
    <row r="484" spans="1:20" ht="10.5" customHeight="1" thickTop="1">
      <c r="A484" s="170"/>
      <c r="B484" s="182"/>
      <c r="C484" s="182"/>
      <c r="D484" s="182"/>
      <c r="E484" s="182"/>
      <c r="F484" s="182"/>
      <c r="G484" s="182"/>
      <c r="H484" s="182"/>
      <c r="I484" s="183"/>
      <c r="J484" s="169"/>
      <c r="K484" s="170"/>
      <c r="L484" s="182"/>
      <c r="M484" s="182"/>
      <c r="N484" s="182"/>
      <c r="O484" s="182"/>
      <c r="P484" s="182"/>
      <c r="Q484" s="182"/>
      <c r="R484" s="182"/>
      <c r="S484" s="183"/>
    </row>
    <row r="485" spans="1:20">
      <c r="A485" s="170"/>
      <c r="B485" s="184" t="s">
        <v>202</v>
      </c>
      <c r="C485" s="185"/>
      <c r="D485" s="185"/>
      <c r="E485" s="185"/>
      <c r="F485" s="227"/>
      <c r="G485" s="185"/>
      <c r="H485" s="185"/>
      <c r="I485" s="183"/>
      <c r="J485" s="169"/>
      <c r="K485" s="170"/>
      <c r="L485" s="184" t="s">
        <v>202</v>
      </c>
      <c r="M485" s="184"/>
      <c r="N485" s="185"/>
      <c r="O485" s="185"/>
      <c r="P485" s="227"/>
      <c r="Q485" s="185"/>
      <c r="R485" s="185"/>
      <c r="S485" s="183"/>
    </row>
    <row r="486" spans="1:20" ht="14.25" customHeight="1">
      <c r="A486" s="170"/>
      <c r="B486" s="186" t="s">
        <v>111</v>
      </c>
      <c r="C486" s="186"/>
      <c r="D486" s="186"/>
      <c r="E486" s="186"/>
      <c r="F486" s="197"/>
      <c r="G486" s="187"/>
      <c r="H486" s="187">
        <f>+'PRODUKSI 2'!H36</f>
        <v>4394855</v>
      </c>
      <c r="I486" s="188"/>
      <c r="J486" s="187"/>
      <c r="K486" s="170"/>
      <c r="L486" s="186" t="s">
        <v>111</v>
      </c>
      <c r="M486" s="186"/>
      <c r="N486" s="186"/>
      <c r="O486" s="186"/>
      <c r="P486" s="197"/>
      <c r="Q486" s="187"/>
      <c r="R486" s="187" t="e">
        <f>+'PRODUKSI 2'!#REF!</f>
        <v>#REF!</v>
      </c>
      <c r="S486" s="188"/>
    </row>
    <row r="487" spans="1:20" ht="14.25" customHeight="1">
      <c r="A487" s="170"/>
      <c r="B487" s="186" t="s">
        <v>203</v>
      </c>
      <c r="C487" s="186"/>
      <c r="D487" s="186"/>
      <c r="E487" s="186"/>
      <c r="F487" s="197"/>
      <c r="G487" s="187"/>
      <c r="H487" s="187">
        <f>+'PRODUKSI 2'!I36</f>
        <v>0</v>
      </c>
      <c r="I487" s="188"/>
      <c r="J487" s="209"/>
      <c r="K487" s="170"/>
      <c r="L487" s="186" t="s">
        <v>203</v>
      </c>
      <c r="M487" s="186"/>
      <c r="N487" s="186"/>
      <c r="O487" s="186"/>
      <c r="P487" s="197"/>
      <c r="Q487" s="187"/>
      <c r="R487" s="187" t="e">
        <f>+'PRODUKSI 2'!#REF!</f>
        <v>#REF!</v>
      </c>
      <c r="S487" s="188"/>
    </row>
    <row r="488" spans="1:20" ht="14.25" customHeight="1">
      <c r="A488" s="170"/>
      <c r="B488" s="186" t="s">
        <v>227</v>
      </c>
      <c r="C488" s="186"/>
      <c r="D488" s="186"/>
      <c r="E488" s="186"/>
      <c r="F488" s="197"/>
      <c r="G488" s="187"/>
      <c r="H488" s="187">
        <f>+'PRODUKSI 2'!J36</f>
        <v>0</v>
      </c>
      <c r="I488" s="188"/>
      <c r="J488" s="209"/>
      <c r="K488" s="170"/>
      <c r="L488" s="186" t="s">
        <v>227</v>
      </c>
      <c r="M488" s="186"/>
      <c r="N488" s="186"/>
      <c r="O488" s="186"/>
      <c r="P488" s="197"/>
      <c r="Q488" s="187"/>
      <c r="R488" s="187" t="e">
        <f>+'PRODUKSI 2'!#REF!</f>
        <v>#REF!</v>
      </c>
      <c r="S488" s="188"/>
    </row>
    <row r="489" spans="1:20" ht="14.25" customHeight="1">
      <c r="A489" s="170"/>
      <c r="B489" s="186" t="s">
        <v>228</v>
      </c>
      <c r="C489" s="186"/>
      <c r="D489" s="186"/>
      <c r="E489" s="186"/>
      <c r="F489" s="197"/>
      <c r="G489" s="187"/>
      <c r="H489" s="187">
        <f>+'PRODUKSI 2'!K36</f>
        <v>0</v>
      </c>
      <c r="I489" s="188"/>
      <c r="J489" s="209"/>
      <c r="K489" s="170"/>
      <c r="L489" s="186" t="s">
        <v>228</v>
      </c>
      <c r="M489" s="186"/>
      <c r="N489" s="186"/>
      <c r="O489" s="186"/>
      <c r="P489" s="197"/>
      <c r="Q489" s="187"/>
      <c r="R489" s="187" t="e">
        <f>+'PRODUKSI 2'!#REF!</f>
        <v>#REF!</v>
      </c>
      <c r="S489" s="188"/>
    </row>
    <row r="490" spans="1:20" ht="14.25" customHeight="1">
      <c r="A490" s="170"/>
      <c r="B490" s="186" t="s">
        <v>224</v>
      </c>
      <c r="C490" s="186"/>
      <c r="D490" s="186"/>
      <c r="E490" s="186"/>
      <c r="F490" s="197"/>
      <c r="G490" s="187"/>
      <c r="H490" s="187">
        <f>+'PRODUKSI 2'!AB36</f>
        <v>448215.69090000005</v>
      </c>
      <c r="I490" s="188"/>
      <c r="J490" s="209"/>
      <c r="K490" s="170"/>
      <c r="L490" s="186" t="s">
        <v>224</v>
      </c>
      <c r="M490" s="186"/>
      <c r="N490" s="186"/>
      <c r="O490" s="186"/>
      <c r="P490" s="197"/>
      <c r="Q490" s="187"/>
      <c r="R490" s="187" t="e">
        <f>+'PRODUKSI 2'!#REF!</f>
        <v>#REF!</v>
      </c>
      <c r="S490" s="188"/>
    </row>
    <row r="491" spans="1:20" ht="14.25" customHeight="1">
      <c r="A491" s="170"/>
      <c r="B491" s="186" t="s">
        <v>195</v>
      </c>
      <c r="C491" s="186"/>
      <c r="D491" s="187"/>
      <c r="E491" s="186"/>
      <c r="F491" s="197"/>
      <c r="G491" s="187"/>
      <c r="H491" s="187">
        <f>+'PRODUKSI 2'!U36</f>
        <v>92000</v>
      </c>
      <c r="I491" s="188"/>
      <c r="J491" s="187"/>
      <c r="K491" s="170"/>
      <c r="L491" s="186" t="s">
        <v>195</v>
      </c>
      <c r="M491" s="186"/>
      <c r="N491" s="187"/>
      <c r="O491" s="186"/>
      <c r="P491" s="197"/>
      <c r="Q491" s="187"/>
      <c r="R491" s="187" t="e">
        <f>+'PRODUKSI 2'!#REF!</f>
        <v>#REF!</v>
      </c>
      <c r="S491" s="188"/>
    </row>
    <row r="492" spans="1:20" ht="14.25" customHeight="1">
      <c r="A492" s="170"/>
      <c r="B492" s="220" t="s">
        <v>233</v>
      </c>
      <c r="C492" s="186"/>
      <c r="D492" s="187"/>
      <c r="E492" s="186"/>
      <c r="F492" s="197"/>
      <c r="G492" s="187"/>
      <c r="H492" s="187"/>
      <c r="I492" s="188"/>
      <c r="J492" s="209"/>
      <c r="K492" s="170"/>
      <c r="L492" s="220" t="s">
        <v>233</v>
      </c>
      <c r="M492" s="186"/>
      <c r="N492" s="187"/>
      <c r="O492" s="186"/>
      <c r="P492" s="197"/>
      <c r="Q492" s="187"/>
      <c r="R492" s="187"/>
      <c r="S492" s="188"/>
      <c r="T492" s="218"/>
    </row>
    <row r="493" spans="1:20" ht="14.25" customHeight="1">
      <c r="A493" s="170"/>
      <c r="B493" s="186" t="s">
        <v>206</v>
      </c>
      <c r="C493" s="186"/>
      <c r="D493" s="212">
        <v>0</v>
      </c>
      <c r="E493" s="186" t="s">
        <v>207</v>
      </c>
      <c r="F493" s="197" t="s">
        <v>205</v>
      </c>
      <c r="G493" s="187">
        <v>20592</v>
      </c>
      <c r="H493" s="187">
        <f>G493*D493</f>
        <v>0</v>
      </c>
      <c r="I493" s="188"/>
      <c r="J493" s="187"/>
      <c r="K493" s="170"/>
      <c r="L493" s="186" t="s">
        <v>206</v>
      </c>
      <c r="M493" s="186"/>
      <c r="N493" s="212">
        <v>0</v>
      </c>
      <c r="O493" s="186" t="s">
        <v>207</v>
      </c>
      <c r="P493" s="197" t="s">
        <v>205</v>
      </c>
      <c r="Q493" s="187">
        <v>20592</v>
      </c>
      <c r="R493" s="187">
        <f>Q493*N493</f>
        <v>0</v>
      </c>
      <c r="S493" s="188"/>
    </row>
    <row r="494" spans="1:20" ht="14.25" customHeight="1" thickBot="1">
      <c r="A494" s="170"/>
      <c r="B494" s="190" t="s">
        <v>208</v>
      </c>
      <c r="C494" s="190"/>
      <c r="D494" s="213">
        <v>0</v>
      </c>
      <c r="E494" s="190" t="s">
        <v>207</v>
      </c>
      <c r="F494" s="228" t="s">
        <v>205</v>
      </c>
      <c r="G494" s="192">
        <f>G493</f>
        <v>20592</v>
      </c>
      <c r="H494" s="192">
        <f>G494*D494</f>
        <v>0</v>
      </c>
      <c r="I494" s="188"/>
      <c r="J494" s="187"/>
      <c r="K494" s="170"/>
      <c r="L494" s="190" t="s">
        <v>208</v>
      </c>
      <c r="M494" s="190"/>
      <c r="N494" s="213">
        <v>0</v>
      </c>
      <c r="O494" s="190" t="s">
        <v>207</v>
      </c>
      <c r="P494" s="228" t="s">
        <v>205</v>
      </c>
      <c r="Q494" s="192">
        <f>Q493</f>
        <v>20592</v>
      </c>
      <c r="R494" s="192">
        <f>Q494*N494</f>
        <v>0</v>
      </c>
      <c r="S494" s="188"/>
    </row>
    <row r="495" spans="1:20" ht="15.75" thickBot="1">
      <c r="A495" s="170"/>
      <c r="B495" s="190" t="s">
        <v>219</v>
      </c>
      <c r="C495" s="190"/>
      <c r="D495" s="213">
        <f>SUM(D492:D494)</f>
        <v>0</v>
      </c>
      <c r="E495" s="190"/>
      <c r="F495" s="228"/>
      <c r="G495" s="192"/>
      <c r="H495" s="192">
        <f>SUM(H486:H494)</f>
        <v>4935070.6908999998</v>
      </c>
      <c r="I495" s="188"/>
      <c r="J495" s="187"/>
      <c r="K495" s="170"/>
      <c r="L495" s="190" t="s">
        <v>219</v>
      </c>
      <c r="M495" s="190"/>
      <c r="N495" s="213">
        <f>SUM(N492:N494)</f>
        <v>0</v>
      </c>
      <c r="O495" s="190"/>
      <c r="P495" s="228"/>
      <c r="Q495" s="192"/>
      <c r="R495" s="192" t="e">
        <f>SUM(R486:R494)</f>
        <v>#REF!</v>
      </c>
      <c r="S495" s="188"/>
    </row>
    <row r="496" spans="1:20">
      <c r="A496" s="170"/>
      <c r="B496" s="196" t="s">
        <v>113</v>
      </c>
      <c r="C496" s="186"/>
      <c r="D496" s="186"/>
      <c r="E496" s="186"/>
      <c r="F496" s="197"/>
      <c r="G496" s="187"/>
      <c r="H496" s="187"/>
      <c r="I496" s="188"/>
      <c r="J496" s="209"/>
      <c r="K496" s="170"/>
      <c r="L496" s="196" t="s">
        <v>113</v>
      </c>
      <c r="M496" s="186"/>
      <c r="N496" s="186"/>
      <c r="O496" s="186"/>
      <c r="P496" s="197"/>
      <c r="Q496" s="187"/>
      <c r="R496" s="187"/>
      <c r="S496" s="188"/>
    </row>
    <row r="497" spans="1:19" ht="14.25" customHeight="1">
      <c r="A497" s="170"/>
      <c r="B497" s="186" t="s">
        <v>209</v>
      </c>
      <c r="C497" s="186"/>
      <c r="D497" s="197"/>
      <c r="E497" s="186"/>
      <c r="F497" s="197"/>
      <c r="G497" s="198" t="str">
        <f>+'PRODUKSI 2'!D36</f>
        <v>TK</v>
      </c>
      <c r="H497" s="187">
        <f>+'PRODUKSI 2'!AI36</f>
        <v>0</v>
      </c>
      <c r="I497" s="188"/>
      <c r="J497" s="209"/>
      <c r="K497" s="170"/>
      <c r="L497" s="186" t="s">
        <v>209</v>
      </c>
      <c r="M497" s="186"/>
      <c r="N497" s="198"/>
      <c r="O497" s="186"/>
      <c r="P497" s="197"/>
      <c r="Q497" s="198" t="e">
        <f>+'PRODUKSI 2'!#REF!</f>
        <v>#REF!</v>
      </c>
      <c r="R497" s="187" t="e">
        <f>+'PRODUKSI 2'!#REF!</f>
        <v>#REF!</v>
      </c>
      <c r="S497" s="188"/>
    </row>
    <row r="498" spans="1:19" ht="14.25" customHeight="1">
      <c r="A498" s="170"/>
      <c r="B498" s="186" t="s">
        <v>225</v>
      </c>
      <c r="C498" s="186"/>
      <c r="D498" s="197"/>
      <c r="E498" s="186"/>
      <c r="F498" s="197"/>
      <c r="G498" s="198"/>
      <c r="H498" s="187">
        <f>+'PRODUKSI 2'!AF36+'PRODUKSI 2'!AG36</f>
        <v>48772.11</v>
      </c>
      <c r="I498" s="188"/>
      <c r="J498" s="209"/>
      <c r="K498" s="170"/>
      <c r="L498" s="186" t="s">
        <v>225</v>
      </c>
      <c r="M498" s="186"/>
      <c r="N498" s="198"/>
      <c r="O498" s="186"/>
      <c r="P498" s="197"/>
      <c r="Q498" s="198"/>
      <c r="R498" s="187" t="e">
        <f>+'PRODUKSI 2'!#REF!+'PRODUKSI 2'!#REF!</f>
        <v>#REF!</v>
      </c>
      <c r="S498" s="188"/>
    </row>
    <row r="499" spans="1:19" ht="14.25" customHeight="1">
      <c r="A499" s="170"/>
      <c r="B499" s="186" t="s">
        <v>226</v>
      </c>
      <c r="C499" s="186"/>
      <c r="D499" s="197"/>
      <c r="E499" s="186"/>
      <c r="F499" s="197"/>
      <c r="G499" s="198"/>
      <c r="H499" s="187">
        <f>+'PRODUKSI 2'!AD36+'PRODUKSI 2'!AE36</f>
        <v>146316.33000000002</v>
      </c>
      <c r="I499" s="188"/>
      <c r="J499" s="209"/>
      <c r="K499" s="170"/>
      <c r="L499" s="186" t="s">
        <v>226</v>
      </c>
      <c r="M499" s="186"/>
      <c r="N499" s="198"/>
      <c r="O499" s="186"/>
      <c r="P499" s="197"/>
      <c r="Q499" s="198"/>
      <c r="R499" s="187" t="e">
        <f>+'PRODUKSI 2'!#REF!+'PRODUKSI 2'!#REF!</f>
        <v>#REF!</v>
      </c>
      <c r="S499" s="188"/>
    </row>
    <row r="500" spans="1:19" ht="14.25" customHeight="1">
      <c r="A500" s="170"/>
      <c r="B500" s="186" t="s">
        <v>103</v>
      </c>
      <c r="C500" s="186"/>
      <c r="D500" s="186"/>
      <c r="E500" s="186"/>
      <c r="F500" s="197"/>
      <c r="G500" s="198"/>
      <c r="H500" s="187">
        <f>+H490</f>
        <v>448215.69090000005</v>
      </c>
      <c r="I500" s="188"/>
      <c r="J500" s="209"/>
      <c r="K500" s="170"/>
      <c r="L500" s="186" t="s">
        <v>103</v>
      </c>
      <c r="M500" s="186"/>
      <c r="N500" s="186"/>
      <c r="O500" s="186"/>
      <c r="P500" s="197"/>
      <c r="Q500" s="187"/>
      <c r="R500" s="187" t="e">
        <f>+R490</f>
        <v>#REF!</v>
      </c>
      <c r="S500" s="188"/>
    </row>
    <row r="501" spans="1:19" ht="14.25" customHeight="1" thickBot="1">
      <c r="A501" s="170"/>
      <c r="B501" s="190" t="s">
        <v>211</v>
      </c>
      <c r="C501" s="190"/>
      <c r="D501" s="190"/>
      <c r="E501" s="190"/>
      <c r="F501" s="228"/>
      <c r="G501" s="192"/>
      <c r="H501" s="192">
        <f>SUM(H497:H500)</f>
        <v>643304.13089999999</v>
      </c>
      <c r="I501" s="188"/>
      <c r="J501" s="209"/>
      <c r="K501" s="170"/>
      <c r="L501" s="190" t="s">
        <v>211</v>
      </c>
      <c r="M501" s="190"/>
      <c r="N501" s="190"/>
      <c r="O501" s="190"/>
      <c r="P501" s="228"/>
      <c r="Q501" s="192"/>
      <c r="R501" s="192" t="e">
        <f>SUM(R497:R500)</f>
        <v>#REF!</v>
      </c>
      <c r="S501" s="188"/>
    </row>
    <row r="502" spans="1:19" ht="15.75" thickBot="1">
      <c r="A502" s="170"/>
      <c r="B502" s="193" t="s">
        <v>220</v>
      </c>
      <c r="C502" s="193"/>
      <c r="D502" s="193"/>
      <c r="E502" s="193"/>
      <c r="F502" s="229"/>
      <c r="G502" s="195"/>
      <c r="H502" s="195">
        <f>H495-H501</f>
        <v>4291766.5599999996</v>
      </c>
      <c r="I502" s="188"/>
      <c r="J502" s="209"/>
      <c r="K502" s="170"/>
      <c r="L502" s="193" t="s">
        <v>220</v>
      </c>
      <c r="M502" s="193"/>
      <c r="N502" s="193"/>
      <c r="O502" s="193"/>
      <c r="P502" s="229"/>
      <c r="Q502" s="195"/>
      <c r="R502" s="195" t="e">
        <f>SUM(R495-R501)</f>
        <v>#REF!</v>
      </c>
      <c r="S502" s="188"/>
    </row>
    <row r="503" spans="1:19">
      <c r="A503" s="170"/>
      <c r="B503" s="186"/>
      <c r="C503" s="186"/>
      <c r="D503" s="186"/>
      <c r="E503" s="186"/>
      <c r="F503" s="197"/>
      <c r="G503" s="187"/>
      <c r="H503" s="187"/>
      <c r="I503" s="188"/>
      <c r="J503" s="209"/>
      <c r="K503" s="170"/>
      <c r="L503" s="186"/>
      <c r="M503" s="186"/>
      <c r="N503" s="186"/>
      <c r="O503" s="186"/>
      <c r="P503" s="197"/>
      <c r="Q503" s="187"/>
      <c r="R503" s="187"/>
      <c r="S503" s="188"/>
    </row>
    <row r="504" spans="1:19" ht="15.75" thickBot="1">
      <c r="A504" s="170"/>
      <c r="B504" s="199"/>
      <c r="C504" s="190"/>
      <c r="D504" s="190"/>
      <c r="E504" s="190"/>
      <c r="F504" s="228"/>
      <c r="G504" s="192"/>
      <c r="H504" s="192"/>
      <c r="I504" s="188"/>
      <c r="J504" s="187"/>
      <c r="K504" s="170"/>
      <c r="L504" s="199"/>
      <c r="M504" s="190"/>
      <c r="N504" s="190"/>
      <c r="O504" s="190"/>
      <c r="P504" s="228"/>
      <c r="Q504" s="192"/>
      <c r="R504" s="192"/>
      <c r="S504" s="188"/>
    </row>
    <row r="505" spans="1:19" ht="15.75" thickBot="1">
      <c r="A505" s="170"/>
      <c r="B505" s="200" t="s">
        <v>212</v>
      </c>
      <c r="C505" s="200"/>
      <c r="D505" s="200"/>
      <c r="E505" s="200"/>
      <c r="F505" s="230"/>
      <c r="G505" s="201"/>
      <c r="H505" s="201">
        <f>SUM(H502-H503)</f>
        <v>4291766.5599999996</v>
      </c>
      <c r="I505" s="188"/>
      <c r="J505" s="187"/>
      <c r="K505" s="170"/>
      <c r="L505" s="200" t="s">
        <v>212</v>
      </c>
      <c r="M505" s="200"/>
      <c r="N505" s="200"/>
      <c r="O505" s="200"/>
      <c r="P505" s="230"/>
      <c r="Q505" s="201"/>
      <c r="R505" s="201" t="e">
        <f>SUM(R502-R503)</f>
        <v>#REF!</v>
      </c>
      <c r="S505" s="188"/>
    </row>
    <row r="506" spans="1:19" ht="15.75" thickTop="1">
      <c r="A506" s="170"/>
      <c r="B506" s="202" t="s">
        <v>213</v>
      </c>
      <c r="C506" s="186"/>
      <c r="D506" s="186"/>
      <c r="E506" s="186"/>
      <c r="F506" s="197"/>
      <c r="G506" s="296" t="s">
        <v>214</v>
      </c>
      <c r="H506" s="296"/>
      <c r="I506" s="188"/>
      <c r="J506" s="187"/>
      <c r="K506" s="170"/>
      <c r="L506" s="202" t="s">
        <v>213</v>
      </c>
      <c r="M506" s="186"/>
      <c r="N506" s="186"/>
      <c r="O506" s="186"/>
      <c r="P506" s="197"/>
      <c r="Q506" s="296" t="s">
        <v>214</v>
      </c>
      <c r="R506" s="296"/>
      <c r="S506" s="188"/>
    </row>
    <row r="507" spans="1:19" ht="12.75" customHeight="1">
      <c r="A507" s="170"/>
      <c r="B507" s="186"/>
      <c r="C507" s="186"/>
      <c r="D507" s="186"/>
      <c r="E507" s="186"/>
      <c r="F507" s="197"/>
      <c r="G507" s="187"/>
      <c r="H507" s="187"/>
      <c r="I507" s="188"/>
      <c r="J507" s="187"/>
      <c r="K507" s="170"/>
      <c r="L507" s="186"/>
      <c r="M507" s="186"/>
      <c r="N507" s="186"/>
      <c r="O507" s="186"/>
      <c r="P507" s="197"/>
      <c r="Q507" s="187"/>
      <c r="R507" s="187"/>
      <c r="S507" s="188"/>
    </row>
    <row r="508" spans="1:19" ht="12.75" customHeight="1">
      <c r="A508" s="170"/>
      <c r="B508" s="186"/>
      <c r="C508" s="186"/>
      <c r="D508" s="186"/>
      <c r="E508" s="186"/>
      <c r="F508" s="197"/>
      <c r="G508" s="187"/>
      <c r="H508" s="187"/>
      <c r="I508" s="188"/>
      <c r="J508" s="187"/>
      <c r="K508" s="170"/>
      <c r="L508" s="186"/>
      <c r="M508" s="186"/>
      <c r="N508" s="186"/>
      <c r="O508" s="186"/>
      <c r="P508" s="197"/>
      <c r="Q508" s="187"/>
      <c r="R508" s="187"/>
      <c r="S508" s="188"/>
    </row>
    <row r="509" spans="1:19" ht="12.75" customHeight="1">
      <c r="A509" s="170"/>
      <c r="B509" s="203" t="s">
        <v>215</v>
      </c>
      <c r="C509" s="186"/>
      <c r="D509" s="186"/>
      <c r="E509" s="186"/>
      <c r="F509" s="197"/>
      <c r="G509" s="297" t="s">
        <v>216</v>
      </c>
      <c r="H509" s="297"/>
      <c r="I509" s="188"/>
      <c r="J509" s="187"/>
      <c r="K509" s="170"/>
      <c r="L509" s="203" t="s">
        <v>215</v>
      </c>
      <c r="M509" s="186"/>
      <c r="N509" s="186"/>
      <c r="O509" s="186"/>
      <c r="P509" s="197"/>
      <c r="Q509" s="297" t="s">
        <v>216</v>
      </c>
      <c r="R509" s="297"/>
      <c r="S509" s="188"/>
    </row>
    <row r="510" spans="1:19" ht="7.5" customHeight="1">
      <c r="A510" s="204"/>
      <c r="B510" s="205"/>
      <c r="C510" s="206"/>
      <c r="D510" s="206"/>
      <c r="E510" s="206"/>
      <c r="F510" s="231"/>
      <c r="G510" s="207"/>
      <c r="H510" s="205"/>
      <c r="I510" s="208"/>
      <c r="J510" s="187"/>
      <c r="K510" s="204"/>
      <c r="L510" s="205"/>
      <c r="M510" s="206"/>
      <c r="N510" s="206"/>
      <c r="O510" s="206"/>
      <c r="P510" s="231"/>
      <c r="Q510" s="207"/>
      <c r="R510" s="205"/>
      <c r="S510" s="208"/>
    </row>
    <row r="513" spans="1:19">
      <c r="A513" s="166"/>
      <c r="B513" s="167"/>
      <c r="C513" s="167"/>
      <c r="D513" s="167"/>
      <c r="E513" s="167"/>
      <c r="F513" s="223"/>
      <c r="G513" s="167"/>
      <c r="H513" s="167"/>
      <c r="I513" s="168"/>
      <c r="J513" s="169"/>
      <c r="K513" s="166"/>
      <c r="L513" s="167"/>
      <c r="M513" s="167"/>
      <c r="N513" s="167"/>
      <c r="O513" s="167"/>
      <c r="P513" s="223"/>
      <c r="Q513" s="167"/>
      <c r="R513" s="167"/>
      <c r="S513" s="168"/>
    </row>
    <row r="514" spans="1:19">
      <c r="A514" s="170"/>
      <c r="B514" s="169"/>
      <c r="C514" s="169"/>
      <c r="D514" s="169"/>
      <c r="E514" s="169"/>
      <c r="F514" s="224"/>
      <c r="G514" s="169"/>
      <c r="H514" s="169"/>
      <c r="I514" s="171"/>
      <c r="J514" s="169"/>
      <c r="K514" s="170"/>
      <c r="L514" s="169"/>
      <c r="M514" s="169"/>
      <c r="N514" s="169"/>
      <c r="O514" s="169"/>
      <c r="P514" s="224"/>
      <c r="Q514" s="169"/>
      <c r="R514" s="169"/>
      <c r="S514" s="171"/>
    </row>
    <row r="515" spans="1:19">
      <c r="A515" s="170"/>
      <c r="B515" s="169"/>
      <c r="C515" s="169"/>
      <c r="D515" s="169"/>
      <c r="E515" s="169"/>
      <c r="F515" s="224"/>
      <c r="G515" s="169"/>
      <c r="H515" s="169"/>
      <c r="I515" s="171"/>
      <c r="J515" s="169"/>
      <c r="K515" s="170"/>
      <c r="L515" s="169"/>
      <c r="M515" s="169"/>
      <c r="N515" s="169"/>
      <c r="O515" s="169"/>
      <c r="P515" s="224"/>
      <c r="Q515" s="169"/>
      <c r="R515" s="169"/>
      <c r="S515" s="171"/>
    </row>
    <row r="516" spans="1:19">
      <c r="A516" s="170"/>
      <c r="B516" s="294" t="s">
        <v>196</v>
      </c>
      <c r="C516" s="294"/>
      <c r="D516" s="294"/>
      <c r="E516" s="294"/>
      <c r="F516" s="294"/>
      <c r="G516" s="294"/>
      <c r="H516" s="294"/>
      <c r="I516" s="295"/>
      <c r="J516" s="169"/>
      <c r="K516" s="170"/>
      <c r="L516" s="294" t="s">
        <v>196</v>
      </c>
      <c r="M516" s="294"/>
      <c r="N516" s="294"/>
      <c r="O516" s="294"/>
      <c r="P516" s="294"/>
      <c r="Q516" s="294"/>
      <c r="R516" s="294"/>
      <c r="S516" s="295"/>
    </row>
    <row r="517" spans="1:19">
      <c r="A517" s="172"/>
      <c r="B517" s="173" t="s">
        <v>197</v>
      </c>
      <c r="C517" s="174" t="s">
        <v>198</v>
      </c>
      <c r="D517" s="211">
        <v>29</v>
      </c>
      <c r="E517" s="173"/>
      <c r="F517" s="225"/>
      <c r="G517" s="173"/>
      <c r="H517" s="173"/>
      <c r="I517" s="176"/>
      <c r="J517" s="173"/>
      <c r="K517" s="172"/>
      <c r="L517" s="173" t="s">
        <v>197</v>
      </c>
      <c r="M517" s="174" t="s">
        <v>198</v>
      </c>
      <c r="N517" s="211">
        <v>30</v>
      </c>
      <c r="O517" s="175"/>
      <c r="P517" s="225"/>
      <c r="Q517" s="173"/>
      <c r="R517" s="173"/>
      <c r="S517" s="176"/>
    </row>
    <row r="518" spans="1:19">
      <c r="A518" s="172"/>
      <c r="B518" s="173" t="s">
        <v>199</v>
      </c>
      <c r="C518" s="174" t="s">
        <v>198</v>
      </c>
      <c r="D518" s="177" t="s">
        <v>229</v>
      </c>
      <c r="E518" s="173"/>
      <c r="F518" s="225"/>
      <c r="G518" s="173"/>
      <c r="H518" s="173"/>
      <c r="I518" s="176"/>
      <c r="J518" s="173"/>
      <c r="K518" s="172"/>
      <c r="L518" s="173" t="s">
        <v>199</v>
      </c>
      <c r="M518" s="174" t="s">
        <v>198</v>
      </c>
      <c r="N518" s="177" t="s">
        <v>229</v>
      </c>
      <c r="O518" s="179"/>
      <c r="P518" s="225"/>
      <c r="Q518" s="173"/>
      <c r="R518" s="173"/>
      <c r="S518" s="176"/>
    </row>
    <row r="519" spans="1:19">
      <c r="A519" s="172"/>
      <c r="B519" s="173" t="s">
        <v>200</v>
      </c>
      <c r="C519" s="174" t="s">
        <v>198</v>
      </c>
      <c r="D519" s="177" t="str">
        <f>+'PRODUKSI 2'!B37</f>
        <v>APRILIANI</v>
      </c>
      <c r="E519" s="173"/>
      <c r="F519" s="225"/>
      <c r="G519" s="173"/>
      <c r="H519" s="173"/>
      <c r="I519" s="176"/>
      <c r="J519" s="173"/>
      <c r="K519" s="172"/>
      <c r="L519" s="173" t="s">
        <v>200</v>
      </c>
      <c r="M519" s="174" t="s">
        <v>198</v>
      </c>
      <c r="N519" s="178" t="str">
        <f>+'PRODUKSI 2'!B38</f>
        <v>SINTA AYU LESTARI</v>
      </c>
      <c r="O519" s="173"/>
      <c r="P519" s="225"/>
      <c r="Q519" s="173"/>
      <c r="R519" s="173"/>
      <c r="S519" s="176"/>
    </row>
    <row r="520" spans="1:19" ht="15.75" thickBot="1">
      <c r="A520" s="172"/>
      <c r="B520" s="173" t="s">
        <v>201</v>
      </c>
      <c r="C520" s="174" t="s">
        <v>198</v>
      </c>
      <c r="D520" s="177" t="str">
        <f>+'PRODUKSI 2'!C37</f>
        <v>LEM A</v>
      </c>
      <c r="E520" s="173"/>
      <c r="F520" s="225"/>
      <c r="G520" s="173"/>
      <c r="H520" s="173"/>
      <c r="I520" s="176"/>
      <c r="J520" s="173"/>
      <c r="K520" s="172"/>
      <c r="L520" s="173" t="s">
        <v>201</v>
      </c>
      <c r="M520" s="174" t="s">
        <v>198</v>
      </c>
      <c r="N520" s="178" t="str">
        <f>+'PRODUKSI 2'!C38</f>
        <v>BANDING</v>
      </c>
      <c r="O520" s="179"/>
      <c r="P520" s="225"/>
      <c r="Q520" s="173"/>
      <c r="R520" s="173"/>
      <c r="S520" s="176"/>
    </row>
    <row r="521" spans="1:19" ht="10.5" customHeight="1" thickTop="1">
      <c r="A521" s="170"/>
      <c r="B521" s="182"/>
      <c r="C521" s="182"/>
      <c r="D521" s="182"/>
      <c r="E521" s="182"/>
      <c r="F521" s="182"/>
      <c r="G521" s="182"/>
      <c r="H521" s="182"/>
      <c r="I521" s="183"/>
      <c r="J521" s="169"/>
      <c r="K521" s="170"/>
      <c r="L521" s="182"/>
      <c r="M521" s="182"/>
      <c r="N521" s="182"/>
      <c r="O521" s="182"/>
      <c r="P521" s="182"/>
      <c r="Q521" s="182"/>
      <c r="R521" s="182"/>
      <c r="S521" s="183"/>
    </row>
    <row r="522" spans="1:19">
      <c r="A522" s="170"/>
      <c r="B522" s="184" t="s">
        <v>202</v>
      </c>
      <c r="C522" s="185"/>
      <c r="D522" s="185"/>
      <c r="E522" s="185"/>
      <c r="F522" s="227"/>
      <c r="G522" s="185"/>
      <c r="H522" s="185"/>
      <c r="I522" s="183"/>
      <c r="J522" s="169"/>
      <c r="K522" s="170"/>
      <c r="L522" s="184" t="s">
        <v>202</v>
      </c>
      <c r="M522" s="184"/>
      <c r="N522" s="185"/>
      <c r="O522" s="185"/>
      <c r="P522" s="227"/>
      <c r="Q522" s="185"/>
      <c r="R522" s="185"/>
      <c r="S522" s="183"/>
    </row>
    <row r="523" spans="1:19" ht="14.25" customHeight="1">
      <c r="A523" s="170"/>
      <c r="B523" s="186" t="s">
        <v>111</v>
      </c>
      <c r="C523" s="186"/>
      <c r="D523" s="186"/>
      <c r="E523" s="186"/>
      <c r="F523" s="197"/>
      <c r="G523" s="187"/>
      <c r="H523" s="187">
        <f>+'PRODUKSI 2'!H37</f>
        <v>4394855</v>
      </c>
      <c r="I523" s="188"/>
      <c r="J523" s="187"/>
      <c r="K523" s="170"/>
      <c r="L523" s="186" t="s">
        <v>111</v>
      </c>
      <c r="M523" s="186"/>
      <c r="N523" s="186"/>
      <c r="O523" s="186"/>
      <c r="P523" s="197"/>
      <c r="Q523" s="187"/>
      <c r="R523" s="187">
        <f>+'PRODUKSI 2'!H38</f>
        <v>4394855</v>
      </c>
      <c r="S523" s="188"/>
    </row>
    <row r="524" spans="1:19" ht="14.25" customHeight="1">
      <c r="A524" s="170"/>
      <c r="B524" s="186" t="s">
        <v>203</v>
      </c>
      <c r="C524" s="186"/>
      <c r="D524" s="186"/>
      <c r="E524" s="186"/>
      <c r="F524" s="197"/>
      <c r="G524" s="187"/>
      <c r="H524" s="187">
        <f>+'PRODUKSI 2'!I37</f>
        <v>0</v>
      </c>
      <c r="I524" s="188"/>
      <c r="J524" s="209"/>
      <c r="K524" s="170"/>
      <c r="L524" s="186" t="s">
        <v>203</v>
      </c>
      <c r="M524" s="186"/>
      <c r="N524" s="186"/>
      <c r="O524" s="186"/>
      <c r="P524" s="197"/>
      <c r="Q524" s="187"/>
      <c r="R524" s="187">
        <f>+'PRODUKSI 2'!I38</f>
        <v>0</v>
      </c>
      <c r="S524" s="188"/>
    </row>
    <row r="525" spans="1:19" ht="14.25" customHeight="1">
      <c r="A525" s="170"/>
      <c r="B525" s="186" t="s">
        <v>227</v>
      </c>
      <c r="C525" s="186"/>
      <c r="D525" s="186"/>
      <c r="E525" s="186"/>
      <c r="F525" s="197"/>
      <c r="G525" s="187"/>
      <c r="H525" s="187">
        <f>+'PRODUKSI 2'!J37</f>
        <v>0</v>
      </c>
      <c r="I525" s="188"/>
      <c r="J525" s="209"/>
      <c r="K525" s="170"/>
      <c r="L525" s="186" t="s">
        <v>227</v>
      </c>
      <c r="M525" s="186"/>
      <c r="N525" s="186"/>
      <c r="O525" s="186"/>
      <c r="P525" s="197"/>
      <c r="Q525" s="187"/>
      <c r="R525" s="187">
        <f>+'PRODUKSI 2'!J38</f>
        <v>0</v>
      </c>
      <c r="S525" s="188"/>
    </row>
    <row r="526" spans="1:19" ht="14.25" customHeight="1">
      <c r="A526" s="170"/>
      <c r="B526" s="186" t="s">
        <v>228</v>
      </c>
      <c r="C526" s="186"/>
      <c r="D526" s="186"/>
      <c r="E526" s="186"/>
      <c r="F526" s="197"/>
      <c r="G526" s="187"/>
      <c r="H526" s="187">
        <f>+'PRODUKSI 2'!K37</f>
        <v>0</v>
      </c>
      <c r="I526" s="188"/>
      <c r="J526" s="209"/>
      <c r="K526" s="170"/>
      <c r="L526" s="186" t="s">
        <v>228</v>
      </c>
      <c r="M526" s="186"/>
      <c r="N526" s="186"/>
      <c r="O526" s="186"/>
      <c r="P526" s="197"/>
      <c r="Q526" s="187"/>
      <c r="R526" s="187">
        <f>+'PRODUKSI 2'!K38</f>
        <v>0</v>
      </c>
      <c r="S526" s="188"/>
    </row>
    <row r="527" spans="1:19" ht="14.25" customHeight="1">
      <c r="A527" s="170"/>
      <c r="B527" s="186" t="s">
        <v>224</v>
      </c>
      <c r="C527" s="186"/>
      <c r="D527" s="186"/>
      <c r="E527" s="186"/>
      <c r="F527" s="197"/>
      <c r="G527" s="187"/>
      <c r="H527" s="187">
        <f>+'PRODUKSI 2'!AB37</f>
        <v>448215.69090000005</v>
      </c>
      <c r="I527" s="188"/>
      <c r="J527" s="209"/>
      <c r="K527" s="170"/>
      <c r="L527" s="186" t="s">
        <v>224</v>
      </c>
      <c r="M527" s="186"/>
      <c r="N527" s="186"/>
      <c r="O527" s="186"/>
      <c r="P527" s="197"/>
      <c r="Q527" s="187"/>
      <c r="R527" s="187">
        <f>+'PRODUKSI 2'!AB38</f>
        <v>448215.69090000005</v>
      </c>
      <c r="S527" s="188"/>
    </row>
    <row r="528" spans="1:19" ht="14.25" customHeight="1">
      <c r="A528" s="170"/>
      <c r="B528" s="186" t="s">
        <v>195</v>
      </c>
      <c r="C528" s="186"/>
      <c r="D528" s="187"/>
      <c r="E528" s="186"/>
      <c r="F528" s="197"/>
      <c r="G528" s="187"/>
      <c r="H528" s="187">
        <f>+'PRODUKSI 2'!U37</f>
        <v>92000</v>
      </c>
      <c r="I528" s="188"/>
      <c r="J528" s="187"/>
      <c r="K528" s="170"/>
      <c r="L528" s="186" t="s">
        <v>195</v>
      </c>
      <c r="M528" s="186"/>
      <c r="N528" s="187"/>
      <c r="O528" s="186"/>
      <c r="P528" s="197"/>
      <c r="Q528" s="187"/>
      <c r="R528" s="187">
        <f>+'PRODUKSI 2'!U38</f>
        <v>92000</v>
      </c>
      <c r="S528" s="188"/>
    </row>
    <row r="529" spans="1:20" ht="14.25" customHeight="1">
      <c r="A529" s="170"/>
      <c r="B529" s="220" t="s">
        <v>233</v>
      </c>
      <c r="C529" s="186"/>
      <c r="D529" s="187"/>
      <c r="E529" s="186"/>
      <c r="F529" s="197"/>
      <c r="G529" s="187"/>
      <c r="H529" s="187"/>
      <c r="I529" s="188"/>
      <c r="J529" s="209"/>
      <c r="K529" s="170"/>
      <c r="L529" s="220" t="s">
        <v>233</v>
      </c>
      <c r="M529" s="186"/>
      <c r="N529" s="187"/>
      <c r="O529" s="186"/>
      <c r="P529" s="197"/>
      <c r="Q529" s="187"/>
      <c r="R529" s="187"/>
      <c r="S529" s="188"/>
      <c r="T529" s="218"/>
    </row>
    <row r="530" spans="1:20" ht="14.25" customHeight="1">
      <c r="A530" s="170"/>
      <c r="B530" s="186" t="s">
        <v>206</v>
      </c>
      <c r="C530" s="186"/>
      <c r="D530" s="212">
        <v>0</v>
      </c>
      <c r="E530" s="186" t="s">
        <v>207</v>
      </c>
      <c r="F530" s="197" t="s">
        <v>205</v>
      </c>
      <c r="G530" s="187">
        <v>20592</v>
      </c>
      <c r="H530" s="187">
        <f>G530*D530</f>
        <v>0</v>
      </c>
      <c r="I530" s="188"/>
      <c r="J530" s="187"/>
      <c r="K530" s="170"/>
      <c r="L530" s="186" t="s">
        <v>206</v>
      </c>
      <c r="M530" s="186"/>
      <c r="N530" s="212">
        <v>0</v>
      </c>
      <c r="O530" s="186" t="s">
        <v>207</v>
      </c>
      <c r="P530" s="197" t="s">
        <v>205</v>
      </c>
      <c r="Q530" s="187">
        <v>20592</v>
      </c>
      <c r="R530" s="187">
        <f>Q530*N530</f>
        <v>0</v>
      </c>
      <c r="S530" s="188"/>
    </row>
    <row r="531" spans="1:20" ht="14.25" customHeight="1" thickBot="1">
      <c r="A531" s="170"/>
      <c r="B531" s="190" t="s">
        <v>208</v>
      </c>
      <c r="C531" s="190"/>
      <c r="D531" s="213">
        <v>0</v>
      </c>
      <c r="E531" s="190" t="s">
        <v>207</v>
      </c>
      <c r="F531" s="228" t="s">
        <v>205</v>
      </c>
      <c r="G531" s="192">
        <f>G530</f>
        <v>20592</v>
      </c>
      <c r="H531" s="192">
        <f>G531*D531</f>
        <v>0</v>
      </c>
      <c r="I531" s="188"/>
      <c r="J531" s="187"/>
      <c r="K531" s="170"/>
      <c r="L531" s="190" t="s">
        <v>208</v>
      </c>
      <c r="M531" s="190"/>
      <c r="N531" s="213">
        <v>0</v>
      </c>
      <c r="O531" s="190" t="s">
        <v>207</v>
      </c>
      <c r="P531" s="228" t="s">
        <v>205</v>
      </c>
      <c r="Q531" s="192">
        <f>Q530</f>
        <v>20592</v>
      </c>
      <c r="R531" s="192">
        <f>Q531*N531</f>
        <v>0</v>
      </c>
      <c r="S531" s="188"/>
    </row>
    <row r="532" spans="1:20" ht="15.75" thickBot="1">
      <c r="A532" s="170"/>
      <c r="B532" s="190" t="s">
        <v>219</v>
      </c>
      <c r="C532" s="190"/>
      <c r="D532" s="213">
        <f>SUM(D529:D531)</f>
        <v>0</v>
      </c>
      <c r="E532" s="190"/>
      <c r="F532" s="228"/>
      <c r="G532" s="192"/>
      <c r="H532" s="192">
        <f>SUM(H523:H531)</f>
        <v>4935070.6908999998</v>
      </c>
      <c r="I532" s="188"/>
      <c r="J532" s="187"/>
      <c r="K532" s="170"/>
      <c r="L532" s="190" t="s">
        <v>219</v>
      </c>
      <c r="M532" s="190"/>
      <c r="N532" s="213">
        <f>SUM(N529:N531)</f>
        <v>0</v>
      </c>
      <c r="O532" s="190"/>
      <c r="P532" s="228"/>
      <c r="Q532" s="192"/>
      <c r="R532" s="192">
        <f>SUM(R523:R531)</f>
        <v>4935070.6908999998</v>
      </c>
      <c r="S532" s="188"/>
    </row>
    <row r="533" spans="1:20">
      <c r="A533" s="170"/>
      <c r="B533" s="196" t="s">
        <v>113</v>
      </c>
      <c r="C533" s="186"/>
      <c r="D533" s="186"/>
      <c r="E533" s="186"/>
      <c r="F533" s="197"/>
      <c r="G533" s="187"/>
      <c r="H533" s="187"/>
      <c r="I533" s="188"/>
      <c r="J533" s="209"/>
      <c r="K533" s="170"/>
      <c r="L533" s="196" t="s">
        <v>113</v>
      </c>
      <c r="M533" s="186"/>
      <c r="N533" s="186"/>
      <c r="O533" s="186"/>
      <c r="P533" s="197"/>
      <c r="Q533" s="187"/>
      <c r="R533" s="187"/>
      <c r="S533" s="188"/>
    </row>
    <row r="534" spans="1:20" ht="14.25" customHeight="1">
      <c r="A534" s="170"/>
      <c r="B534" s="186" t="s">
        <v>209</v>
      </c>
      <c r="C534" s="186"/>
      <c r="D534" s="197"/>
      <c r="E534" s="186"/>
      <c r="F534" s="197"/>
      <c r="G534" s="198" t="str">
        <f>+'PRODUKSI 2'!D37</f>
        <v>TK</v>
      </c>
      <c r="H534" s="187">
        <f>+'PRODUKSI 2'!AI37</f>
        <v>0</v>
      </c>
      <c r="I534" s="188"/>
      <c r="J534" s="209"/>
      <c r="K534" s="170"/>
      <c r="L534" s="186" t="s">
        <v>209</v>
      </c>
      <c r="M534" s="186"/>
      <c r="N534" s="198"/>
      <c r="O534" s="186"/>
      <c r="P534" s="197"/>
      <c r="Q534" s="198" t="str">
        <f>+'PRODUKSI 2'!D38</f>
        <v>TK</v>
      </c>
      <c r="R534" s="187">
        <f>+'PRODUKSI 2'!AI38</f>
        <v>0</v>
      </c>
      <c r="S534" s="188"/>
    </row>
    <row r="535" spans="1:20" ht="14.25" customHeight="1">
      <c r="A535" s="170"/>
      <c r="B535" s="186" t="s">
        <v>225</v>
      </c>
      <c r="C535" s="186"/>
      <c r="D535" s="197"/>
      <c r="E535" s="186"/>
      <c r="F535" s="197"/>
      <c r="G535" s="198"/>
      <c r="H535" s="187">
        <f>+'PRODUKSI 2'!AF37+'PRODUKSI 2'!AG37</f>
        <v>48772.11</v>
      </c>
      <c r="I535" s="188"/>
      <c r="J535" s="209"/>
      <c r="K535" s="170"/>
      <c r="L535" s="186" t="s">
        <v>225</v>
      </c>
      <c r="M535" s="186"/>
      <c r="N535" s="198"/>
      <c r="O535" s="186"/>
      <c r="P535" s="197"/>
      <c r="Q535" s="198"/>
      <c r="R535" s="187">
        <f>+'PRODUKSI 2'!AF38+'PRODUKSI 2'!AG38</f>
        <v>48772.11</v>
      </c>
      <c r="S535" s="188"/>
    </row>
    <row r="536" spans="1:20" ht="14.25" customHeight="1">
      <c r="A536" s="170"/>
      <c r="B536" s="186" t="s">
        <v>226</v>
      </c>
      <c r="C536" s="186"/>
      <c r="D536" s="197"/>
      <c r="E536" s="186"/>
      <c r="F536" s="197"/>
      <c r="G536" s="198"/>
      <c r="H536" s="187">
        <f>+'PRODUKSI 2'!AD37+'PRODUKSI 2'!AE37</f>
        <v>146316.33000000002</v>
      </c>
      <c r="I536" s="188"/>
      <c r="J536" s="209"/>
      <c r="K536" s="170"/>
      <c r="L536" s="186" t="s">
        <v>226</v>
      </c>
      <c r="M536" s="186"/>
      <c r="N536" s="198"/>
      <c r="O536" s="186"/>
      <c r="P536" s="197"/>
      <c r="Q536" s="198"/>
      <c r="R536" s="187">
        <f>+'PRODUKSI 2'!AD38+'PRODUKSI 2'!AE38</f>
        <v>146316.33000000002</v>
      </c>
      <c r="S536" s="188"/>
    </row>
    <row r="537" spans="1:20" ht="14.25" customHeight="1">
      <c r="A537" s="170"/>
      <c r="B537" s="186" t="s">
        <v>103</v>
      </c>
      <c r="C537" s="186"/>
      <c r="D537" s="186"/>
      <c r="E537" s="186"/>
      <c r="F537" s="197"/>
      <c r="G537" s="198"/>
      <c r="H537" s="187">
        <f>+H527</f>
        <v>448215.69090000005</v>
      </c>
      <c r="I537" s="188"/>
      <c r="J537" s="209"/>
      <c r="K537" s="170"/>
      <c r="L537" s="186" t="s">
        <v>103</v>
      </c>
      <c r="M537" s="186"/>
      <c r="N537" s="186"/>
      <c r="O537" s="186"/>
      <c r="P537" s="197"/>
      <c r="Q537" s="187"/>
      <c r="R537" s="187">
        <f>+R527</f>
        <v>448215.69090000005</v>
      </c>
      <c r="S537" s="188"/>
    </row>
    <row r="538" spans="1:20" ht="14.25" customHeight="1" thickBot="1">
      <c r="A538" s="170"/>
      <c r="B538" s="190" t="s">
        <v>211</v>
      </c>
      <c r="C538" s="190"/>
      <c r="D538" s="190"/>
      <c r="E538" s="190"/>
      <c r="F538" s="228"/>
      <c r="G538" s="192"/>
      <c r="H538" s="192">
        <f>SUM(H534:H537)</f>
        <v>643304.13089999999</v>
      </c>
      <c r="I538" s="188"/>
      <c r="J538" s="209"/>
      <c r="K538" s="170"/>
      <c r="L538" s="190" t="s">
        <v>211</v>
      </c>
      <c r="M538" s="190"/>
      <c r="N538" s="190"/>
      <c r="O538" s="190"/>
      <c r="P538" s="228"/>
      <c r="Q538" s="192"/>
      <c r="R538" s="192">
        <f>SUM(R534:R537)</f>
        <v>643304.13089999999</v>
      </c>
      <c r="S538" s="188"/>
    </row>
    <row r="539" spans="1:20" ht="15.75" thickBot="1">
      <c r="A539" s="170"/>
      <c r="B539" s="193" t="s">
        <v>220</v>
      </c>
      <c r="C539" s="193"/>
      <c r="D539" s="193"/>
      <c r="E539" s="193"/>
      <c r="F539" s="229"/>
      <c r="G539" s="195"/>
      <c r="H539" s="195">
        <f>H532-H538</f>
        <v>4291766.5599999996</v>
      </c>
      <c r="I539" s="188"/>
      <c r="J539" s="209"/>
      <c r="K539" s="170"/>
      <c r="L539" s="193" t="s">
        <v>220</v>
      </c>
      <c r="M539" s="193"/>
      <c r="N539" s="193"/>
      <c r="O539" s="193"/>
      <c r="P539" s="229"/>
      <c r="Q539" s="195"/>
      <c r="R539" s="195">
        <f>SUM(R532-R538)</f>
        <v>4291766.5599999996</v>
      </c>
      <c r="S539" s="188"/>
    </row>
    <row r="540" spans="1:20">
      <c r="A540" s="170"/>
      <c r="B540" s="186"/>
      <c r="C540" s="186"/>
      <c r="D540" s="186"/>
      <c r="E540" s="186"/>
      <c r="F540" s="197"/>
      <c r="G540" s="187"/>
      <c r="H540" s="187"/>
      <c r="I540" s="188"/>
      <c r="J540" s="209"/>
      <c r="K540" s="170"/>
      <c r="L540" s="186"/>
      <c r="M540" s="186"/>
      <c r="N540" s="186"/>
      <c r="O540" s="186"/>
      <c r="P540" s="197"/>
      <c r="Q540" s="187"/>
      <c r="R540" s="187"/>
      <c r="S540" s="188"/>
    </row>
    <row r="541" spans="1:20" ht="15.75" thickBot="1">
      <c r="A541" s="170"/>
      <c r="B541" s="199"/>
      <c r="C541" s="190"/>
      <c r="D541" s="190"/>
      <c r="E541" s="190"/>
      <c r="F541" s="228"/>
      <c r="G541" s="192"/>
      <c r="H541" s="192"/>
      <c r="I541" s="188"/>
      <c r="J541" s="187"/>
      <c r="K541" s="170"/>
      <c r="L541" s="199"/>
      <c r="M541" s="190"/>
      <c r="N541" s="190"/>
      <c r="O541" s="190"/>
      <c r="P541" s="228"/>
      <c r="Q541" s="192"/>
      <c r="R541" s="192"/>
      <c r="S541" s="188"/>
    </row>
    <row r="542" spans="1:20" ht="15.75" thickBot="1">
      <c r="A542" s="170"/>
      <c r="B542" s="200" t="s">
        <v>212</v>
      </c>
      <c r="C542" s="200"/>
      <c r="D542" s="200"/>
      <c r="E542" s="200"/>
      <c r="F542" s="230"/>
      <c r="G542" s="201"/>
      <c r="H542" s="201">
        <f>SUM(H539-H540)</f>
        <v>4291766.5599999996</v>
      </c>
      <c r="I542" s="188"/>
      <c r="J542" s="187"/>
      <c r="K542" s="170"/>
      <c r="L542" s="200" t="s">
        <v>212</v>
      </c>
      <c r="M542" s="200"/>
      <c r="N542" s="200"/>
      <c r="O542" s="200"/>
      <c r="P542" s="230"/>
      <c r="Q542" s="201"/>
      <c r="R542" s="201">
        <f>SUM(R539-R540)</f>
        <v>4291766.5599999996</v>
      </c>
      <c r="S542" s="188"/>
    </row>
    <row r="543" spans="1:20" ht="15.75" thickTop="1">
      <c r="A543" s="170"/>
      <c r="B543" s="202" t="s">
        <v>213</v>
      </c>
      <c r="C543" s="186"/>
      <c r="D543" s="186"/>
      <c r="E543" s="186"/>
      <c r="F543" s="197"/>
      <c r="G543" s="296" t="s">
        <v>214</v>
      </c>
      <c r="H543" s="296"/>
      <c r="I543" s="188"/>
      <c r="J543" s="187"/>
      <c r="K543" s="170"/>
      <c r="L543" s="202" t="s">
        <v>213</v>
      </c>
      <c r="M543" s="186"/>
      <c r="N543" s="186"/>
      <c r="O543" s="186"/>
      <c r="P543" s="197"/>
      <c r="Q543" s="296" t="s">
        <v>214</v>
      </c>
      <c r="R543" s="296"/>
      <c r="S543" s="188"/>
    </row>
    <row r="544" spans="1:20" ht="12.75" customHeight="1">
      <c r="A544" s="170"/>
      <c r="B544" s="186"/>
      <c r="C544" s="186"/>
      <c r="D544" s="186"/>
      <c r="E544" s="186"/>
      <c r="F544" s="197"/>
      <c r="G544" s="187"/>
      <c r="H544" s="187"/>
      <c r="I544" s="188"/>
      <c r="J544" s="187"/>
      <c r="K544" s="170"/>
      <c r="L544" s="186"/>
      <c r="M544" s="186"/>
      <c r="N544" s="186"/>
      <c r="O544" s="186"/>
      <c r="P544" s="197"/>
      <c r="Q544" s="187"/>
      <c r="R544" s="187"/>
      <c r="S544" s="188"/>
    </row>
    <row r="545" spans="1:19" ht="12.75" customHeight="1">
      <c r="A545" s="170"/>
      <c r="B545" s="186"/>
      <c r="C545" s="186"/>
      <c r="D545" s="186"/>
      <c r="E545" s="186"/>
      <c r="F545" s="197"/>
      <c r="G545" s="187"/>
      <c r="H545" s="187"/>
      <c r="I545" s="188"/>
      <c r="J545" s="187"/>
      <c r="K545" s="170"/>
      <c r="L545" s="186"/>
      <c r="M545" s="186"/>
      <c r="N545" s="186"/>
      <c r="O545" s="186"/>
      <c r="P545" s="197"/>
      <c r="Q545" s="187"/>
      <c r="R545" s="187"/>
      <c r="S545" s="188"/>
    </row>
    <row r="546" spans="1:19" ht="12.75" customHeight="1">
      <c r="A546" s="170"/>
      <c r="B546" s="203" t="s">
        <v>215</v>
      </c>
      <c r="C546" s="186"/>
      <c r="D546" s="186"/>
      <c r="E546" s="186"/>
      <c r="F546" s="197"/>
      <c r="G546" s="297" t="s">
        <v>216</v>
      </c>
      <c r="H546" s="297"/>
      <c r="I546" s="188"/>
      <c r="J546" s="187"/>
      <c r="K546" s="170"/>
      <c r="L546" s="203" t="s">
        <v>215</v>
      </c>
      <c r="M546" s="186"/>
      <c r="N546" s="186"/>
      <c r="O546" s="186"/>
      <c r="P546" s="197"/>
      <c r="Q546" s="297" t="s">
        <v>216</v>
      </c>
      <c r="R546" s="297"/>
      <c r="S546" s="188"/>
    </row>
    <row r="547" spans="1:19" ht="7.5" customHeight="1">
      <c r="A547" s="204"/>
      <c r="B547" s="205"/>
      <c r="C547" s="206"/>
      <c r="D547" s="206"/>
      <c r="E547" s="206"/>
      <c r="F547" s="231"/>
      <c r="G547" s="207"/>
      <c r="H547" s="205"/>
      <c r="I547" s="208"/>
      <c r="J547" s="187"/>
      <c r="K547" s="204"/>
      <c r="L547" s="205"/>
      <c r="M547" s="206"/>
      <c r="N547" s="206"/>
      <c r="O547" s="206"/>
      <c r="P547" s="231"/>
      <c r="Q547" s="207"/>
      <c r="R547" s="205"/>
      <c r="S547" s="208"/>
    </row>
    <row r="549" spans="1:19">
      <c r="A549" s="166"/>
      <c r="B549" s="167"/>
      <c r="C549" s="167"/>
      <c r="D549" s="167"/>
      <c r="E549" s="167"/>
      <c r="F549" s="223"/>
      <c r="G549" s="167"/>
      <c r="H549" s="167"/>
      <c r="I549" s="168"/>
      <c r="J549" s="169"/>
      <c r="K549" s="166"/>
      <c r="L549" s="167"/>
      <c r="M549" s="167"/>
      <c r="N549" s="167"/>
      <c r="O549" s="167"/>
      <c r="P549" s="223"/>
      <c r="Q549" s="167"/>
      <c r="R549" s="167"/>
      <c r="S549" s="168"/>
    </row>
    <row r="550" spans="1:19">
      <c r="A550" s="170"/>
      <c r="B550" s="169"/>
      <c r="C550" s="169"/>
      <c r="D550" s="169"/>
      <c r="E550" s="169"/>
      <c r="F550" s="224"/>
      <c r="G550" s="169"/>
      <c r="H550" s="169"/>
      <c r="I550" s="171"/>
      <c r="J550" s="169"/>
      <c r="K550" s="170"/>
      <c r="L550" s="169"/>
      <c r="M550" s="169"/>
      <c r="N550" s="169"/>
      <c r="O550" s="169"/>
      <c r="P550" s="224"/>
      <c r="Q550" s="169"/>
      <c r="R550" s="169"/>
      <c r="S550" s="171"/>
    </row>
    <row r="551" spans="1:19">
      <c r="A551" s="170"/>
      <c r="B551" s="169"/>
      <c r="C551" s="169"/>
      <c r="D551" s="169"/>
      <c r="E551" s="169"/>
      <c r="F551" s="224"/>
      <c r="G551" s="169"/>
      <c r="H551" s="169"/>
      <c r="I551" s="171"/>
      <c r="J551" s="169"/>
      <c r="K551" s="170"/>
      <c r="L551" s="169"/>
      <c r="M551" s="169"/>
      <c r="N551" s="169"/>
      <c r="O551" s="169"/>
      <c r="P551" s="224"/>
      <c r="Q551" s="169"/>
      <c r="R551" s="169"/>
      <c r="S551" s="171"/>
    </row>
    <row r="552" spans="1:19">
      <c r="A552" s="170"/>
      <c r="B552" s="294" t="s">
        <v>196</v>
      </c>
      <c r="C552" s="294"/>
      <c r="D552" s="294"/>
      <c r="E552" s="294"/>
      <c r="F552" s="294"/>
      <c r="G552" s="294"/>
      <c r="H552" s="294"/>
      <c r="I552" s="295"/>
      <c r="J552" s="169"/>
      <c r="K552" s="170"/>
      <c r="L552" s="294" t="s">
        <v>196</v>
      </c>
      <c r="M552" s="294"/>
      <c r="N552" s="294"/>
      <c r="O552" s="294"/>
      <c r="P552" s="294"/>
      <c r="Q552" s="294"/>
      <c r="R552" s="294"/>
      <c r="S552" s="295"/>
    </row>
    <row r="553" spans="1:19">
      <c r="A553" s="172"/>
      <c r="B553" s="173" t="s">
        <v>197</v>
      </c>
      <c r="C553" s="174" t="s">
        <v>198</v>
      </c>
      <c r="D553" s="211">
        <v>31</v>
      </c>
      <c r="E553" s="173"/>
      <c r="F553" s="225"/>
      <c r="G553" s="173"/>
      <c r="H553" s="173"/>
      <c r="I553" s="176"/>
      <c r="J553" s="173"/>
      <c r="K553" s="172"/>
      <c r="L553" s="173" t="s">
        <v>197</v>
      </c>
      <c r="M553" s="174" t="s">
        <v>198</v>
      </c>
      <c r="N553" s="211">
        <v>32</v>
      </c>
      <c r="O553" s="175"/>
      <c r="P553" s="225"/>
      <c r="Q553" s="173"/>
      <c r="R553" s="173"/>
      <c r="S553" s="176"/>
    </row>
    <row r="554" spans="1:19">
      <c r="A554" s="172"/>
      <c r="B554" s="173" t="s">
        <v>199</v>
      </c>
      <c r="C554" s="174" t="s">
        <v>198</v>
      </c>
      <c r="D554" s="177" t="s">
        <v>229</v>
      </c>
      <c r="E554" s="173"/>
      <c r="F554" s="225"/>
      <c r="G554" s="173"/>
      <c r="H554" s="173"/>
      <c r="I554" s="176"/>
      <c r="J554" s="173"/>
      <c r="K554" s="172"/>
      <c r="L554" s="173" t="s">
        <v>199</v>
      </c>
      <c r="M554" s="174" t="s">
        <v>198</v>
      </c>
      <c r="N554" s="177" t="s">
        <v>229</v>
      </c>
      <c r="O554" s="179"/>
      <c r="P554" s="225"/>
      <c r="Q554" s="173"/>
      <c r="R554" s="173"/>
      <c r="S554" s="176"/>
    </row>
    <row r="555" spans="1:19">
      <c r="A555" s="172"/>
      <c r="B555" s="173" t="s">
        <v>200</v>
      </c>
      <c r="C555" s="174" t="s">
        <v>198</v>
      </c>
      <c r="D555" s="177" t="str">
        <f>+'PRODUKSI 2'!B39</f>
        <v>YULI</v>
      </c>
      <c r="E555" s="173"/>
      <c r="F555" s="225"/>
      <c r="G555" s="173"/>
      <c r="H555" s="173"/>
      <c r="I555" s="176"/>
      <c r="J555" s="173"/>
      <c r="K555" s="172"/>
      <c r="L555" s="173" t="s">
        <v>200</v>
      </c>
      <c r="M555" s="174" t="s">
        <v>198</v>
      </c>
      <c r="N555" s="178" t="str">
        <f>+'PRODUKSI 2'!B40</f>
        <v xml:space="preserve">NOVITA SARI </v>
      </c>
      <c r="O555" s="173"/>
      <c r="P555" s="225"/>
      <c r="Q555" s="173"/>
      <c r="R555" s="173"/>
      <c r="S555" s="176"/>
    </row>
    <row r="556" spans="1:19" ht="15.75" thickBot="1">
      <c r="A556" s="172"/>
      <c r="B556" s="173" t="s">
        <v>201</v>
      </c>
      <c r="C556" s="174" t="s">
        <v>198</v>
      </c>
      <c r="D556" s="177" t="str">
        <f>+'PRODUKSI 2'!C39</f>
        <v>BANDING</v>
      </c>
      <c r="E556" s="173"/>
      <c r="F556" s="225"/>
      <c r="G556" s="173"/>
      <c r="H556" s="173"/>
      <c r="I556" s="176"/>
      <c r="J556" s="173"/>
      <c r="K556" s="172"/>
      <c r="L556" s="173" t="s">
        <v>201</v>
      </c>
      <c r="M556" s="174" t="s">
        <v>198</v>
      </c>
      <c r="N556" s="178" t="str">
        <f>+'PRODUKSI 2'!C40</f>
        <v>LEM A</v>
      </c>
      <c r="O556" s="179"/>
      <c r="P556" s="225"/>
      <c r="Q556" s="173"/>
      <c r="R556" s="173"/>
      <c r="S556" s="176"/>
    </row>
    <row r="557" spans="1:19" ht="10.5" customHeight="1" thickTop="1">
      <c r="A557" s="170"/>
      <c r="B557" s="182"/>
      <c r="C557" s="182"/>
      <c r="D557" s="182"/>
      <c r="E557" s="182"/>
      <c r="F557" s="182"/>
      <c r="G557" s="182"/>
      <c r="H557" s="182"/>
      <c r="I557" s="183"/>
      <c r="J557" s="169"/>
      <c r="K557" s="170"/>
      <c r="L557" s="182"/>
      <c r="M557" s="182"/>
      <c r="N557" s="182"/>
      <c r="O557" s="182"/>
      <c r="P557" s="182"/>
      <c r="Q557" s="182"/>
      <c r="R557" s="182"/>
      <c r="S557" s="183"/>
    </row>
    <row r="558" spans="1:19">
      <c r="A558" s="170"/>
      <c r="B558" s="184" t="s">
        <v>202</v>
      </c>
      <c r="C558" s="185"/>
      <c r="D558" s="185"/>
      <c r="E558" s="185"/>
      <c r="F558" s="227"/>
      <c r="G558" s="185"/>
      <c r="H558" s="185"/>
      <c r="I558" s="183"/>
      <c r="J558" s="169"/>
      <c r="K558" s="170"/>
      <c r="L558" s="184" t="s">
        <v>202</v>
      </c>
      <c r="M558" s="184"/>
      <c r="N558" s="185"/>
      <c r="O558" s="185"/>
      <c r="P558" s="227"/>
      <c r="Q558" s="185"/>
      <c r="R558" s="185"/>
      <c r="S558" s="183"/>
    </row>
    <row r="559" spans="1:19" ht="14.25" customHeight="1">
      <c r="A559" s="170"/>
      <c r="B559" s="186" t="s">
        <v>111</v>
      </c>
      <c r="C559" s="186"/>
      <c r="D559" s="186"/>
      <c r="E559" s="186"/>
      <c r="F559" s="197"/>
      <c r="G559" s="187"/>
      <c r="H559" s="187">
        <f>+'PRODUKSI 2'!H39</f>
        <v>4394855</v>
      </c>
      <c r="I559" s="188"/>
      <c r="J559" s="187"/>
      <c r="K559" s="170"/>
      <c r="L559" s="186" t="s">
        <v>111</v>
      </c>
      <c r="M559" s="186"/>
      <c r="N559" s="186"/>
      <c r="O559" s="186"/>
      <c r="P559" s="197"/>
      <c r="Q559" s="187"/>
      <c r="R559" s="187">
        <f>+'PRODUKSI 2'!H40</f>
        <v>4394855</v>
      </c>
      <c r="S559" s="188"/>
    </row>
    <row r="560" spans="1:19" ht="14.25" customHeight="1">
      <c r="A560" s="170"/>
      <c r="B560" s="186" t="s">
        <v>203</v>
      </c>
      <c r="C560" s="186"/>
      <c r="D560" s="186"/>
      <c r="E560" s="186"/>
      <c r="F560" s="197"/>
      <c r="G560" s="187"/>
      <c r="H560" s="187">
        <f>+'PRODUKSI 2'!I39</f>
        <v>0</v>
      </c>
      <c r="I560" s="188"/>
      <c r="J560" s="209"/>
      <c r="K560" s="170"/>
      <c r="L560" s="186" t="s">
        <v>203</v>
      </c>
      <c r="M560" s="186"/>
      <c r="N560" s="186"/>
      <c r="O560" s="186"/>
      <c r="P560" s="197"/>
      <c r="Q560" s="187"/>
      <c r="R560" s="187">
        <f>+'PRODUKSI 2'!I40</f>
        <v>0</v>
      </c>
      <c r="S560" s="188"/>
    </row>
    <row r="561" spans="1:20" ht="14.25" customHeight="1">
      <c r="A561" s="170"/>
      <c r="B561" s="186" t="s">
        <v>227</v>
      </c>
      <c r="C561" s="186"/>
      <c r="D561" s="186"/>
      <c r="E561" s="186"/>
      <c r="F561" s="197"/>
      <c r="G561" s="187"/>
      <c r="H561" s="187">
        <f>+'PRODUKSI 2'!K39</f>
        <v>0</v>
      </c>
      <c r="I561" s="188"/>
      <c r="J561" s="209"/>
      <c r="K561" s="170"/>
      <c r="L561" s="186" t="s">
        <v>227</v>
      </c>
      <c r="M561" s="186"/>
      <c r="N561" s="186"/>
      <c r="O561" s="186"/>
      <c r="P561" s="197"/>
      <c r="Q561" s="187"/>
      <c r="R561" s="187">
        <f>+'PRODUKSI 2'!J40</f>
        <v>0</v>
      </c>
      <c r="S561" s="188"/>
    </row>
    <row r="562" spans="1:20" ht="14.25" customHeight="1">
      <c r="A562" s="170"/>
      <c r="B562" s="186" t="s">
        <v>228</v>
      </c>
      <c r="C562" s="186"/>
      <c r="D562" s="186"/>
      <c r="E562" s="186"/>
      <c r="F562" s="197"/>
      <c r="G562" s="187"/>
      <c r="H562" s="187">
        <f>+'PRODUKSI 2'!K39</f>
        <v>0</v>
      </c>
      <c r="I562" s="188"/>
      <c r="J562" s="209"/>
      <c r="K562" s="170"/>
      <c r="L562" s="186" t="s">
        <v>228</v>
      </c>
      <c r="M562" s="186"/>
      <c r="N562" s="186"/>
      <c r="O562" s="186"/>
      <c r="P562" s="197"/>
      <c r="Q562" s="187"/>
      <c r="R562" s="187">
        <f>+'PRODUKSI 2'!K40</f>
        <v>0</v>
      </c>
      <c r="S562" s="188"/>
    </row>
    <row r="563" spans="1:20" ht="14.25" customHeight="1">
      <c r="A563" s="170"/>
      <c r="B563" s="186" t="s">
        <v>224</v>
      </c>
      <c r="C563" s="186"/>
      <c r="D563" s="186"/>
      <c r="E563" s="186"/>
      <c r="F563" s="197"/>
      <c r="G563" s="187"/>
      <c r="H563" s="187">
        <f>+'PRODUKSI 2'!AB39</f>
        <v>448215.69090000005</v>
      </c>
      <c r="I563" s="188"/>
      <c r="J563" s="209"/>
      <c r="K563" s="170"/>
      <c r="L563" s="186" t="s">
        <v>224</v>
      </c>
      <c r="M563" s="186"/>
      <c r="N563" s="186"/>
      <c r="O563" s="186"/>
      <c r="P563" s="197"/>
      <c r="Q563" s="187"/>
      <c r="R563" s="187">
        <f>+'PRODUKSI 2'!AB40</f>
        <v>448215.69090000005</v>
      </c>
      <c r="S563" s="188"/>
    </row>
    <row r="564" spans="1:20" ht="14.25" customHeight="1">
      <c r="A564" s="170"/>
      <c r="B564" s="186" t="s">
        <v>195</v>
      </c>
      <c r="C564" s="186"/>
      <c r="D564" s="187"/>
      <c r="E564" s="186"/>
      <c r="F564" s="197"/>
      <c r="G564" s="187"/>
      <c r="H564" s="187">
        <f>+'PRODUKSI 2'!U39</f>
        <v>92000</v>
      </c>
      <c r="I564" s="188"/>
      <c r="J564" s="187"/>
      <c r="K564" s="170"/>
      <c r="L564" s="186" t="s">
        <v>195</v>
      </c>
      <c r="M564" s="186"/>
      <c r="N564" s="187"/>
      <c r="O564" s="186"/>
      <c r="P564" s="197"/>
      <c r="Q564" s="187"/>
      <c r="R564" s="187">
        <f>+'PRODUKSI 2'!U40</f>
        <v>92000</v>
      </c>
      <c r="S564" s="188"/>
    </row>
    <row r="565" spans="1:20" ht="14.25" customHeight="1">
      <c r="A565" s="170"/>
      <c r="B565" s="220" t="s">
        <v>233</v>
      </c>
      <c r="C565" s="186"/>
      <c r="D565" s="187"/>
      <c r="E565" s="186"/>
      <c r="F565" s="197"/>
      <c r="G565" s="187"/>
      <c r="H565" s="187"/>
      <c r="I565" s="188"/>
      <c r="J565" s="209"/>
      <c r="K565" s="170"/>
      <c r="L565" s="220" t="s">
        <v>233</v>
      </c>
      <c r="M565" s="186"/>
      <c r="N565" s="187"/>
      <c r="O565" s="186"/>
      <c r="P565" s="197"/>
      <c r="Q565" s="187"/>
      <c r="R565" s="187"/>
      <c r="S565" s="188"/>
      <c r="T565" s="218"/>
    </row>
    <row r="566" spans="1:20" ht="14.25" customHeight="1">
      <c r="A566" s="170"/>
      <c r="B566" s="186" t="s">
        <v>206</v>
      </c>
      <c r="C566" s="186"/>
      <c r="D566" s="212">
        <v>0</v>
      </c>
      <c r="E566" s="186" t="s">
        <v>207</v>
      </c>
      <c r="F566" s="197" t="s">
        <v>205</v>
      </c>
      <c r="G566" s="187">
        <v>20592</v>
      </c>
      <c r="H566" s="187">
        <f>G566*D566</f>
        <v>0</v>
      </c>
      <c r="I566" s="188"/>
      <c r="J566" s="187"/>
      <c r="K566" s="170"/>
      <c r="L566" s="186" t="s">
        <v>206</v>
      </c>
      <c r="M566" s="186"/>
      <c r="N566" s="212">
        <v>0</v>
      </c>
      <c r="O566" s="186" t="s">
        <v>207</v>
      </c>
      <c r="P566" s="197" t="s">
        <v>205</v>
      </c>
      <c r="Q566" s="187">
        <v>20592</v>
      </c>
      <c r="R566" s="187">
        <f>Q566*N566</f>
        <v>0</v>
      </c>
      <c r="S566" s="188"/>
    </row>
    <row r="567" spans="1:20" ht="14.25" customHeight="1" thickBot="1">
      <c r="A567" s="170"/>
      <c r="B567" s="190" t="s">
        <v>208</v>
      </c>
      <c r="C567" s="190"/>
      <c r="D567" s="213">
        <v>0</v>
      </c>
      <c r="E567" s="190" t="s">
        <v>207</v>
      </c>
      <c r="F567" s="228" t="s">
        <v>205</v>
      </c>
      <c r="G567" s="192">
        <f>G566</f>
        <v>20592</v>
      </c>
      <c r="H567" s="192">
        <f>G567*D567</f>
        <v>0</v>
      </c>
      <c r="I567" s="188"/>
      <c r="J567" s="187"/>
      <c r="K567" s="170"/>
      <c r="L567" s="190" t="s">
        <v>208</v>
      </c>
      <c r="M567" s="190"/>
      <c r="N567" s="213">
        <v>0</v>
      </c>
      <c r="O567" s="190" t="s">
        <v>207</v>
      </c>
      <c r="P567" s="228" t="s">
        <v>205</v>
      </c>
      <c r="Q567" s="192">
        <f>Q566</f>
        <v>20592</v>
      </c>
      <c r="R567" s="192">
        <f>Q567*N567</f>
        <v>0</v>
      </c>
      <c r="S567" s="188"/>
    </row>
    <row r="568" spans="1:20" ht="15.75" thickBot="1">
      <c r="A568" s="170"/>
      <c r="B568" s="190" t="s">
        <v>219</v>
      </c>
      <c r="C568" s="190"/>
      <c r="D568" s="213">
        <f>SUM(D565:D567)</f>
        <v>0</v>
      </c>
      <c r="E568" s="190"/>
      <c r="F568" s="228"/>
      <c r="G568" s="192"/>
      <c r="H568" s="192">
        <f>SUM(H559:H567)</f>
        <v>4935070.6908999998</v>
      </c>
      <c r="I568" s="188"/>
      <c r="J568" s="187"/>
      <c r="K568" s="170"/>
      <c r="L568" s="190" t="s">
        <v>219</v>
      </c>
      <c r="M568" s="190"/>
      <c r="N568" s="213">
        <f>SUM(N565:N567)</f>
        <v>0</v>
      </c>
      <c r="O568" s="190"/>
      <c r="P568" s="228"/>
      <c r="Q568" s="192"/>
      <c r="R568" s="192">
        <f>SUM(R559:R567)</f>
        <v>4935070.6908999998</v>
      </c>
      <c r="S568" s="188"/>
    </row>
    <row r="569" spans="1:20">
      <c r="A569" s="170"/>
      <c r="B569" s="196" t="s">
        <v>113</v>
      </c>
      <c r="C569" s="186"/>
      <c r="D569" s="186"/>
      <c r="E569" s="186"/>
      <c r="F569" s="197"/>
      <c r="G569" s="187"/>
      <c r="H569" s="187"/>
      <c r="I569" s="188"/>
      <c r="J569" s="209"/>
      <c r="K569" s="170"/>
      <c r="L569" s="196" t="s">
        <v>113</v>
      </c>
      <c r="M569" s="186"/>
      <c r="N569" s="186"/>
      <c r="O569" s="186"/>
      <c r="P569" s="197"/>
      <c r="Q569" s="187"/>
      <c r="R569" s="187"/>
      <c r="S569" s="188"/>
    </row>
    <row r="570" spans="1:20" ht="14.25" customHeight="1">
      <c r="A570" s="170"/>
      <c r="B570" s="186" t="s">
        <v>209</v>
      </c>
      <c r="C570" s="186"/>
      <c r="D570" s="197"/>
      <c r="E570" s="186"/>
      <c r="F570" s="197"/>
      <c r="G570" s="198" t="str">
        <f>+'PRODUKSI 2'!D39</f>
        <v>TK</v>
      </c>
      <c r="H570" s="187">
        <f>+'PRODUKSI 2'!AI38</f>
        <v>0</v>
      </c>
      <c r="I570" s="188"/>
      <c r="J570" s="209"/>
      <c r="K570" s="170"/>
      <c r="L570" s="186" t="s">
        <v>209</v>
      </c>
      <c r="M570" s="186"/>
      <c r="N570" s="198"/>
      <c r="O570" s="186"/>
      <c r="P570" s="197"/>
      <c r="Q570" s="198" t="str">
        <f>+'PRODUKSI 2'!D40</f>
        <v>TK</v>
      </c>
      <c r="R570" s="187">
        <f>+'PRODUKSI 2'!AI40</f>
        <v>0</v>
      </c>
      <c r="S570" s="188"/>
    </row>
    <row r="571" spans="1:20" ht="14.25" customHeight="1">
      <c r="A571" s="170"/>
      <c r="B571" s="186" t="s">
        <v>225</v>
      </c>
      <c r="C571" s="186"/>
      <c r="D571" s="197"/>
      <c r="E571" s="186"/>
      <c r="F571" s="197"/>
      <c r="G571" s="198"/>
      <c r="H571" s="187">
        <f>+'PRODUKSI 2'!AF38+'PRODUKSI 2'!AG38</f>
        <v>48772.11</v>
      </c>
      <c r="I571" s="188"/>
      <c r="J571" s="209"/>
      <c r="K571" s="170"/>
      <c r="L571" s="186" t="s">
        <v>225</v>
      </c>
      <c r="M571" s="186"/>
      <c r="N571" s="198"/>
      <c r="O571" s="186"/>
      <c r="P571" s="197"/>
      <c r="Q571" s="198"/>
      <c r="R571" s="187">
        <f>+'PRODUKSI 2'!AF40+'PRODUKSI 2'!AG40</f>
        <v>48772.11</v>
      </c>
      <c r="S571" s="188"/>
    </row>
    <row r="572" spans="1:20" ht="14.25" customHeight="1">
      <c r="A572" s="170"/>
      <c r="B572" s="186" t="s">
        <v>226</v>
      </c>
      <c r="C572" s="186"/>
      <c r="D572" s="197"/>
      <c r="E572" s="186"/>
      <c r="F572" s="197"/>
      <c r="G572" s="198"/>
      <c r="H572" s="187">
        <f>+'PRODUKSI 2'!AD38+'PRODUKSI 2'!AE38</f>
        <v>146316.33000000002</v>
      </c>
      <c r="I572" s="188"/>
      <c r="J572" s="209"/>
      <c r="K572" s="170"/>
      <c r="L572" s="186" t="s">
        <v>226</v>
      </c>
      <c r="M572" s="186"/>
      <c r="N572" s="198"/>
      <c r="O572" s="186"/>
      <c r="P572" s="197"/>
      <c r="Q572" s="198"/>
      <c r="R572" s="187">
        <f>+'PRODUKSI 2'!AD40+'PRODUKSI 2'!AE40</f>
        <v>146316.33000000002</v>
      </c>
      <c r="S572" s="188"/>
    </row>
    <row r="573" spans="1:20" ht="14.25" customHeight="1">
      <c r="A573" s="170"/>
      <c r="B573" s="186" t="s">
        <v>103</v>
      </c>
      <c r="C573" s="186"/>
      <c r="D573" s="186"/>
      <c r="E573" s="186"/>
      <c r="F573" s="197"/>
      <c r="G573" s="198"/>
      <c r="H573" s="187">
        <f>+H563</f>
        <v>448215.69090000005</v>
      </c>
      <c r="I573" s="188"/>
      <c r="J573" s="209"/>
      <c r="K573" s="170"/>
      <c r="L573" s="186" t="s">
        <v>103</v>
      </c>
      <c r="M573" s="186"/>
      <c r="N573" s="186"/>
      <c r="O573" s="186"/>
      <c r="P573" s="197"/>
      <c r="Q573" s="187"/>
      <c r="R573" s="187">
        <f>+R563</f>
        <v>448215.69090000005</v>
      </c>
      <c r="S573" s="188"/>
    </row>
    <row r="574" spans="1:20" ht="14.25" customHeight="1" thickBot="1">
      <c r="A574" s="170"/>
      <c r="B574" s="190" t="s">
        <v>211</v>
      </c>
      <c r="C574" s="190"/>
      <c r="D574" s="190"/>
      <c r="E574" s="190"/>
      <c r="F574" s="228"/>
      <c r="G574" s="192"/>
      <c r="H574" s="192">
        <f>SUM(H570:H573)</f>
        <v>643304.13089999999</v>
      </c>
      <c r="I574" s="188"/>
      <c r="J574" s="209"/>
      <c r="K574" s="170"/>
      <c r="L574" s="190" t="s">
        <v>211</v>
      </c>
      <c r="M574" s="190"/>
      <c r="N574" s="190"/>
      <c r="O574" s="190"/>
      <c r="P574" s="228"/>
      <c r="Q574" s="192"/>
      <c r="R574" s="192">
        <f>SUM(R570:R573)</f>
        <v>643304.13089999999</v>
      </c>
      <c r="S574" s="188"/>
    </row>
    <row r="575" spans="1:20" ht="15.75" thickBot="1">
      <c r="A575" s="170"/>
      <c r="B575" s="193" t="s">
        <v>220</v>
      </c>
      <c r="C575" s="193"/>
      <c r="D575" s="193"/>
      <c r="E575" s="193"/>
      <c r="F575" s="229"/>
      <c r="G575" s="195"/>
      <c r="H575" s="195">
        <f>H568-H574</f>
        <v>4291766.5599999996</v>
      </c>
      <c r="I575" s="188"/>
      <c r="J575" s="209"/>
      <c r="K575" s="170"/>
      <c r="L575" s="193" t="s">
        <v>220</v>
      </c>
      <c r="M575" s="193"/>
      <c r="N575" s="193"/>
      <c r="O575" s="193"/>
      <c r="P575" s="229"/>
      <c r="Q575" s="195"/>
      <c r="R575" s="195">
        <f>SUM(R568-R574)</f>
        <v>4291766.5599999996</v>
      </c>
      <c r="S575" s="188"/>
    </row>
    <row r="576" spans="1:20">
      <c r="A576" s="170"/>
      <c r="B576" s="186"/>
      <c r="C576" s="186"/>
      <c r="D576" s="186"/>
      <c r="E576" s="186"/>
      <c r="F576" s="197"/>
      <c r="G576" s="187"/>
      <c r="H576" s="187"/>
      <c r="I576" s="188"/>
      <c r="J576" s="209"/>
      <c r="K576" s="170"/>
      <c r="L576" s="186"/>
      <c r="M576" s="186"/>
      <c r="N576" s="186"/>
      <c r="O576" s="186"/>
      <c r="P576" s="197"/>
      <c r="Q576" s="187"/>
      <c r="R576" s="187"/>
      <c r="S576" s="188"/>
    </row>
    <row r="577" spans="1:19" ht="15.75" thickBot="1">
      <c r="A577" s="170"/>
      <c r="B577" s="199"/>
      <c r="C577" s="190"/>
      <c r="D577" s="190"/>
      <c r="E577" s="190"/>
      <c r="F577" s="228"/>
      <c r="G577" s="192"/>
      <c r="H577" s="192"/>
      <c r="I577" s="188"/>
      <c r="J577" s="187"/>
      <c r="K577" s="170"/>
      <c r="L577" s="199"/>
      <c r="M577" s="190"/>
      <c r="N577" s="190"/>
      <c r="O577" s="190"/>
      <c r="P577" s="228"/>
      <c r="Q577" s="192"/>
      <c r="R577" s="192"/>
      <c r="S577" s="188"/>
    </row>
    <row r="578" spans="1:19" ht="15.75" thickBot="1">
      <c r="A578" s="170"/>
      <c r="B578" s="200" t="s">
        <v>212</v>
      </c>
      <c r="C578" s="200"/>
      <c r="D578" s="200"/>
      <c r="E578" s="200"/>
      <c r="F578" s="230"/>
      <c r="G578" s="201"/>
      <c r="H578" s="201">
        <f>SUM(H575-H576)</f>
        <v>4291766.5599999996</v>
      </c>
      <c r="I578" s="188"/>
      <c r="J578" s="187"/>
      <c r="K578" s="170"/>
      <c r="L578" s="200" t="s">
        <v>212</v>
      </c>
      <c r="M578" s="200"/>
      <c r="N578" s="200"/>
      <c r="O578" s="200"/>
      <c r="P578" s="230"/>
      <c r="Q578" s="201"/>
      <c r="R578" s="201">
        <f>SUM(R575-R576)</f>
        <v>4291766.5599999996</v>
      </c>
      <c r="S578" s="188"/>
    </row>
    <row r="579" spans="1:19" ht="15.75" thickTop="1">
      <c r="A579" s="170"/>
      <c r="B579" s="202" t="s">
        <v>213</v>
      </c>
      <c r="C579" s="186"/>
      <c r="D579" s="186"/>
      <c r="E579" s="186"/>
      <c r="F579" s="197"/>
      <c r="G579" s="296" t="s">
        <v>214</v>
      </c>
      <c r="H579" s="296"/>
      <c r="I579" s="188"/>
      <c r="J579" s="187"/>
      <c r="K579" s="170"/>
      <c r="L579" s="202" t="s">
        <v>213</v>
      </c>
      <c r="M579" s="186"/>
      <c r="N579" s="186"/>
      <c r="O579" s="186"/>
      <c r="P579" s="197"/>
      <c r="Q579" s="296" t="s">
        <v>214</v>
      </c>
      <c r="R579" s="296"/>
      <c r="S579" s="188"/>
    </row>
    <row r="580" spans="1:19" ht="12.75" customHeight="1">
      <c r="A580" s="170"/>
      <c r="B580" s="186"/>
      <c r="C580" s="186"/>
      <c r="D580" s="186"/>
      <c r="E580" s="186"/>
      <c r="F580" s="197"/>
      <c r="G580" s="187"/>
      <c r="H580" s="187"/>
      <c r="I580" s="188"/>
      <c r="J580" s="187"/>
      <c r="K580" s="170"/>
      <c r="L580" s="186"/>
      <c r="M580" s="186"/>
      <c r="N580" s="186"/>
      <c r="O580" s="186"/>
      <c r="P580" s="197"/>
      <c r="Q580" s="187"/>
      <c r="R580" s="187"/>
      <c r="S580" s="188"/>
    </row>
    <row r="581" spans="1:19" ht="12.75" customHeight="1">
      <c r="A581" s="170"/>
      <c r="B581" s="186"/>
      <c r="C581" s="186"/>
      <c r="D581" s="186"/>
      <c r="E581" s="186"/>
      <c r="F581" s="197"/>
      <c r="G581" s="187"/>
      <c r="H581" s="187"/>
      <c r="I581" s="188"/>
      <c r="J581" s="187"/>
      <c r="K581" s="170"/>
      <c r="L581" s="186"/>
      <c r="M581" s="186"/>
      <c r="N581" s="186"/>
      <c r="O581" s="186"/>
      <c r="P581" s="197"/>
      <c r="Q581" s="187"/>
      <c r="R581" s="187"/>
      <c r="S581" s="188"/>
    </row>
    <row r="582" spans="1:19" ht="12.75" customHeight="1">
      <c r="A582" s="170"/>
      <c r="B582" s="203" t="s">
        <v>215</v>
      </c>
      <c r="C582" s="186"/>
      <c r="D582" s="186"/>
      <c r="E582" s="186"/>
      <c r="F582" s="197"/>
      <c r="G582" s="297" t="s">
        <v>216</v>
      </c>
      <c r="H582" s="297"/>
      <c r="I582" s="188"/>
      <c r="J582" s="187"/>
      <c r="K582" s="170"/>
      <c r="L582" s="203" t="s">
        <v>215</v>
      </c>
      <c r="M582" s="186"/>
      <c r="N582" s="186"/>
      <c r="O582" s="186"/>
      <c r="P582" s="197"/>
      <c r="Q582" s="297" t="s">
        <v>216</v>
      </c>
      <c r="R582" s="297"/>
      <c r="S582" s="188"/>
    </row>
    <row r="583" spans="1:19" ht="7.5" customHeight="1">
      <c r="A583" s="204"/>
      <c r="B583" s="205"/>
      <c r="C583" s="206"/>
      <c r="D583" s="206"/>
      <c r="E583" s="206"/>
      <c r="F583" s="231"/>
      <c r="G583" s="207"/>
      <c r="H583" s="205"/>
      <c r="I583" s="208"/>
      <c r="J583" s="187"/>
      <c r="K583" s="204"/>
      <c r="L583" s="205"/>
      <c r="M583" s="206"/>
      <c r="N583" s="206"/>
      <c r="O583" s="206"/>
      <c r="P583" s="231"/>
      <c r="Q583" s="207"/>
      <c r="R583" s="205"/>
      <c r="S583" s="208"/>
    </row>
    <row r="585" spans="1:19">
      <c r="A585" s="166"/>
      <c r="B585" s="167"/>
      <c r="C585" s="167"/>
      <c r="D585" s="167"/>
      <c r="E585" s="167"/>
      <c r="F585" s="223"/>
      <c r="G585" s="167"/>
      <c r="H585" s="167"/>
      <c r="I585" s="168"/>
      <c r="J585" s="169"/>
      <c r="K585" s="166"/>
      <c r="L585" s="167"/>
      <c r="M585" s="167"/>
      <c r="N585" s="167"/>
      <c r="O585" s="167"/>
      <c r="P585" s="223"/>
      <c r="Q585" s="167"/>
      <c r="R585" s="167"/>
      <c r="S585" s="168"/>
    </row>
    <row r="586" spans="1:19">
      <c r="A586" s="170"/>
      <c r="B586" s="169"/>
      <c r="C586" s="169"/>
      <c r="D586" s="169"/>
      <c r="E586" s="169"/>
      <c r="F586" s="224"/>
      <c r="G586" s="169"/>
      <c r="H586" s="169"/>
      <c r="I586" s="171"/>
      <c r="J586" s="169"/>
      <c r="K586" s="170"/>
      <c r="L586" s="169"/>
      <c r="M586" s="169"/>
      <c r="N586" s="169"/>
      <c r="O586" s="169"/>
      <c r="P586" s="224"/>
      <c r="Q586" s="169"/>
      <c r="R586" s="169"/>
      <c r="S586" s="171"/>
    </row>
    <row r="587" spans="1:19">
      <c r="A587" s="170"/>
      <c r="B587" s="169"/>
      <c r="C587" s="169"/>
      <c r="D587" s="169"/>
      <c r="E587" s="169"/>
      <c r="F587" s="224"/>
      <c r="G587" s="169"/>
      <c r="H587" s="169"/>
      <c r="I587" s="171"/>
      <c r="J587" s="169"/>
      <c r="K587" s="170"/>
      <c r="L587" s="169"/>
      <c r="M587" s="169"/>
      <c r="N587" s="169"/>
      <c r="O587" s="169"/>
      <c r="P587" s="224"/>
      <c r="Q587" s="169"/>
      <c r="R587" s="169"/>
      <c r="S587" s="171"/>
    </row>
    <row r="588" spans="1:19">
      <c r="A588" s="170"/>
      <c r="B588" s="294" t="s">
        <v>196</v>
      </c>
      <c r="C588" s="294"/>
      <c r="D588" s="294"/>
      <c r="E588" s="294"/>
      <c r="F588" s="294"/>
      <c r="G588" s="294"/>
      <c r="H588" s="294"/>
      <c r="I588" s="295"/>
      <c r="J588" s="169"/>
      <c r="K588" s="170"/>
      <c r="L588" s="294" t="s">
        <v>196</v>
      </c>
      <c r="M588" s="294"/>
      <c r="N588" s="294"/>
      <c r="O588" s="294"/>
      <c r="P588" s="294"/>
      <c r="Q588" s="294"/>
      <c r="R588" s="294"/>
      <c r="S588" s="295"/>
    </row>
    <row r="589" spans="1:19">
      <c r="A589" s="172"/>
      <c r="B589" s="173" t="s">
        <v>197</v>
      </c>
      <c r="C589" s="174" t="s">
        <v>198</v>
      </c>
      <c r="D589" s="211">
        <v>33</v>
      </c>
      <c r="E589" s="173"/>
      <c r="F589" s="225"/>
      <c r="G589" s="173"/>
      <c r="H589" s="173"/>
      <c r="I589" s="176"/>
      <c r="J589" s="173"/>
      <c r="K589" s="172"/>
      <c r="L589" s="173" t="s">
        <v>197</v>
      </c>
      <c r="M589" s="174" t="s">
        <v>198</v>
      </c>
      <c r="N589" s="211">
        <v>34</v>
      </c>
      <c r="O589" s="175"/>
      <c r="P589" s="225"/>
      <c r="Q589" s="173"/>
      <c r="R589" s="173"/>
      <c r="S589" s="176"/>
    </row>
    <row r="590" spans="1:19">
      <c r="A590" s="172"/>
      <c r="B590" s="173" t="s">
        <v>199</v>
      </c>
      <c r="C590" s="174" t="s">
        <v>198</v>
      </c>
      <c r="D590" s="177" t="s">
        <v>229</v>
      </c>
      <c r="E590" s="173"/>
      <c r="F590" s="225"/>
      <c r="G590" s="173"/>
      <c r="H590" s="173"/>
      <c r="I590" s="176"/>
      <c r="J590" s="173"/>
      <c r="K590" s="172"/>
      <c r="L590" s="173" t="s">
        <v>199</v>
      </c>
      <c r="M590" s="174" t="s">
        <v>198</v>
      </c>
      <c r="N590" s="177" t="s">
        <v>229</v>
      </c>
      <c r="O590" s="179"/>
      <c r="P590" s="225"/>
      <c r="Q590" s="173"/>
      <c r="R590" s="173"/>
      <c r="S590" s="176"/>
    </row>
    <row r="591" spans="1:19">
      <c r="A591" s="172"/>
      <c r="B591" s="173" t="s">
        <v>200</v>
      </c>
      <c r="C591" s="174" t="s">
        <v>198</v>
      </c>
      <c r="D591" s="177" t="str">
        <f>+'PRODUKSI 2'!B41</f>
        <v>RESTI APRILIA</v>
      </c>
      <c r="E591" s="173"/>
      <c r="F591" s="225"/>
      <c r="G591" s="173"/>
      <c r="H591" s="173"/>
      <c r="I591" s="176"/>
      <c r="J591" s="173"/>
      <c r="K591" s="172"/>
      <c r="L591" s="173" t="s">
        <v>200</v>
      </c>
      <c r="M591" s="174" t="s">
        <v>198</v>
      </c>
      <c r="N591" s="178" t="str">
        <f>+'PRODUKSI 2'!B42</f>
        <v>AMELIA PUTRI RAHAYU</v>
      </c>
      <c r="O591" s="173"/>
      <c r="P591" s="225"/>
      <c r="Q591" s="173"/>
      <c r="R591" s="173"/>
      <c r="S591" s="176"/>
    </row>
    <row r="592" spans="1:19" ht="15.75" thickBot="1">
      <c r="A592" s="172"/>
      <c r="B592" s="173" t="s">
        <v>201</v>
      </c>
      <c r="C592" s="174" t="s">
        <v>198</v>
      </c>
      <c r="D592" s="177" t="str">
        <f>+'PRODUKSI 2'!C41</f>
        <v>BANDING</v>
      </c>
      <c r="E592" s="173"/>
      <c r="F592" s="225"/>
      <c r="G592" s="173"/>
      <c r="H592" s="173"/>
      <c r="I592" s="176"/>
      <c r="J592" s="173"/>
      <c r="K592" s="172"/>
      <c r="L592" s="173" t="s">
        <v>201</v>
      </c>
      <c r="M592" s="174" t="s">
        <v>198</v>
      </c>
      <c r="N592" s="178" t="str">
        <f>+'PRODUKSI 2'!C42</f>
        <v>BANDING</v>
      </c>
      <c r="O592" s="179"/>
      <c r="P592" s="225"/>
      <c r="Q592" s="173"/>
      <c r="R592" s="173"/>
      <c r="S592" s="176"/>
    </row>
    <row r="593" spans="1:20" ht="10.5" customHeight="1" thickTop="1">
      <c r="A593" s="170"/>
      <c r="B593" s="182"/>
      <c r="C593" s="182"/>
      <c r="D593" s="182"/>
      <c r="E593" s="182"/>
      <c r="F593" s="182"/>
      <c r="G593" s="182"/>
      <c r="H593" s="182"/>
      <c r="I593" s="183"/>
      <c r="J593" s="169"/>
      <c r="K593" s="170"/>
      <c r="L593" s="182"/>
      <c r="M593" s="182"/>
      <c r="N593" s="182"/>
      <c r="O593" s="182"/>
      <c r="P593" s="182"/>
      <c r="Q593" s="182"/>
      <c r="R593" s="182"/>
      <c r="S593" s="183"/>
    </row>
    <row r="594" spans="1:20">
      <c r="A594" s="170"/>
      <c r="B594" s="184" t="s">
        <v>202</v>
      </c>
      <c r="C594" s="185"/>
      <c r="D594" s="185"/>
      <c r="E594" s="185"/>
      <c r="F594" s="227"/>
      <c r="G594" s="185"/>
      <c r="H594" s="185"/>
      <c r="I594" s="183"/>
      <c r="J594" s="169"/>
      <c r="K594" s="170"/>
      <c r="L594" s="184" t="s">
        <v>202</v>
      </c>
      <c r="M594" s="184"/>
      <c r="N594" s="185"/>
      <c r="O594" s="185"/>
      <c r="P594" s="227"/>
      <c r="Q594" s="185"/>
      <c r="R594" s="185"/>
      <c r="S594" s="183"/>
    </row>
    <row r="595" spans="1:20" ht="14.25" customHeight="1">
      <c r="A595" s="170"/>
      <c r="B595" s="186" t="s">
        <v>111</v>
      </c>
      <c r="C595" s="186"/>
      <c r="D595" s="186"/>
      <c r="E595" s="186"/>
      <c r="F595" s="197"/>
      <c r="G595" s="187"/>
      <c r="H595" s="187">
        <f>+'PRODUKSI 2'!H41</f>
        <v>4394855</v>
      </c>
      <c r="I595" s="188"/>
      <c r="J595" s="187"/>
      <c r="K595" s="170"/>
      <c r="L595" s="186" t="s">
        <v>111</v>
      </c>
      <c r="M595" s="186"/>
      <c r="N595" s="186"/>
      <c r="O595" s="186"/>
      <c r="P595" s="197"/>
      <c r="Q595" s="187"/>
      <c r="R595" s="187">
        <f>+'PRODUKSI 2'!H42</f>
        <v>4394855</v>
      </c>
      <c r="S595" s="188"/>
    </row>
    <row r="596" spans="1:20" ht="14.25" customHeight="1">
      <c r="A596" s="170"/>
      <c r="B596" s="186" t="s">
        <v>203</v>
      </c>
      <c r="C596" s="186"/>
      <c r="D596" s="186"/>
      <c r="E596" s="186"/>
      <c r="F596" s="197"/>
      <c r="G596" s="187"/>
      <c r="H596" s="187">
        <f>+'PRODUKSI 2'!I41</f>
        <v>0</v>
      </c>
      <c r="I596" s="188"/>
      <c r="J596" s="209"/>
      <c r="K596" s="170"/>
      <c r="L596" s="186" t="s">
        <v>203</v>
      </c>
      <c r="M596" s="186"/>
      <c r="N596" s="186"/>
      <c r="O596" s="186"/>
      <c r="P596" s="197"/>
      <c r="Q596" s="187"/>
      <c r="R596" s="187">
        <f>+'PRODUKSI 2'!I42</f>
        <v>0</v>
      </c>
      <c r="S596" s="188"/>
    </row>
    <row r="597" spans="1:20" ht="14.25" customHeight="1">
      <c r="A597" s="170"/>
      <c r="B597" s="186" t="s">
        <v>227</v>
      </c>
      <c r="C597" s="186"/>
      <c r="D597" s="186"/>
      <c r="E597" s="186"/>
      <c r="F597" s="197"/>
      <c r="G597" s="187"/>
      <c r="H597" s="187">
        <f>+'PRODUKSI 2'!J41</f>
        <v>0</v>
      </c>
      <c r="I597" s="188"/>
      <c r="J597" s="209"/>
      <c r="K597" s="170"/>
      <c r="L597" s="186" t="s">
        <v>227</v>
      </c>
      <c r="M597" s="186"/>
      <c r="N597" s="186"/>
      <c r="O597" s="186"/>
      <c r="P597" s="197"/>
      <c r="Q597" s="187"/>
      <c r="R597" s="187">
        <f>+'PRODUKSI 2'!J42</f>
        <v>0</v>
      </c>
      <c r="S597" s="188"/>
    </row>
    <row r="598" spans="1:20" ht="14.25" customHeight="1">
      <c r="A598" s="170"/>
      <c r="B598" s="186" t="s">
        <v>228</v>
      </c>
      <c r="C598" s="186"/>
      <c r="D598" s="186"/>
      <c r="E598" s="186"/>
      <c r="F598" s="197"/>
      <c r="G598" s="187"/>
      <c r="H598" s="187">
        <f>+'PRODUKSI 2'!K41</f>
        <v>0</v>
      </c>
      <c r="I598" s="188"/>
      <c r="J598" s="209"/>
      <c r="K598" s="170"/>
      <c r="L598" s="186" t="s">
        <v>228</v>
      </c>
      <c r="M598" s="186"/>
      <c r="N598" s="186"/>
      <c r="O598" s="186"/>
      <c r="P598" s="197"/>
      <c r="Q598" s="187"/>
      <c r="R598" s="187">
        <f>+'PRODUKSI 2'!K42</f>
        <v>0</v>
      </c>
      <c r="S598" s="188"/>
    </row>
    <row r="599" spans="1:20" ht="14.25" customHeight="1">
      <c r="A599" s="170"/>
      <c r="B599" s="186" t="s">
        <v>224</v>
      </c>
      <c r="C599" s="186"/>
      <c r="D599" s="186"/>
      <c r="E599" s="186"/>
      <c r="F599" s="197"/>
      <c r="G599" s="187"/>
      <c r="H599" s="187">
        <f>+'PRODUKSI 2'!AB41</f>
        <v>448215.69090000005</v>
      </c>
      <c r="I599" s="188"/>
      <c r="J599" s="209"/>
      <c r="K599" s="170"/>
      <c r="L599" s="186" t="s">
        <v>224</v>
      </c>
      <c r="M599" s="186"/>
      <c r="N599" s="186"/>
      <c r="O599" s="186"/>
      <c r="P599" s="197"/>
      <c r="Q599" s="187"/>
      <c r="R599" s="187">
        <f>+'PRODUKSI 2'!AB42</f>
        <v>448215.69090000005</v>
      </c>
      <c r="S599" s="188"/>
    </row>
    <row r="600" spans="1:20" ht="14.25" customHeight="1">
      <c r="A600" s="170"/>
      <c r="B600" s="186" t="s">
        <v>195</v>
      </c>
      <c r="C600" s="186"/>
      <c r="D600" s="187"/>
      <c r="E600" s="186"/>
      <c r="F600" s="197"/>
      <c r="G600" s="187"/>
      <c r="H600" s="187">
        <f>+'PRODUKSI 2'!U41</f>
        <v>92000</v>
      </c>
      <c r="I600" s="188"/>
      <c r="J600" s="187"/>
      <c r="K600" s="170"/>
      <c r="L600" s="186" t="s">
        <v>195</v>
      </c>
      <c r="M600" s="186"/>
      <c r="N600" s="187"/>
      <c r="O600" s="186"/>
      <c r="P600" s="197"/>
      <c r="Q600" s="187"/>
      <c r="R600" s="187">
        <f>+'PRODUKSI 2'!U42</f>
        <v>92000</v>
      </c>
      <c r="S600" s="188"/>
    </row>
    <row r="601" spans="1:20" ht="14.25" customHeight="1">
      <c r="A601" s="170"/>
      <c r="B601" s="220" t="s">
        <v>233</v>
      </c>
      <c r="C601" s="186"/>
      <c r="D601" s="187"/>
      <c r="E601" s="186"/>
      <c r="F601" s="197"/>
      <c r="G601" s="187"/>
      <c r="H601" s="187"/>
      <c r="I601" s="188"/>
      <c r="J601" s="209"/>
      <c r="K601" s="170"/>
      <c r="L601" s="220" t="s">
        <v>233</v>
      </c>
      <c r="M601" s="186"/>
      <c r="N601" s="187"/>
      <c r="O601" s="186"/>
      <c r="P601" s="197"/>
      <c r="Q601" s="187"/>
      <c r="R601" s="187"/>
      <c r="S601" s="188"/>
      <c r="T601" s="218"/>
    </row>
    <row r="602" spans="1:20" ht="14.25" customHeight="1">
      <c r="A602" s="170"/>
      <c r="B602" s="186" t="s">
        <v>206</v>
      </c>
      <c r="C602" s="186"/>
      <c r="D602" s="212">
        <v>0</v>
      </c>
      <c r="E602" s="186" t="s">
        <v>207</v>
      </c>
      <c r="F602" s="197" t="s">
        <v>205</v>
      </c>
      <c r="G602" s="187">
        <v>20592</v>
      </c>
      <c r="H602" s="187">
        <f>G602*D602</f>
        <v>0</v>
      </c>
      <c r="I602" s="188"/>
      <c r="J602" s="187"/>
      <c r="K602" s="170"/>
      <c r="L602" s="186" t="s">
        <v>206</v>
      </c>
      <c r="M602" s="186"/>
      <c r="N602" s="212">
        <v>0</v>
      </c>
      <c r="O602" s="186" t="s">
        <v>207</v>
      </c>
      <c r="P602" s="197" t="s">
        <v>205</v>
      </c>
      <c r="Q602" s="187">
        <v>20592</v>
      </c>
      <c r="R602" s="187">
        <f>Q602*N602</f>
        <v>0</v>
      </c>
      <c r="S602" s="188"/>
    </row>
    <row r="603" spans="1:20" ht="14.25" customHeight="1" thickBot="1">
      <c r="A603" s="170"/>
      <c r="B603" s="190" t="s">
        <v>208</v>
      </c>
      <c r="C603" s="190"/>
      <c r="D603" s="213">
        <v>0</v>
      </c>
      <c r="E603" s="190" t="s">
        <v>207</v>
      </c>
      <c r="F603" s="228" t="s">
        <v>205</v>
      </c>
      <c r="G603" s="192">
        <f>G602</f>
        <v>20592</v>
      </c>
      <c r="H603" s="192">
        <f>G603*D603</f>
        <v>0</v>
      </c>
      <c r="I603" s="188"/>
      <c r="J603" s="187"/>
      <c r="K603" s="170"/>
      <c r="L603" s="190" t="s">
        <v>208</v>
      </c>
      <c r="M603" s="190"/>
      <c r="N603" s="213">
        <v>0</v>
      </c>
      <c r="O603" s="190" t="s">
        <v>207</v>
      </c>
      <c r="P603" s="228" t="s">
        <v>205</v>
      </c>
      <c r="Q603" s="192">
        <f>Q602</f>
        <v>20592</v>
      </c>
      <c r="R603" s="192">
        <f>Q603*N603</f>
        <v>0</v>
      </c>
      <c r="S603" s="188"/>
    </row>
    <row r="604" spans="1:20" ht="15.75" thickBot="1">
      <c r="A604" s="170"/>
      <c r="B604" s="190" t="s">
        <v>219</v>
      </c>
      <c r="C604" s="190"/>
      <c r="D604" s="213">
        <f>SUM(D601:D603)</f>
        <v>0</v>
      </c>
      <c r="E604" s="190"/>
      <c r="F604" s="228"/>
      <c r="G604" s="192"/>
      <c r="H604" s="192">
        <f>SUM(H595:H603)</f>
        <v>4935070.6908999998</v>
      </c>
      <c r="I604" s="188"/>
      <c r="J604" s="187"/>
      <c r="K604" s="170"/>
      <c r="L604" s="190" t="s">
        <v>219</v>
      </c>
      <c r="M604" s="190"/>
      <c r="N604" s="213">
        <f>SUM(N601:N603)</f>
        <v>0</v>
      </c>
      <c r="O604" s="190"/>
      <c r="P604" s="228"/>
      <c r="Q604" s="192"/>
      <c r="R604" s="192">
        <f>SUM(R595:R603)</f>
        <v>4935070.6908999998</v>
      </c>
      <c r="S604" s="188"/>
    </row>
    <row r="605" spans="1:20">
      <c r="A605" s="170"/>
      <c r="B605" s="196" t="s">
        <v>113</v>
      </c>
      <c r="C605" s="186"/>
      <c r="D605" s="186"/>
      <c r="E605" s="186"/>
      <c r="F605" s="197"/>
      <c r="G605" s="187"/>
      <c r="H605" s="187"/>
      <c r="I605" s="188"/>
      <c r="J605" s="209"/>
      <c r="K605" s="170"/>
      <c r="L605" s="196" t="s">
        <v>113</v>
      </c>
      <c r="M605" s="186"/>
      <c r="N605" s="186"/>
      <c r="O605" s="186"/>
      <c r="P605" s="197"/>
      <c r="Q605" s="187"/>
      <c r="R605" s="187"/>
      <c r="S605" s="188"/>
    </row>
    <row r="606" spans="1:20" ht="14.25" customHeight="1">
      <c r="A606" s="170"/>
      <c r="B606" s="186" t="s">
        <v>209</v>
      </c>
      <c r="C606" s="186"/>
      <c r="D606" s="197"/>
      <c r="E606" s="186"/>
      <c r="F606" s="197"/>
      <c r="G606" s="198" t="str">
        <f>+'PRODUKSI 2'!D41</f>
        <v>TK</v>
      </c>
      <c r="H606" s="187">
        <f>+'PRODUKSI 2'!AI41</f>
        <v>0</v>
      </c>
      <c r="I606" s="188"/>
      <c r="J606" s="209"/>
      <c r="K606" s="170"/>
      <c r="L606" s="186" t="s">
        <v>209</v>
      </c>
      <c r="M606" s="186"/>
      <c r="N606" s="198"/>
      <c r="O606" s="186"/>
      <c r="P606" s="197"/>
      <c r="Q606" s="198" t="str">
        <f>+'PRODUKSI 2'!D42</f>
        <v>TK</v>
      </c>
      <c r="R606" s="187">
        <f>+'PRODUKSI 2'!AI42</f>
        <v>0</v>
      </c>
      <c r="S606" s="188"/>
    </row>
    <row r="607" spans="1:20" ht="14.25" customHeight="1">
      <c r="A607" s="170"/>
      <c r="B607" s="186" t="s">
        <v>225</v>
      </c>
      <c r="C607" s="186"/>
      <c r="D607" s="197"/>
      <c r="E607" s="186"/>
      <c r="F607" s="197"/>
      <c r="G607" s="198"/>
      <c r="H607" s="187">
        <f>+'PRODUKSI 2'!AF41+'PRODUKSI 2'!AG41</f>
        <v>48772.11</v>
      </c>
      <c r="I607" s="188"/>
      <c r="J607" s="209"/>
      <c r="K607" s="170"/>
      <c r="L607" s="186" t="s">
        <v>225</v>
      </c>
      <c r="M607" s="186"/>
      <c r="N607" s="198"/>
      <c r="O607" s="186"/>
      <c r="P607" s="197"/>
      <c r="Q607" s="198"/>
      <c r="R607" s="187">
        <f>+'PRODUKSI 2'!AF42+'PRODUKSI 2'!AG42</f>
        <v>48772.11</v>
      </c>
      <c r="S607" s="188"/>
    </row>
    <row r="608" spans="1:20" ht="14.25" customHeight="1">
      <c r="A608" s="170"/>
      <c r="B608" s="186" t="s">
        <v>226</v>
      </c>
      <c r="C608" s="186"/>
      <c r="D608" s="197"/>
      <c r="E608" s="186"/>
      <c r="F608" s="197"/>
      <c r="G608" s="198"/>
      <c r="H608" s="187">
        <f>+'PRODUKSI 2'!AD41+'PRODUKSI 2'!AE41</f>
        <v>146316.33000000002</v>
      </c>
      <c r="I608" s="188"/>
      <c r="J608" s="209"/>
      <c r="K608" s="170"/>
      <c r="L608" s="186" t="s">
        <v>226</v>
      </c>
      <c r="M608" s="186"/>
      <c r="N608" s="198"/>
      <c r="O608" s="186"/>
      <c r="P608" s="197"/>
      <c r="Q608" s="198"/>
      <c r="R608" s="187">
        <f>+'PRODUKSI 2'!AD42+'PRODUKSI 2'!AE42</f>
        <v>146316.33000000002</v>
      </c>
      <c r="S608" s="188"/>
    </row>
    <row r="609" spans="1:19" ht="14.25" customHeight="1">
      <c r="A609" s="170"/>
      <c r="B609" s="186" t="s">
        <v>103</v>
      </c>
      <c r="C609" s="186"/>
      <c r="D609" s="186"/>
      <c r="E609" s="186"/>
      <c r="F609" s="197"/>
      <c r="G609" s="198"/>
      <c r="H609" s="187">
        <f>+H599</f>
        <v>448215.69090000005</v>
      </c>
      <c r="I609" s="188"/>
      <c r="J609" s="209"/>
      <c r="K609" s="170"/>
      <c r="L609" s="186" t="s">
        <v>103</v>
      </c>
      <c r="M609" s="186"/>
      <c r="N609" s="186"/>
      <c r="O609" s="186"/>
      <c r="P609" s="197"/>
      <c r="Q609" s="187"/>
      <c r="R609" s="187">
        <f>+R599</f>
        <v>448215.69090000005</v>
      </c>
      <c r="S609" s="188"/>
    </row>
    <row r="610" spans="1:19" ht="14.25" customHeight="1" thickBot="1">
      <c r="A610" s="170"/>
      <c r="B610" s="190" t="s">
        <v>211</v>
      </c>
      <c r="C610" s="190"/>
      <c r="D610" s="190"/>
      <c r="E610" s="190"/>
      <c r="F610" s="228"/>
      <c r="G610" s="192"/>
      <c r="H610" s="192">
        <f>SUM(H606:H609)</f>
        <v>643304.13089999999</v>
      </c>
      <c r="I610" s="188"/>
      <c r="J610" s="209"/>
      <c r="K610" s="170"/>
      <c r="L610" s="190" t="s">
        <v>211</v>
      </c>
      <c r="M610" s="190"/>
      <c r="N610" s="190"/>
      <c r="O610" s="190"/>
      <c r="P610" s="228"/>
      <c r="Q610" s="192"/>
      <c r="R610" s="192">
        <f>SUM(R606:R609)</f>
        <v>643304.13089999999</v>
      </c>
      <c r="S610" s="188"/>
    </row>
    <row r="611" spans="1:19" ht="15.75" thickBot="1">
      <c r="A611" s="170"/>
      <c r="B611" s="193" t="s">
        <v>220</v>
      </c>
      <c r="C611" s="193"/>
      <c r="D611" s="193"/>
      <c r="E611" s="193"/>
      <c r="F611" s="229"/>
      <c r="G611" s="195"/>
      <c r="H611" s="195">
        <f>H604-H610</f>
        <v>4291766.5599999996</v>
      </c>
      <c r="I611" s="188"/>
      <c r="J611" s="209"/>
      <c r="K611" s="170"/>
      <c r="L611" s="193" t="s">
        <v>220</v>
      </c>
      <c r="M611" s="193"/>
      <c r="N611" s="193"/>
      <c r="O611" s="193"/>
      <c r="P611" s="229"/>
      <c r="Q611" s="195"/>
      <c r="R611" s="195">
        <f>SUM(R604-R610)</f>
        <v>4291766.5599999996</v>
      </c>
      <c r="S611" s="188"/>
    </row>
    <row r="612" spans="1:19">
      <c r="A612" s="170"/>
      <c r="B612" s="186"/>
      <c r="C612" s="186"/>
      <c r="D612" s="186"/>
      <c r="E612" s="186"/>
      <c r="F612" s="197"/>
      <c r="G612" s="187"/>
      <c r="H612" s="187"/>
      <c r="I612" s="188"/>
      <c r="J612" s="209"/>
      <c r="K612" s="170"/>
      <c r="L612" s="186"/>
      <c r="M612" s="186"/>
      <c r="N612" s="186"/>
      <c r="O612" s="186"/>
      <c r="P612" s="197"/>
      <c r="Q612" s="187"/>
      <c r="R612" s="187"/>
      <c r="S612" s="188"/>
    </row>
    <row r="613" spans="1:19" ht="15.75" thickBot="1">
      <c r="A613" s="170"/>
      <c r="B613" s="199"/>
      <c r="C613" s="190"/>
      <c r="D613" s="190"/>
      <c r="E613" s="190"/>
      <c r="F613" s="228"/>
      <c r="G613" s="192"/>
      <c r="H613" s="192"/>
      <c r="I613" s="188"/>
      <c r="J613" s="187"/>
      <c r="K613" s="170"/>
      <c r="L613" s="199"/>
      <c r="M613" s="190"/>
      <c r="N613" s="190"/>
      <c r="O613" s="190"/>
      <c r="P613" s="228"/>
      <c r="Q613" s="192"/>
      <c r="R613" s="192"/>
      <c r="S613" s="188"/>
    </row>
    <row r="614" spans="1:19" ht="15.75" thickBot="1">
      <c r="A614" s="170"/>
      <c r="B614" s="200" t="s">
        <v>212</v>
      </c>
      <c r="C614" s="200"/>
      <c r="D614" s="200"/>
      <c r="E614" s="200"/>
      <c r="F614" s="230"/>
      <c r="G614" s="201"/>
      <c r="H614" s="201">
        <f>SUM(H611-H612)</f>
        <v>4291766.5599999996</v>
      </c>
      <c r="I614" s="188"/>
      <c r="J614" s="187"/>
      <c r="K614" s="170"/>
      <c r="L614" s="200" t="s">
        <v>212</v>
      </c>
      <c r="M614" s="200"/>
      <c r="N614" s="200"/>
      <c r="O614" s="200"/>
      <c r="P614" s="230"/>
      <c r="Q614" s="201"/>
      <c r="R614" s="201">
        <f>SUM(R611-R612)</f>
        <v>4291766.5599999996</v>
      </c>
      <c r="S614" s="188"/>
    </row>
    <row r="615" spans="1:19" ht="15.75" thickTop="1">
      <c r="A615" s="170"/>
      <c r="B615" s="202" t="s">
        <v>213</v>
      </c>
      <c r="C615" s="186"/>
      <c r="D615" s="186"/>
      <c r="E615" s="186"/>
      <c r="F615" s="197"/>
      <c r="G615" s="296" t="s">
        <v>214</v>
      </c>
      <c r="H615" s="296"/>
      <c r="I615" s="188"/>
      <c r="J615" s="187"/>
      <c r="K615" s="170"/>
      <c r="L615" s="202" t="s">
        <v>213</v>
      </c>
      <c r="M615" s="186"/>
      <c r="N615" s="186"/>
      <c r="O615" s="186"/>
      <c r="P615" s="197"/>
      <c r="Q615" s="296" t="s">
        <v>214</v>
      </c>
      <c r="R615" s="296"/>
      <c r="S615" s="188"/>
    </row>
    <row r="616" spans="1:19" ht="12.75" customHeight="1">
      <c r="A616" s="170"/>
      <c r="B616" s="186"/>
      <c r="C616" s="186"/>
      <c r="D616" s="186"/>
      <c r="E616" s="186"/>
      <c r="F616" s="197"/>
      <c r="G616" s="187"/>
      <c r="H616" s="187"/>
      <c r="I616" s="188"/>
      <c r="J616" s="187"/>
      <c r="K616" s="170"/>
      <c r="L616" s="186"/>
      <c r="M616" s="186"/>
      <c r="N616" s="186"/>
      <c r="O616" s="186"/>
      <c r="P616" s="197"/>
      <c r="Q616" s="187"/>
      <c r="R616" s="187"/>
      <c r="S616" s="188"/>
    </row>
    <row r="617" spans="1:19" ht="12.75" customHeight="1">
      <c r="A617" s="170"/>
      <c r="B617" s="186"/>
      <c r="C617" s="186"/>
      <c r="D617" s="186"/>
      <c r="E617" s="186"/>
      <c r="F617" s="197"/>
      <c r="G617" s="187"/>
      <c r="H617" s="187"/>
      <c r="I617" s="188"/>
      <c r="J617" s="187"/>
      <c r="K617" s="170"/>
      <c r="L617" s="186"/>
      <c r="M617" s="186"/>
      <c r="N617" s="186"/>
      <c r="O617" s="186"/>
      <c r="P617" s="197"/>
      <c r="Q617" s="187"/>
      <c r="R617" s="187"/>
      <c r="S617" s="188"/>
    </row>
    <row r="618" spans="1:19" ht="12.75" customHeight="1">
      <c r="A618" s="170"/>
      <c r="B618" s="203" t="s">
        <v>215</v>
      </c>
      <c r="C618" s="186"/>
      <c r="D618" s="186"/>
      <c r="E618" s="186"/>
      <c r="F618" s="197"/>
      <c r="G618" s="297" t="s">
        <v>216</v>
      </c>
      <c r="H618" s="297"/>
      <c r="I618" s="188"/>
      <c r="J618" s="187"/>
      <c r="K618" s="170"/>
      <c r="L618" s="203" t="s">
        <v>215</v>
      </c>
      <c r="M618" s="186"/>
      <c r="N618" s="186"/>
      <c r="O618" s="186"/>
      <c r="P618" s="197"/>
      <c r="Q618" s="297" t="s">
        <v>216</v>
      </c>
      <c r="R618" s="297"/>
      <c r="S618" s="188"/>
    </row>
    <row r="619" spans="1:19" ht="7.5" customHeight="1">
      <c r="A619" s="204"/>
      <c r="B619" s="205"/>
      <c r="C619" s="206"/>
      <c r="D619" s="206"/>
      <c r="E619" s="206"/>
      <c r="F619" s="231"/>
      <c r="G619" s="207"/>
      <c r="H619" s="205"/>
      <c r="I619" s="208"/>
      <c r="J619" s="187"/>
      <c r="K619" s="204"/>
      <c r="L619" s="205"/>
      <c r="M619" s="206"/>
      <c r="N619" s="206"/>
      <c r="O619" s="206"/>
      <c r="P619" s="231"/>
      <c r="Q619" s="207"/>
      <c r="R619" s="205"/>
      <c r="S619" s="208"/>
    </row>
    <row r="621" spans="1:19">
      <c r="A621" s="166"/>
      <c r="B621" s="167"/>
      <c r="C621" s="167"/>
      <c r="D621" s="167"/>
      <c r="E621" s="167"/>
      <c r="F621" s="223"/>
      <c r="G621" s="167"/>
      <c r="H621" s="167"/>
      <c r="I621" s="168"/>
    </row>
    <row r="622" spans="1:19">
      <c r="A622" s="170"/>
      <c r="B622" s="169"/>
      <c r="C622" s="169"/>
      <c r="D622" s="169"/>
      <c r="E622" s="169"/>
      <c r="F622" s="224"/>
      <c r="G622" s="169"/>
      <c r="H622" s="169"/>
      <c r="I622" s="171"/>
    </row>
    <row r="623" spans="1:19">
      <c r="A623" s="170"/>
      <c r="B623" s="169"/>
      <c r="C623" s="169"/>
      <c r="D623" s="169"/>
      <c r="E623" s="169"/>
      <c r="F623" s="224"/>
      <c r="G623" s="169"/>
      <c r="H623" s="169"/>
      <c r="I623" s="171"/>
    </row>
    <row r="624" spans="1:19">
      <c r="A624" s="170"/>
      <c r="B624" s="294" t="s">
        <v>196</v>
      </c>
      <c r="C624" s="294"/>
      <c r="D624" s="294"/>
      <c r="E624" s="294"/>
      <c r="F624" s="294"/>
      <c r="G624" s="294"/>
      <c r="H624" s="294"/>
      <c r="I624" s="295"/>
    </row>
    <row r="625" spans="1:20">
      <c r="A625" s="172"/>
      <c r="B625" s="173" t="s">
        <v>197</v>
      </c>
      <c r="C625" s="174" t="s">
        <v>198</v>
      </c>
      <c r="D625" s="211">
        <v>35</v>
      </c>
      <c r="E625" s="173"/>
      <c r="F625" s="225"/>
      <c r="G625" s="173"/>
      <c r="H625" s="173"/>
      <c r="I625" s="176"/>
    </row>
    <row r="626" spans="1:20">
      <c r="A626" s="172"/>
      <c r="B626" s="173" t="s">
        <v>199</v>
      </c>
      <c r="C626" s="174" t="s">
        <v>198</v>
      </c>
      <c r="D626" s="177" t="s">
        <v>229</v>
      </c>
      <c r="E626" s="173"/>
      <c r="F626" s="225"/>
      <c r="G626" s="173"/>
      <c r="H626" s="173"/>
      <c r="I626" s="176"/>
    </row>
    <row r="627" spans="1:20">
      <c r="A627" s="172"/>
      <c r="B627" s="173" t="s">
        <v>200</v>
      </c>
      <c r="C627" s="174" t="s">
        <v>198</v>
      </c>
      <c r="D627" s="177" t="e">
        <f>+'PRODUKSI 2'!#REF!</f>
        <v>#REF!</v>
      </c>
      <c r="E627" s="173"/>
      <c r="F627" s="225"/>
      <c r="G627" s="173"/>
      <c r="H627" s="173"/>
      <c r="I627" s="176"/>
    </row>
    <row r="628" spans="1:20" ht="15.75" thickBot="1">
      <c r="A628" s="172"/>
      <c r="B628" s="173" t="s">
        <v>201</v>
      </c>
      <c r="C628" s="174" t="s">
        <v>198</v>
      </c>
      <c r="D628" s="177" t="e">
        <f>+'PRODUKSI 2'!#REF!</f>
        <v>#REF!</v>
      </c>
      <c r="E628" s="173"/>
      <c r="F628" s="225"/>
      <c r="G628" s="173"/>
      <c r="H628" s="173"/>
      <c r="I628" s="176"/>
    </row>
    <row r="629" spans="1:20" ht="10.5" customHeight="1" thickTop="1">
      <c r="A629" s="170"/>
      <c r="B629" s="182"/>
      <c r="C629" s="182"/>
      <c r="D629" s="182"/>
      <c r="E629" s="182"/>
      <c r="F629" s="182"/>
      <c r="G629" s="182"/>
      <c r="H629" s="182"/>
      <c r="I629" s="183"/>
      <c r="J629" s="169"/>
      <c r="K629" s="170"/>
      <c r="L629" s="182"/>
      <c r="M629" s="182"/>
      <c r="N629" s="182"/>
      <c r="O629" s="182"/>
      <c r="P629" s="182"/>
      <c r="Q629" s="182"/>
      <c r="R629" s="182"/>
      <c r="S629" s="183"/>
    </row>
    <row r="630" spans="1:20">
      <c r="A630" s="170"/>
      <c r="B630" s="184" t="s">
        <v>202</v>
      </c>
      <c r="C630" s="185"/>
      <c r="D630" s="185"/>
      <c r="E630" s="185"/>
      <c r="F630" s="227"/>
      <c r="G630" s="185"/>
      <c r="H630" s="185"/>
      <c r="I630" s="183"/>
    </row>
    <row r="631" spans="1:20" ht="14.25" customHeight="1">
      <c r="A631" s="170"/>
      <c r="B631" s="186" t="s">
        <v>111</v>
      </c>
      <c r="C631" s="186"/>
      <c r="D631" s="186"/>
      <c r="E631" s="186"/>
      <c r="F631" s="197"/>
      <c r="G631" s="187"/>
      <c r="H631" s="187" t="e">
        <f>+'PRODUKSI 2'!#REF!</f>
        <v>#REF!</v>
      </c>
      <c r="I631" s="188"/>
    </row>
    <row r="632" spans="1:20" ht="14.25" customHeight="1">
      <c r="A632" s="170"/>
      <c r="B632" s="186" t="s">
        <v>203</v>
      </c>
      <c r="C632" s="186"/>
      <c r="D632" s="186"/>
      <c r="E632" s="186"/>
      <c r="F632" s="197"/>
      <c r="G632" s="187"/>
      <c r="H632" s="187" t="e">
        <f>+'PRODUKSI 2'!#REF!</f>
        <v>#REF!</v>
      </c>
      <c r="I632" s="188"/>
    </row>
    <row r="633" spans="1:20" ht="14.25" customHeight="1">
      <c r="A633" s="170"/>
      <c r="B633" s="186" t="s">
        <v>227</v>
      </c>
      <c r="C633" s="186"/>
      <c r="D633" s="186"/>
      <c r="E633" s="186"/>
      <c r="F633" s="197"/>
      <c r="G633" s="187"/>
      <c r="H633" s="187" t="e">
        <f>+'PRODUKSI 2'!#REF!</f>
        <v>#REF!</v>
      </c>
      <c r="I633" s="188"/>
    </row>
    <row r="634" spans="1:20" ht="14.25" customHeight="1">
      <c r="A634" s="170"/>
      <c r="B634" s="186" t="s">
        <v>228</v>
      </c>
      <c r="C634" s="186"/>
      <c r="D634" s="186"/>
      <c r="E634" s="186"/>
      <c r="F634" s="197"/>
      <c r="G634" s="187"/>
      <c r="H634" s="187" t="e">
        <f>+'PRODUKSI 2'!#REF!</f>
        <v>#REF!</v>
      </c>
      <c r="I634" s="188"/>
    </row>
    <row r="635" spans="1:20" ht="14.25" customHeight="1">
      <c r="A635" s="170"/>
      <c r="B635" s="186" t="s">
        <v>224</v>
      </c>
      <c r="C635" s="186"/>
      <c r="D635" s="186"/>
      <c r="E635" s="186"/>
      <c r="F635" s="197"/>
      <c r="G635" s="187"/>
      <c r="H635" s="187" t="e">
        <f>+'PRODUKSI 2'!#REF!</f>
        <v>#REF!</v>
      </c>
      <c r="I635" s="188"/>
    </row>
    <row r="636" spans="1:20" ht="14.25" customHeight="1">
      <c r="A636" s="170"/>
      <c r="B636" s="186" t="s">
        <v>195</v>
      </c>
      <c r="C636" s="186"/>
      <c r="D636" s="187"/>
      <c r="E636" s="186"/>
      <c r="F636" s="197"/>
      <c r="G636" s="187"/>
      <c r="H636" s="187" t="e">
        <f>+'PRODUKSI 2'!#REF!</f>
        <v>#REF!</v>
      </c>
      <c r="I636" s="188"/>
    </row>
    <row r="637" spans="1:20" ht="14.25" customHeight="1">
      <c r="A637" s="170"/>
      <c r="B637" s="220" t="s">
        <v>233</v>
      </c>
      <c r="C637" s="186"/>
      <c r="D637" s="187"/>
      <c r="E637" s="186"/>
      <c r="F637" s="197"/>
      <c r="G637" s="187"/>
      <c r="H637" s="187"/>
      <c r="I637" s="188"/>
      <c r="J637" s="209"/>
      <c r="K637" s="170"/>
      <c r="L637" s="220" t="s">
        <v>233</v>
      </c>
      <c r="M637" s="186"/>
      <c r="N637" s="187"/>
      <c r="O637" s="186"/>
      <c r="P637" s="197"/>
      <c r="Q637" s="187"/>
      <c r="R637" s="187"/>
      <c r="S637" s="188"/>
      <c r="T637" s="218"/>
    </row>
    <row r="638" spans="1:20" ht="14.25" customHeight="1">
      <c r="A638" s="170"/>
      <c r="B638" s="186" t="s">
        <v>206</v>
      </c>
      <c r="C638" s="186"/>
      <c r="D638" s="212">
        <v>0</v>
      </c>
      <c r="E638" s="186" t="s">
        <v>207</v>
      </c>
      <c r="F638" s="197" t="s">
        <v>205</v>
      </c>
      <c r="G638" s="187">
        <v>20592</v>
      </c>
      <c r="H638" s="187">
        <f>G638*D638</f>
        <v>0</v>
      </c>
      <c r="I638" s="188"/>
    </row>
    <row r="639" spans="1:20" ht="14.25" customHeight="1" thickBot="1">
      <c r="A639" s="170"/>
      <c r="B639" s="190" t="s">
        <v>208</v>
      </c>
      <c r="C639" s="190"/>
      <c r="D639" s="213">
        <v>0</v>
      </c>
      <c r="E639" s="190" t="s">
        <v>207</v>
      </c>
      <c r="F639" s="228" t="s">
        <v>205</v>
      </c>
      <c r="G639" s="192">
        <f>G638</f>
        <v>20592</v>
      </c>
      <c r="H639" s="192">
        <f>G639*D639</f>
        <v>0</v>
      </c>
      <c r="I639" s="188"/>
    </row>
    <row r="640" spans="1:20" ht="15.75" thickBot="1">
      <c r="A640" s="170"/>
      <c r="B640" s="190" t="s">
        <v>219</v>
      </c>
      <c r="C640" s="190"/>
      <c r="D640" s="213">
        <f>SUM(D637:D639)</f>
        <v>0</v>
      </c>
      <c r="E640" s="190"/>
      <c r="F640" s="228"/>
      <c r="G640" s="192"/>
      <c r="H640" s="192" t="e">
        <f>SUM(H631:H639)</f>
        <v>#REF!</v>
      </c>
      <c r="I640" s="188"/>
    </row>
    <row r="641" spans="1:19">
      <c r="A641" s="170"/>
      <c r="B641" s="196" t="s">
        <v>113</v>
      </c>
      <c r="C641" s="186"/>
      <c r="D641" s="186"/>
      <c r="E641" s="186"/>
      <c r="F641" s="197"/>
      <c r="G641" s="187"/>
      <c r="H641" s="187"/>
      <c r="I641" s="188"/>
    </row>
    <row r="642" spans="1:19" ht="14.25" customHeight="1">
      <c r="A642" s="170"/>
      <c r="B642" s="186" t="s">
        <v>209</v>
      </c>
      <c r="C642" s="186"/>
      <c r="D642" s="197"/>
      <c r="E642" s="186"/>
      <c r="F642" s="197"/>
      <c r="G642" s="198" t="e">
        <f>+'PRODUKSI 2'!#REF!</f>
        <v>#REF!</v>
      </c>
      <c r="H642" s="187" t="e">
        <f>+'PRODUKSI 2'!#REF!</f>
        <v>#REF!</v>
      </c>
      <c r="I642" s="188"/>
    </row>
    <row r="643" spans="1:19" ht="14.25" customHeight="1">
      <c r="A643" s="170"/>
      <c r="B643" s="186" t="s">
        <v>225</v>
      </c>
      <c r="C643" s="186"/>
      <c r="D643" s="197"/>
      <c r="E643" s="186"/>
      <c r="F643" s="197"/>
      <c r="G643" s="198"/>
      <c r="H643" s="187" t="e">
        <f>+'PRODUKSI 2'!#REF!+'PRODUKSI 2'!#REF!</f>
        <v>#REF!</v>
      </c>
      <c r="I643" s="188"/>
    </row>
    <row r="644" spans="1:19" ht="14.25" customHeight="1">
      <c r="A644" s="170"/>
      <c r="B644" s="186" t="s">
        <v>226</v>
      </c>
      <c r="C644" s="186"/>
      <c r="D644" s="197"/>
      <c r="E644" s="186"/>
      <c r="F644" s="197"/>
      <c r="G644" s="198"/>
      <c r="H644" s="187" t="e">
        <f>+'PRODUKSI 2'!#REF!+'PRODUKSI 2'!#REF!</f>
        <v>#REF!</v>
      </c>
      <c r="I644" s="188"/>
    </row>
    <row r="645" spans="1:19" ht="14.25" customHeight="1">
      <c r="A645" s="170"/>
      <c r="B645" s="186" t="s">
        <v>103</v>
      </c>
      <c r="C645" s="186"/>
      <c r="D645" s="186"/>
      <c r="E645" s="186"/>
      <c r="F645" s="197"/>
      <c r="G645" s="198"/>
      <c r="H645" s="187" t="e">
        <f>+H635</f>
        <v>#REF!</v>
      </c>
      <c r="I645" s="188"/>
    </row>
    <row r="646" spans="1:19" ht="14.25" customHeight="1" thickBot="1">
      <c r="A646" s="170"/>
      <c r="B646" s="190" t="s">
        <v>211</v>
      </c>
      <c r="C646" s="190"/>
      <c r="D646" s="190"/>
      <c r="E646" s="190"/>
      <c r="F646" s="228"/>
      <c r="G646" s="192"/>
      <c r="H646" s="192" t="e">
        <f>SUM(H642:H645)</f>
        <v>#REF!</v>
      </c>
      <c r="I646" s="188"/>
    </row>
    <row r="647" spans="1:19" ht="15.75" thickBot="1">
      <c r="A647" s="170"/>
      <c r="B647" s="193" t="s">
        <v>220</v>
      </c>
      <c r="C647" s="193"/>
      <c r="D647" s="193"/>
      <c r="E647" s="193"/>
      <c r="F647" s="229"/>
      <c r="G647" s="195"/>
      <c r="H647" s="195" t="e">
        <f>H640-H646</f>
        <v>#REF!</v>
      </c>
      <c r="I647" s="188"/>
    </row>
    <row r="648" spans="1:19">
      <c r="A648" s="170"/>
      <c r="B648" s="186"/>
      <c r="C648" s="186"/>
      <c r="D648" s="186"/>
      <c r="E648" s="186"/>
      <c r="F648" s="197"/>
      <c r="G648" s="187"/>
      <c r="H648" s="187"/>
      <c r="I648" s="188"/>
    </row>
    <row r="649" spans="1:19" ht="15.75" thickBot="1">
      <c r="A649" s="170"/>
      <c r="B649" s="199"/>
      <c r="C649" s="190"/>
      <c r="D649" s="190"/>
      <c r="E649" s="190"/>
      <c r="F649" s="228"/>
      <c r="G649" s="192"/>
      <c r="H649" s="192"/>
      <c r="I649" s="188"/>
    </row>
    <row r="650" spans="1:19" ht="15.75" thickBot="1">
      <c r="A650" s="170"/>
      <c r="B650" s="200" t="s">
        <v>212</v>
      </c>
      <c r="C650" s="200"/>
      <c r="D650" s="200"/>
      <c r="E650" s="200"/>
      <c r="F650" s="230"/>
      <c r="G650" s="201"/>
      <c r="H650" s="201" t="e">
        <f>SUM(H647-H648)</f>
        <v>#REF!</v>
      </c>
      <c r="I650" s="188"/>
    </row>
    <row r="651" spans="1:19" ht="15.75" thickTop="1">
      <c r="A651" s="170"/>
      <c r="B651" s="202" t="s">
        <v>213</v>
      </c>
      <c r="C651" s="186"/>
      <c r="D651" s="186"/>
      <c r="E651" s="186"/>
      <c r="F651" s="197"/>
      <c r="G651" s="296" t="s">
        <v>214</v>
      </c>
      <c r="H651" s="296"/>
      <c r="I651" s="188"/>
    </row>
    <row r="652" spans="1:19" ht="12.75" customHeight="1">
      <c r="A652" s="170"/>
      <c r="B652" s="186"/>
      <c r="C652" s="186"/>
      <c r="D652" s="186"/>
      <c r="E652" s="186"/>
      <c r="F652" s="197"/>
      <c r="G652" s="187"/>
      <c r="H652" s="187"/>
      <c r="I652" s="188"/>
      <c r="J652" s="187"/>
      <c r="K652" s="170"/>
      <c r="L652" s="186"/>
      <c r="M652" s="186"/>
      <c r="N652" s="186"/>
      <c r="O652" s="186"/>
      <c r="P652" s="197"/>
      <c r="Q652" s="187"/>
      <c r="R652" s="187"/>
      <c r="S652" s="188"/>
    </row>
    <row r="653" spans="1:19" ht="12.75" customHeight="1">
      <c r="A653" s="170"/>
      <c r="B653" s="186"/>
      <c r="C653" s="186"/>
      <c r="D653" s="186"/>
      <c r="E653" s="186"/>
      <c r="F653" s="197"/>
      <c r="G653" s="187"/>
      <c r="H653" s="187"/>
      <c r="I653" s="188"/>
      <c r="J653" s="187"/>
      <c r="K653" s="170"/>
      <c r="L653" s="186"/>
      <c r="M653" s="186"/>
      <c r="N653" s="186"/>
      <c r="O653" s="186"/>
      <c r="P653" s="197"/>
      <c r="Q653" s="187"/>
      <c r="R653" s="187"/>
      <c r="S653" s="188"/>
    </row>
    <row r="654" spans="1:19" ht="12.75" customHeight="1">
      <c r="A654" s="170"/>
      <c r="B654" s="203" t="s">
        <v>215</v>
      </c>
      <c r="C654" s="186"/>
      <c r="D654" s="186"/>
      <c r="E654" s="186"/>
      <c r="F654" s="197"/>
      <c r="G654" s="297" t="s">
        <v>216</v>
      </c>
      <c r="H654" s="297"/>
      <c r="I654" s="188"/>
      <c r="J654" s="187"/>
      <c r="K654" s="170"/>
      <c r="L654" s="203" t="s">
        <v>215</v>
      </c>
      <c r="M654" s="186"/>
      <c r="N654" s="186"/>
      <c r="O654" s="186"/>
      <c r="P654" s="197"/>
      <c r="Q654" s="297" t="s">
        <v>216</v>
      </c>
      <c r="R654" s="297"/>
      <c r="S654" s="188"/>
    </row>
    <row r="655" spans="1:19" ht="7.5" customHeight="1">
      <c r="A655" s="204"/>
      <c r="B655" s="205"/>
      <c r="C655" s="206"/>
      <c r="D655" s="206"/>
      <c r="E655" s="206"/>
      <c r="F655" s="231"/>
      <c r="G655" s="207"/>
      <c r="H655" s="205"/>
      <c r="I655" s="208"/>
      <c r="J655" s="187"/>
      <c r="K655" s="204"/>
      <c r="L655" s="205"/>
      <c r="M655" s="206"/>
      <c r="N655" s="206"/>
      <c r="O655" s="206"/>
      <c r="P655" s="231"/>
      <c r="Q655" s="207"/>
      <c r="R655" s="205"/>
      <c r="S655" s="208"/>
    </row>
  </sheetData>
  <mergeCells count="106">
    <mergeCell ref="B40:I40"/>
    <mergeCell ref="L40:S40"/>
    <mergeCell ref="G67:H67"/>
    <mergeCell ref="Q67:R67"/>
    <mergeCell ref="G70:H70"/>
    <mergeCell ref="Q70:R70"/>
    <mergeCell ref="B4:I4"/>
    <mergeCell ref="L4:S4"/>
    <mergeCell ref="G31:H31"/>
    <mergeCell ref="Q31:R31"/>
    <mergeCell ref="G34:H34"/>
    <mergeCell ref="Q34:R34"/>
    <mergeCell ref="B113:I113"/>
    <mergeCell ref="L113:S113"/>
    <mergeCell ref="G140:H140"/>
    <mergeCell ref="Q140:R140"/>
    <mergeCell ref="G143:H143"/>
    <mergeCell ref="Q143:R143"/>
    <mergeCell ref="B77:I77"/>
    <mergeCell ref="L77:S77"/>
    <mergeCell ref="G104:H104"/>
    <mergeCell ref="Q104:R104"/>
    <mergeCell ref="G107:H107"/>
    <mergeCell ref="Q107:R107"/>
    <mergeCell ref="B186:I186"/>
    <mergeCell ref="L186:S186"/>
    <mergeCell ref="G213:H213"/>
    <mergeCell ref="Q213:R213"/>
    <mergeCell ref="G216:H216"/>
    <mergeCell ref="Q216:R216"/>
    <mergeCell ref="B150:I150"/>
    <mergeCell ref="L150:S150"/>
    <mergeCell ref="G177:H177"/>
    <mergeCell ref="Q177:R177"/>
    <mergeCell ref="G180:H180"/>
    <mergeCell ref="Q180:R180"/>
    <mergeCell ref="B259:I259"/>
    <mergeCell ref="L259:S259"/>
    <mergeCell ref="G286:H286"/>
    <mergeCell ref="Q286:R286"/>
    <mergeCell ref="G289:H289"/>
    <mergeCell ref="Q289:R289"/>
    <mergeCell ref="B223:I223"/>
    <mergeCell ref="L223:S223"/>
    <mergeCell ref="G250:H250"/>
    <mergeCell ref="Q250:R250"/>
    <mergeCell ref="G253:H253"/>
    <mergeCell ref="Q253:R253"/>
    <mergeCell ref="B333:I333"/>
    <mergeCell ref="L333:S333"/>
    <mergeCell ref="G360:H360"/>
    <mergeCell ref="Q360:R360"/>
    <mergeCell ref="G363:H363"/>
    <mergeCell ref="Q363:R363"/>
    <mergeCell ref="B296:I296"/>
    <mergeCell ref="L296:S296"/>
    <mergeCell ref="G324:H324"/>
    <mergeCell ref="Q324:R324"/>
    <mergeCell ref="G327:H327"/>
    <mergeCell ref="Q327:R327"/>
    <mergeCell ref="B406:I406"/>
    <mergeCell ref="L406:S406"/>
    <mergeCell ref="G433:H433"/>
    <mergeCell ref="Q433:R433"/>
    <mergeCell ref="G436:H436"/>
    <mergeCell ref="Q436:R436"/>
    <mergeCell ref="B370:I370"/>
    <mergeCell ref="L370:S370"/>
    <mergeCell ref="G397:H397"/>
    <mergeCell ref="Q397:R397"/>
    <mergeCell ref="G400:H400"/>
    <mergeCell ref="Q400:R400"/>
    <mergeCell ref="B479:I479"/>
    <mergeCell ref="L479:S479"/>
    <mergeCell ref="G506:H506"/>
    <mergeCell ref="Q506:R506"/>
    <mergeCell ref="G509:H509"/>
    <mergeCell ref="Q509:R509"/>
    <mergeCell ref="B443:I443"/>
    <mergeCell ref="L443:S443"/>
    <mergeCell ref="G470:H470"/>
    <mergeCell ref="Q470:R470"/>
    <mergeCell ref="G473:H473"/>
    <mergeCell ref="Q473:R473"/>
    <mergeCell ref="B552:I552"/>
    <mergeCell ref="L552:S552"/>
    <mergeCell ref="G579:H579"/>
    <mergeCell ref="Q579:R579"/>
    <mergeCell ref="G582:H582"/>
    <mergeCell ref="Q582:R582"/>
    <mergeCell ref="B516:I516"/>
    <mergeCell ref="L516:S516"/>
    <mergeCell ref="G543:H543"/>
    <mergeCell ref="Q543:R543"/>
    <mergeCell ref="G546:H546"/>
    <mergeCell ref="Q546:R546"/>
    <mergeCell ref="B624:I624"/>
    <mergeCell ref="G651:H651"/>
    <mergeCell ref="G654:H654"/>
    <mergeCell ref="B588:I588"/>
    <mergeCell ref="L588:S588"/>
    <mergeCell ref="G615:H615"/>
    <mergeCell ref="Q615:R615"/>
    <mergeCell ref="G618:H618"/>
    <mergeCell ref="Q618:R618"/>
    <mergeCell ref="Q654:R654"/>
  </mergeCells>
  <pageMargins left="0.23622047244094491" right="0.23622047244094491" top="0" bottom="0" header="0.31496062992125984" footer="0.31496062992125984"/>
  <pageSetup paperSize="9" scale="82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589E-40B4-421E-B2EB-1D023F86FD8F}">
  <dimension ref="A1:O12"/>
  <sheetViews>
    <sheetView showGridLines="0" tabSelected="1" zoomScale="80" zoomScaleNormal="80" workbookViewId="0">
      <selection activeCell="G20" sqref="G20"/>
    </sheetView>
  </sheetViews>
  <sheetFormatPr defaultColWidth="9.140625" defaultRowHeight="15" customHeight="1"/>
  <cols>
    <col min="1" max="1" width="4.85546875" style="148" customWidth="1"/>
    <col min="2" max="2" width="28.28515625" style="152" customWidth="1"/>
    <col min="3" max="3" width="19.7109375" style="152" customWidth="1"/>
    <col min="4" max="4" width="4.7109375" style="162" customWidth="1"/>
    <col min="5" max="5" width="18.7109375" style="152" customWidth="1"/>
    <col min="6" max="6" width="13.7109375" style="163" customWidth="1"/>
    <col min="7" max="7" width="11.7109375" style="164" customWidth="1"/>
    <col min="8" max="8" width="12.7109375" style="164" customWidth="1"/>
    <col min="9" max="9" width="11.28515625" style="164" customWidth="1"/>
    <col min="10" max="10" width="11.5703125" style="164" customWidth="1"/>
    <col min="11" max="11" width="13.28515625" style="163" customWidth="1"/>
    <col min="12" max="12" width="13.7109375" style="164" customWidth="1"/>
    <col min="13" max="13" width="13.7109375" style="163" customWidth="1"/>
    <col min="14" max="14" width="15.140625" style="164" customWidth="1"/>
    <col min="15" max="15" width="3.85546875" style="148" customWidth="1"/>
    <col min="16" max="17" width="13.85546875" style="148" bestFit="1" customWidth="1"/>
    <col min="18" max="18" width="13" style="148" bestFit="1" customWidth="1"/>
    <col min="19" max="19" width="13.85546875" style="148" bestFit="1" customWidth="1"/>
    <col min="20" max="20" width="10.85546875" style="148" bestFit="1" customWidth="1"/>
    <col min="21" max="21" width="15.42578125" style="148" bestFit="1" customWidth="1"/>
    <col min="22" max="22" width="16.42578125" style="148" bestFit="1" customWidth="1"/>
    <col min="23" max="23" width="12.140625" style="148" bestFit="1" customWidth="1"/>
    <col min="24" max="24" width="13.85546875" style="148" bestFit="1" customWidth="1"/>
    <col min="25" max="25" width="11.85546875" style="148" bestFit="1" customWidth="1"/>
    <col min="26" max="26" width="14.5703125" style="148" bestFit="1" customWidth="1"/>
    <col min="27" max="27" width="15.5703125" style="148" bestFit="1" customWidth="1"/>
    <col min="28" max="28" width="11.42578125" style="148" bestFit="1" customWidth="1"/>
    <col min="29" max="29" width="26.140625" style="148" bestFit="1" customWidth="1"/>
    <col min="30" max="30" width="12" style="148" bestFit="1" customWidth="1"/>
    <col min="31" max="31" width="10.7109375" style="148" bestFit="1" customWidth="1"/>
    <col min="32" max="32" width="11.85546875" style="148" bestFit="1" customWidth="1"/>
    <col min="33" max="33" width="12.5703125" style="148" bestFit="1" customWidth="1"/>
    <col min="34" max="34" width="3.85546875" style="148" bestFit="1" customWidth="1"/>
    <col min="35" max="35" width="12.140625" style="148" bestFit="1" customWidth="1"/>
    <col min="36" max="36" width="9.42578125" style="148" bestFit="1" customWidth="1"/>
    <col min="37" max="37" width="9.28515625" style="148" bestFit="1" customWidth="1"/>
    <col min="38" max="38" width="9.42578125" style="148" bestFit="1" customWidth="1"/>
    <col min="39" max="39" width="9.28515625" style="148" bestFit="1" customWidth="1"/>
    <col min="40" max="41" width="10.7109375" style="148" bestFit="1" customWidth="1"/>
    <col min="42" max="42" width="12" style="148" customWidth="1"/>
    <col min="43" max="43" width="13.85546875" style="148" bestFit="1" customWidth="1"/>
    <col min="44" max="44" width="13" style="148" bestFit="1" customWidth="1"/>
    <col min="45" max="45" width="9.85546875" style="148" bestFit="1" customWidth="1"/>
    <col min="46" max="46" width="10.85546875" style="148" bestFit="1" customWidth="1"/>
    <col min="47" max="47" width="15.140625" style="148" bestFit="1" customWidth="1"/>
    <col min="48" max="48" width="16.28515625" style="148" bestFit="1" customWidth="1"/>
    <col min="49" max="49" width="12.140625" style="148" bestFit="1" customWidth="1"/>
    <col min="50" max="50" width="13.85546875" style="148" bestFit="1" customWidth="1"/>
    <col min="51" max="51" width="11.85546875" style="148" bestFit="1" customWidth="1"/>
    <col min="52" max="53" width="9.42578125" style="148" bestFit="1" customWidth="1"/>
    <col min="54" max="54" width="9.140625" style="148"/>
    <col min="55" max="55" width="9.28515625" style="148" bestFit="1" customWidth="1"/>
    <col min="56" max="56" width="9.140625" style="148"/>
    <col min="57" max="59" width="10.140625" style="148" bestFit="1" customWidth="1"/>
    <col min="60" max="62" width="9.28515625" style="148" bestFit="1" customWidth="1"/>
    <col min="63" max="65" width="10.140625" style="148" bestFit="1" customWidth="1"/>
    <col min="66" max="71" width="9.140625" style="148"/>
    <col min="72" max="74" width="9.28515625" style="148" bestFit="1" customWidth="1"/>
    <col min="75" max="16384" width="9.140625" style="148"/>
  </cols>
  <sheetData>
    <row r="1" spans="1:15" ht="15" customHeight="1">
      <c r="A1" s="41" t="s">
        <v>243</v>
      </c>
      <c r="B1" s="41"/>
      <c r="C1" s="41"/>
      <c r="D1" s="41"/>
      <c r="E1" s="41"/>
      <c r="F1" s="41"/>
      <c r="G1" s="148"/>
      <c r="H1" s="148"/>
      <c r="I1" s="148"/>
      <c r="J1" s="148"/>
      <c r="K1" s="148"/>
      <c r="L1" s="148"/>
      <c r="M1" s="148"/>
      <c r="N1" s="148"/>
    </row>
    <row r="2" spans="1:15" ht="15" customHeight="1">
      <c r="A2" s="41" t="s">
        <v>234</v>
      </c>
      <c r="B2" s="41"/>
      <c r="C2" s="41"/>
      <c r="D2" s="41"/>
      <c r="E2" s="41"/>
      <c r="F2" s="41"/>
      <c r="G2" s="148"/>
      <c r="H2" s="148"/>
      <c r="I2" s="148"/>
      <c r="J2" s="148"/>
      <c r="K2" s="148"/>
      <c r="L2" s="148"/>
      <c r="M2" s="148"/>
      <c r="N2" s="148"/>
    </row>
    <row r="3" spans="1:15" ht="15" customHeight="1">
      <c r="A3" s="240" t="s">
        <v>364</v>
      </c>
      <c r="B3" s="240"/>
      <c r="C3" s="240"/>
      <c r="D3" s="240"/>
      <c r="E3" s="240"/>
      <c r="F3" s="240"/>
      <c r="G3" s="148"/>
      <c r="H3" s="148"/>
      <c r="I3" s="148"/>
      <c r="J3" s="148"/>
      <c r="K3" s="148"/>
      <c r="L3" s="148"/>
      <c r="M3" s="148"/>
      <c r="N3" s="148"/>
    </row>
    <row r="4" spans="1:15" ht="15" customHeight="1">
      <c r="A4" s="149"/>
      <c r="B4" s="150"/>
      <c r="C4" s="150"/>
      <c r="D4" s="149"/>
      <c r="E4" s="149"/>
      <c r="F4" s="151"/>
      <c r="G4" s="148"/>
      <c r="H4" s="148"/>
      <c r="I4" s="148"/>
      <c r="J4" s="148"/>
      <c r="K4" s="148"/>
      <c r="L4" s="148"/>
      <c r="M4" s="148"/>
      <c r="N4" s="148"/>
    </row>
    <row r="5" spans="1:15" s="152" customFormat="1" ht="15" customHeight="1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</row>
    <row r="6" spans="1:15" s="154" customFormat="1" ht="15" customHeight="1">
      <c r="A6" s="274" t="s">
        <v>82</v>
      </c>
      <c r="B6" s="274" t="s">
        <v>3</v>
      </c>
      <c r="C6" s="274" t="s">
        <v>97</v>
      </c>
      <c r="D6" s="274" t="s">
        <v>4</v>
      </c>
      <c r="E6" s="275" t="s">
        <v>251</v>
      </c>
      <c r="F6" s="276" t="s">
        <v>350</v>
      </c>
      <c r="G6" s="276" t="s">
        <v>103</v>
      </c>
      <c r="H6" s="276"/>
      <c r="I6" s="276"/>
      <c r="J6" s="276"/>
      <c r="K6" s="276" t="s">
        <v>146</v>
      </c>
      <c r="L6" s="276" t="s">
        <v>110</v>
      </c>
      <c r="M6" s="98"/>
      <c r="N6" s="276" t="s">
        <v>115</v>
      </c>
      <c r="O6" s="153"/>
    </row>
    <row r="7" spans="1:15" s="154" customFormat="1" ht="15" customHeight="1">
      <c r="A7" s="274"/>
      <c r="B7" s="274"/>
      <c r="C7" s="274"/>
      <c r="D7" s="274"/>
      <c r="E7" s="275"/>
      <c r="F7" s="276"/>
      <c r="G7" s="266" t="s">
        <v>106</v>
      </c>
      <c r="H7" s="266" t="s">
        <v>108</v>
      </c>
      <c r="I7" s="266" t="s">
        <v>107</v>
      </c>
      <c r="J7" s="266" t="s">
        <v>83</v>
      </c>
      <c r="K7" s="276"/>
      <c r="L7" s="276"/>
      <c r="M7" s="272" t="s">
        <v>1</v>
      </c>
      <c r="N7" s="276"/>
      <c r="O7" s="153"/>
    </row>
    <row r="8" spans="1:15" s="154" customFormat="1" ht="15" customHeight="1">
      <c r="A8" s="274"/>
      <c r="B8" s="274"/>
      <c r="C8" s="274"/>
      <c r="D8" s="274"/>
      <c r="E8" s="275"/>
      <c r="F8" s="276"/>
      <c r="G8" s="155">
        <v>1.1900000000000001E-2</v>
      </c>
      <c r="H8" s="155">
        <v>5.7000000000000002E-2</v>
      </c>
      <c r="I8" s="155">
        <v>0.02</v>
      </c>
      <c r="J8" s="156">
        <v>0.05</v>
      </c>
      <c r="K8" s="276"/>
      <c r="L8" s="276"/>
      <c r="M8" s="100"/>
      <c r="N8" s="276"/>
      <c r="O8" s="153"/>
    </row>
    <row r="9" spans="1:15" ht="15" customHeight="1">
      <c r="A9" s="157"/>
      <c r="B9" s="157"/>
      <c r="C9" s="157"/>
      <c r="D9" s="157"/>
      <c r="E9" s="157"/>
      <c r="F9" s="25"/>
      <c r="G9" s="158"/>
      <c r="H9" s="158"/>
      <c r="I9" s="158"/>
      <c r="J9" s="158"/>
      <c r="K9" s="158"/>
      <c r="L9" s="158"/>
      <c r="M9" s="158"/>
      <c r="N9" s="158"/>
    </row>
    <row r="10" spans="1:15" ht="15" customHeight="1">
      <c r="A10" s="17">
        <v>1</v>
      </c>
      <c r="B10" s="159" t="s">
        <v>388</v>
      </c>
      <c r="C10" s="18" t="s">
        <v>188</v>
      </c>
      <c r="D10" s="18" t="s">
        <v>7</v>
      </c>
      <c r="E10" s="242" t="s">
        <v>250</v>
      </c>
      <c r="F10" s="66">
        <f>270000000-5045000</f>
        <v>264955000</v>
      </c>
      <c r="G10" s="160">
        <v>595000</v>
      </c>
      <c r="H10" s="160">
        <v>2850000</v>
      </c>
      <c r="I10" s="160">
        <v>1000000</v>
      </c>
      <c r="J10" s="160">
        <v>600000</v>
      </c>
      <c r="K10" s="160">
        <f>SUM(G10:J10)</f>
        <v>5045000</v>
      </c>
      <c r="L10" s="160">
        <f>+F10+K10</f>
        <v>270000000</v>
      </c>
      <c r="M10" s="160">
        <v>75600000</v>
      </c>
      <c r="N10" s="160">
        <f>+F10-M10</f>
        <v>189355000</v>
      </c>
    </row>
    <row r="11" spans="1:15" ht="15" customHeight="1">
      <c r="A11" s="17"/>
      <c r="B11" s="161"/>
      <c r="C11" s="161"/>
      <c r="D11" s="17"/>
      <c r="E11" s="17"/>
      <c r="F11" s="66"/>
      <c r="G11" s="158"/>
      <c r="H11" s="158"/>
      <c r="I11" s="158"/>
      <c r="J11" s="158"/>
      <c r="K11" s="158"/>
      <c r="L11" s="158"/>
      <c r="M11" s="158"/>
      <c r="N11" s="158"/>
    </row>
    <row r="12" spans="1:15" ht="15" customHeight="1">
      <c r="A12" s="277" t="s">
        <v>11</v>
      </c>
      <c r="B12" s="277"/>
      <c r="C12" s="277"/>
      <c r="D12" s="277"/>
      <c r="E12" s="277"/>
      <c r="F12" s="40">
        <f t="shared" ref="F12:N12" si="0">SUM(F10:F11)</f>
        <v>264955000</v>
      </c>
      <c r="G12" s="40">
        <f t="shared" si="0"/>
        <v>595000</v>
      </c>
      <c r="H12" s="40">
        <f t="shared" si="0"/>
        <v>2850000</v>
      </c>
      <c r="I12" s="40">
        <f t="shared" si="0"/>
        <v>1000000</v>
      </c>
      <c r="J12" s="40">
        <f t="shared" si="0"/>
        <v>600000</v>
      </c>
      <c r="K12" s="40">
        <f t="shared" si="0"/>
        <v>5045000</v>
      </c>
      <c r="L12" s="40">
        <f t="shared" si="0"/>
        <v>270000000</v>
      </c>
      <c r="M12" s="40">
        <f t="shared" si="0"/>
        <v>75600000</v>
      </c>
      <c r="N12" s="40">
        <f t="shared" si="0"/>
        <v>189355000</v>
      </c>
    </row>
  </sheetData>
  <mergeCells count="11">
    <mergeCell ref="G6:J6"/>
    <mergeCell ref="K6:K8"/>
    <mergeCell ref="L6:L8"/>
    <mergeCell ref="N6:N8"/>
    <mergeCell ref="A12:E12"/>
    <mergeCell ref="A6:A8"/>
    <mergeCell ref="B6:B8"/>
    <mergeCell ref="C6:C8"/>
    <mergeCell ref="D6:D8"/>
    <mergeCell ref="E6:E8"/>
    <mergeCell ref="F6:F8"/>
  </mergeCells>
  <printOptions horizontalCentered="1"/>
  <pageMargins left="1.1811023622047245" right="0" top="1.1417322834645669" bottom="0.74803149606299213" header="0.31496062992125984" footer="0.31496062992125984"/>
  <pageSetup paperSize="5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1538-5E8A-4234-ACB8-9639AA8DC542}">
  <dimension ref="A1:AM34"/>
  <sheetViews>
    <sheetView showGridLines="0" zoomScale="80" zoomScaleNormal="80" workbookViewId="0">
      <selection activeCell="R27" sqref="R27"/>
    </sheetView>
  </sheetViews>
  <sheetFormatPr defaultColWidth="9.140625" defaultRowHeight="15" customHeight="1"/>
  <cols>
    <col min="1" max="1" width="4.85546875" style="44" customWidth="1"/>
    <col min="2" max="2" width="28.28515625" style="45" customWidth="1"/>
    <col min="3" max="3" width="7.28515625" style="45" customWidth="1"/>
    <col min="4" max="4" width="15.42578125" style="46" customWidth="1"/>
    <col min="5" max="5" width="4.7109375" style="46" customWidth="1"/>
    <col min="6" max="6" width="20.5703125" style="6" customWidth="1"/>
    <col min="7" max="7" width="14.7109375" style="6" customWidth="1"/>
    <col min="8" max="8" width="12.7109375" style="4" hidden="1" customWidth="1"/>
    <col min="9" max="9" width="12.5703125" style="4" customWidth="1"/>
    <col min="10" max="13" width="10.7109375" style="4" hidden="1" customWidth="1"/>
    <col min="14" max="14" width="14.7109375" style="22" customWidth="1"/>
    <col min="15" max="16" width="11.85546875" style="4" customWidth="1"/>
    <col min="17" max="17" width="11.85546875" style="22" customWidth="1"/>
    <col min="18" max="18" width="11.85546875" style="4" customWidth="1"/>
    <col min="19" max="19" width="12.7109375" style="22" customWidth="1"/>
    <col min="20" max="20" width="13.7109375" style="22" customWidth="1"/>
    <col min="21" max="24" width="11.7109375" style="4" customWidth="1"/>
    <col min="25" max="25" width="11.7109375" style="22" customWidth="1"/>
    <col min="26" max="26" width="13.5703125" style="22" customWidth="1"/>
    <col min="27" max="27" width="14.7109375" style="22" customWidth="1"/>
    <col min="28" max="28" width="11.7109375" style="4" customWidth="1"/>
    <col min="29" max="29" width="8.28515625" style="3" customWidth="1"/>
    <col min="30" max="30" width="12.7109375" style="267" customWidth="1"/>
    <col min="31" max="31" width="14.28515625" style="5" customWidth="1"/>
    <col min="32" max="32" width="14.28515625" style="3" bestFit="1" customWidth="1"/>
    <col min="33" max="34" width="11.7109375" style="3" customWidth="1"/>
    <col min="35" max="35" width="15.140625" style="3" bestFit="1" customWidth="1"/>
    <col min="36" max="37" width="12.28515625" style="3" bestFit="1" customWidth="1"/>
    <col min="38" max="39" width="11.7109375" style="3" customWidth="1"/>
    <col min="40" max="40" width="16.42578125" style="3" bestFit="1" customWidth="1"/>
    <col min="41" max="41" width="12.140625" style="3" bestFit="1" customWidth="1"/>
    <col min="42" max="42" width="13.85546875" style="3" bestFit="1" customWidth="1"/>
    <col min="43" max="43" width="11.85546875" style="3" bestFit="1" customWidth="1"/>
    <col min="44" max="44" width="14.5703125" style="3" bestFit="1" customWidth="1"/>
    <col min="45" max="45" width="15.5703125" style="3" bestFit="1" customWidth="1"/>
    <col min="46" max="46" width="11.42578125" style="3" bestFit="1" customWidth="1"/>
    <col min="47" max="47" width="26.140625" style="3" bestFit="1" customWidth="1"/>
    <col min="48" max="48" width="12" style="3" bestFit="1" customWidth="1"/>
    <col min="49" max="49" width="10.7109375" style="3" bestFit="1" customWidth="1"/>
    <col min="50" max="50" width="11.85546875" style="3" bestFit="1" customWidth="1"/>
    <col min="51" max="51" width="12.5703125" style="3" bestFit="1" customWidth="1"/>
    <col min="52" max="52" width="3.85546875" style="3" bestFit="1" customWidth="1"/>
    <col min="53" max="53" width="12.140625" style="3" bestFit="1" customWidth="1"/>
    <col min="54" max="54" width="9.42578125" style="3" bestFit="1" customWidth="1"/>
    <col min="55" max="55" width="9.28515625" style="3" bestFit="1" customWidth="1"/>
    <col min="56" max="56" width="9.42578125" style="3" bestFit="1" customWidth="1"/>
    <col min="57" max="57" width="9.28515625" style="3" bestFit="1" customWidth="1"/>
    <col min="58" max="59" width="10.7109375" style="3" bestFit="1" customWidth="1"/>
    <col min="60" max="60" width="12" style="3" customWidth="1"/>
    <col min="61" max="61" width="13.85546875" style="3" bestFit="1" customWidth="1"/>
    <col min="62" max="62" width="13" style="3" bestFit="1" customWidth="1"/>
    <col min="63" max="63" width="9.85546875" style="3" bestFit="1" customWidth="1"/>
    <col min="64" max="64" width="10.85546875" style="3" bestFit="1" customWidth="1"/>
    <col min="65" max="65" width="15.140625" style="3" bestFit="1" customWidth="1"/>
    <col min="66" max="66" width="16.28515625" style="3" bestFit="1" customWidth="1"/>
    <col min="67" max="67" width="12.140625" style="3" bestFit="1" customWidth="1"/>
    <col min="68" max="68" width="13.85546875" style="3" bestFit="1" customWidth="1"/>
    <col min="69" max="69" width="11.85546875" style="3" bestFit="1" customWidth="1"/>
    <col min="70" max="71" width="9.42578125" style="3" bestFit="1" customWidth="1"/>
    <col min="72" max="72" width="9.140625" style="3"/>
    <col min="73" max="73" width="9.28515625" style="3" bestFit="1" customWidth="1"/>
    <col min="74" max="74" width="9.140625" style="3"/>
    <col min="75" max="77" width="10.140625" style="3" bestFit="1" customWidth="1"/>
    <col min="78" max="80" width="9.28515625" style="3" bestFit="1" customWidth="1"/>
    <col min="81" max="83" width="10.140625" style="3" bestFit="1" customWidth="1"/>
    <col min="84" max="89" width="9.140625" style="3"/>
    <col min="90" max="92" width="9.28515625" style="3" bestFit="1" customWidth="1"/>
    <col min="93" max="16384" width="9.140625" style="3"/>
  </cols>
  <sheetData>
    <row r="1" spans="1:39" ht="15" customHeight="1">
      <c r="A1" s="41" t="s">
        <v>351</v>
      </c>
      <c r="B1" s="41"/>
      <c r="C1" s="41"/>
      <c r="D1" s="47"/>
      <c r="E1" s="4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2"/>
      <c r="V1" s="2"/>
      <c r="W1" s="1"/>
      <c r="X1" s="1"/>
      <c r="Y1" s="2"/>
      <c r="Z1" s="1"/>
      <c r="AA1" s="2"/>
      <c r="AB1" s="31"/>
      <c r="AC1" s="22"/>
      <c r="AD1" s="20"/>
      <c r="AE1" s="21"/>
      <c r="AF1" s="26"/>
      <c r="AG1" s="21"/>
      <c r="AH1" s="21"/>
      <c r="AI1" s="21"/>
      <c r="AJ1" s="21"/>
      <c r="AK1" s="21"/>
      <c r="AL1" s="4"/>
    </row>
    <row r="2" spans="1:39" ht="15" customHeight="1">
      <c r="A2" s="41" t="s">
        <v>172</v>
      </c>
      <c r="B2" s="41"/>
      <c r="C2" s="41"/>
      <c r="D2" s="47"/>
      <c r="E2" s="4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2"/>
      <c r="V2" s="2"/>
      <c r="W2" s="1"/>
      <c r="X2" s="1"/>
      <c r="Y2" s="2"/>
      <c r="Z2" s="1"/>
      <c r="AA2" s="2"/>
      <c r="AB2" s="31"/>
      <c r="AC2" s="22"/>
      <c r="AD2" s="20"/>
      <c r="AE2" s="21"/>
      <c r="AF2" s="26"/>
      <c r="AG2" s="21"/>
      <c r="AH2" s="21"/>
      <c r="AI2" s="21"/>
      <c r="AJ2" s="21"/>
      <c r="AK2" s="21"/>
      <c r="AL2" s="4"/>
    </row>
    <row r="3" spans="1:39" ht="15" customHeight="1">
      <c r="A3" s="240" t="s">
        <v>364</v>
      </c>
      <c r="B3" s="240"/>
      <c r="C3" s="240"/>
      <c r="D3" s="240"/>
      <c r="E3" s="240"/>
      <c r="F3" s="240"/>
      <c r="G3" s="2"/>
      <c r="H3" s="2"/>
      <c r="I3" s="2"/>
      <c r="J3" s="2"/>
      <c r="K3" s="2"/>
      <c r="L3" s="2"/>
      <c r="M3" s="2"/>
      <c r="N3" s="2"/>
      <c r="O3" s="32"/>
      <c r="P3" s="2"/>
      <c r="Q3" s="2"/>
      <c r="R3" s="2"/>
      <c r="S3" s="2"/>
      <c r="T3" s="1"/>
      <c r="U3" s="2"/>
      <c r="V3" s="2"/>
      <c r="W3" s="1"/>
      <c r="X3" s="1"/>
      <c r="Y3" s="2"/>
      <c r="Z3" s="1"/>
      <c r="AA3" s="2"/>
      <c r="AB3" s="31"/>
      <c r="AC3" s="22"/>
      <c r="AD3" s="20"/>
      <c r="AE3" s="21"/>
      <c r="AF3" s="26"/>
      <c r="AG3" s="21"/>
      <c r="AH3" s="21"/>
      <c r="AI3" s="21"/>
      <c r="AJ3" s="21"/>
      <c r="AK3" s="21"/>
      <c r="AL3" s="4"/>
    </row>
    <row r="4" spans="1:39" s="6" customFormat="1" ht="15" customHeight="1">
      <c r="A4" s="105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10"/>
      <c r="AC4" s="27"/>
      <c r="AD4" s="26"/>
      <c r="AE4" s="26"/>
      <c r="AF4" s="26"/>
      <c r="AG4" s="26"/>
      <c r="AH4" s="26"/>
      <c r="AI4" s="26"/>
      <c r="AJ4" s="26"/>
      <c r="AK4" s="26"/>
      <c r="AL4" s="267"/>
    </row>
    <row r="5" spans="1:39" s="54" customFormat="1" ht="15" customHeight="1">
      <c r="A5" s="282" t="s">
        <v>82</v>
      </c>
      <c r="B5" s="282" t="s">
        <v>3</v>
      </c>
      <c r="C5" s="270" t="s">
        <v>173</v>
      </c>
      <c r="D5" s="282" t="s">
        <v>47</v>
      </c>
      <c r="E5" s="282" t="s">
        <v>4</v>
      </c>
      <c r="F5" s="283" t="s">
        <v>251</v>
      </c>
      <c r="G5" s="284" t="s">
        <v>111</v>
      </c>
      <c r="H5" s="284" t="s">
        <v>5</v>
      </c>
      <c r="I5" s="284" t="s">
        <v>0</v>
      </c>
      <c r="J5" s="284"/>
      <c r="K5" s="284"/>
      <c r="L5" s="284"/>
      <c r="M5" s="284"/>
      <c r="N5" s="276" t="s">
        <v>110</v>
      </c>
      <c r="O5" s="276" t="s">
        <v>103</v>
      </c>
      <c r="P5" s="276"/>
      <c r="Q5" s="276"/>
      <c r="R5" s="276"/>
      <c r="S5" s="276" t="s">
        <v>146</v>
      </c>
      <c r="T5" s="276" t="s">
        <v>114</v>
      </c>
      <c r="U5" s="276" t="s">
        <v>102</v>
      </c>
      <c r="V5" s="276"/>
      <c r="W5" s="276"/>
      <c r="X5" s="276"/>
      <c r="Y5" s="276" t="s">
        <v>113</v>
      </c>
      <c r="Z5" s="276"/>
      <c r="AA5" s="276" t="s">
        <v>2</v>
      </c>
      <c r="AB5" s="53"/>
      <c r="AD5" s="288" t="s">
        <v>167</v>
      </c>
      <c r="AE5" s="289" t="s">
        <v>168</v>
      </c>
      <c r="AF5" s="288" t="s">
        <v>114</v>
      </c>
      <c r="AG5" s="285" t="s">
        <v>164</v>
      </c>
      <c r="AH5" s="288" t="s">
        <v>153</v>
      </c>
      <c r="AI5" s="285" t="s">
        <v>169</v>
      </c>
      <c r="AJ5" s="288" t="s">
        <v>165</v>
      </c>
      <c r="AK5" s="289" t="s">
        <v>166</v>
      </c>
      <c r="AL5" s="291" t="s">
        <v>171</v>
      </c>
      <c r="AM5" s="285" t="s">
        <v>170</v>
      </c>
    </row>
    <row r="6" spans="1:39" s="54" customFormat="1" ht="15" customHeight="1">
      <c r="A6" s="282"/>
      <c r="B6" s="282"/>
      <c r="C6" s="270" t="s">
        <v>174</v>
      </c>
      <c r="D6" s="282"/>
      <c r="E6" s="282"/>
      <c r="F6" s="283"/>
      <c r="G6" s="284"/>
      <c r="H6" s="284"/>
      <c r="I6" s="276" t="s">
        <v>109</v>
      </c>
      <c r="J6" s="284" t="s">
        <v>84</v>
      </c>
      <c r="K6" s="284" t="s">
        <v>89</v>
      </c>
      <c r="L6" s="268" t="s">
        <v>86</v>
      </c>
      <c r="M6" s="268" t="s">
        <v>88</v>
      </c>
      <c r="N6" s="276"/>
      <c r="O6" s="268" t="s">
        <v>106</v>
      </c>
      <c r="P6" s="268" t="s">
        <v>108</v>
      </c>
      <c r="Q6" s="268" t="s">
        <v>107</v>
      </c>
      <c r="R6" s="268" t="s">
        <v>83</v>
      </c>
      <c r="S6" s="276"/>
      <c r="T6" s="276"/>
      <c r="U6" s="268" t="s">
        <v>108</v>
      </c>
      <c r="V6" s="268" t="s">
        <v>107</v>
      </c>
      <c r="W6" s="268" t="s">
        <v>83</v>
      </c>
      <c r="X6" s="268" t="s">
        <v>104</v>
      </c>
      <c r="Y6" s="266" t="s">
        <v>105</v>
      </c>
      <c r="Z6" s="276" t="s">
        <v>1</v>
      </c>
      <c r="AA6" s="276"/>
      <c r="AB6" s="53"/>
      <c r="AD6" s="288"/>
      <c r="AE6" s="289"/>
      <c r="AF6" s="288"/>
      <c r="AG6" s="286"/>
      <c r="AH6" s="288"/>
      <c r="AI6" s="286"/>
      <c r="AJ6" s="288"/>
      <c r="AK6" s="289"/>
      <c r="AL6" s="292"/>
      <c r="AM6" s="286"/>
    </row>
    <row r="7" spans="1:39" s="54" customFormat="1" ht="15" customHeight="1">
      <c r="A7" s="282"/>
      <c r="B7" s="282"/>
      <c r="C7" s="270"/>
      <c r="D7" s="282"/>
      <c r="E7" s="282"/>
      <c r="F7" s="283"/>
      <c r="G7" s="284"/>
      <c r="H7" s="284"/>
      <c r="I7" s="276"/>
      <c r="J7" s="284"/>
      <c r="K7" s="284"/>
      <c r="L7" s="268" t="s">
        <v>87</v>
      </c>
      <c r="M7" s="268" t="s">
        <v>89</v>
      </c>
      <c r="N7" s="276"/>
      <c r="O7" s="33">
        <v>1.1900000000000001E-2</v>
      </c>
      <c r="P7" s="33">
        <v>0.02</v>
      </c>
      <c r="Q7" s="33">
        <v>0.02</v>
      </c>
      <c r="R7" s="77">
        <v>0.04</v>
      </c>
      <c r="S7" s="276"/>
      <c r="T7" s="276"/>
      <c r="U7" s="33">
        <v>0.02</v>
      </c>
      <c r="V7" s="33">
        <v>0.01</v>
      </c>
      <c r="W7" s="33">
        <v>0.01</v>
      </c>
      <c r="X7" s="33">
        <v>0.01</v>
      </c>
      <c r="Y7" s="266" t="s">
        <v>112</v>
      </c>
      <c r="Z7" s="276"/>
      <c r="AA7" s="268" t="s">
        <v>6</v>
      </c>
      <c r="AB7" s="53"/>
      <c r="AD7" s="288"/>
      <c r="AE7" s="289"/>
      <c r="AF7" s="288"/>
      <c r="AG7" s="102">
        <v>0.05</v>
      </c>
      <c r="AH7" s="288"/>
      <c r="AI7" s="103">
        <v>12</v>
      </c>
      <c r="AJ7" s="288"/>
      <c r="AK7" s="289"/>
      <c r="AL7" s="293"/>
      <c r="AM7" s="287"/>
    </row>
    <row r="8" spans="1:39" s="54" customFormat="1" ht="15" customHeight="1">
      <c r="A8" s="89"/>
      <c r="B8" s="89"/>
      <c r="C8" s="89"/>
      <c r="D8" s="90"/>
      <c r="E8" s="89"/>
      <c r="F8" s="51"/>
      <c r="G8" s="52"/>
      <c r="H8" s="52"/>
      <c r="I8" s="52"/>
      <c r="J8" s="52"/>
      <c r="K8" s="52"/>
      <c r="L8" s="52"/>
      <c r="M8" s="52"/>
      <c r="N8" s="52"/>
      <c r="O8" s="92"/>
      <c r="P8" s="52"/>
      <c r="Q8" s="76"/>
      <c r="R8" s="52"/>
      <c r="S8" s="52"/>
      <c r="T8" s="52"/>
      <c r="U8" s="76"/>
      <c r="V8" s="76"/>
      <c r="W8" s="76"/>
      <c r="X8" s="76"/>
      <c r="Y8" s="52"/>
      <c r="Z8" s="52"/>
      <c r="AA8" s="52"/>
      <c r="AB8" s="53"/>
      <c r="AD8" s="101"/>
      <c r="AE8" s="101"/>
      <c r="AF8" s="101"/>
      <c r="AG8" s="101"/>
      <c r="AH8" s="101"/>
      <c r="AI8" s="101"/>
      <c r="AJ8" s="101"/>
      <c r="AK8" s="101"/>
      <c r="AL8" s="101"/>
      <c r="AM8" s="101"/>
    </row>
    <row r="9" spans="1:39" s="54" customFormat="1" ht="15" customHeight="1">
      <c r="A9" s="72">
        <v>1</v>
      </c>
      <c r="B9" s="239" t="s">
        <v>365</v>
      </c>
      <c r="C9" s="72">
        <v>12</v>
      </c>
      <c r="D9" s="239" t="s">
        <v>59</v>
      </c>
      <c r="E9" s="72" t="s">
        <v>9</v>
      </c>
      <c r="F9" s="242" t="s">
        <v>252</v>
      </c>
      <c r="G9" s="66">
        <v>8500000</v>
      </c>
      <c r="H9" s="66"/>
      <c r="I9" s="66">
        <v>0</v>
      </c>
      <c r="J9" s="160">
        <v>0</v>
      </c>
      <c r="K9" s="160">
        <v>0</v>
      </c>
      <c r="L9" s="160">
        <v>0</v>
      </c>
      <c r="M9" s="66"/>
      <c r="N9" s="121">
        <f>SUM(G9:M9)</f>
        <v>8500000</v>
      </c>
      <c r="O9" s="66">
        <v>0</v>
      </c>
      <c r="P9" s="66">
        <v>0</v>
      </c>
      <c r="Q9" s="66">
        <v>0</v>
      </c>
      <c r="R9" s="66">
        <f>+AE9*$R$7</f>
        <v>340000</v>
      </c>
      <c r="S9" s="121">
        <f>SUM(O9:R9)</f>
        <v>340000</v>
      </c>
      <c r="T9" s="121">
        <f t="shared" ref="T9:T21" si="0">+N9+S9</f>
        <v>8840000</v>
      </c>
      <c r="U9" s="66">
        <v>0</v>
      </c>
      <c r="V9" s="66">
        <v>0</v>
      </c>
      <c r="W9" s="66">
        <f>+AE9*$W$7</f>
        <v>85000</v>
      </c>
      <c r="X9" s="116">
        <v>0</v>
      </c>
      <c r="Y9" s="121">
        <f t="shared" ref="Y9:Y21" si="1">SUM(U9:X9)</f>
        <v>85000</v>
      </c>
      <c r="Z9" s="24">
        <v>88400</v>
      </c>
      <c r="AA9" s="121">
        <f>+N9-Y9-Z9</f>
        <v>8326600</v>
      </c>
      <c r="AB9" s="53" t="s">
        <v>244</v>
      </c>
      <c r="AD9" s="24">
        <v>0</v>
      </c>
      <c r="AE9" s="24">
        <f>+N9</f>
        <v>8500000</v>
      </c>
      <c r="AF9" s="101">
        <f>+N9+O9+R9</f>
        <v>8840000</v>
      </c>
      <c r="AG9" s="101">
        <f>IF(AF9*$AG$7&gt;500000,500000,AF9*$AG$7)</f>
        <v>442000</v>
      </c>
      <c r="AH9" s="101">
        <f>+AF9-AG9-U9-V9</f>
        <v>8398000</v>
      </c>
      <c r="AI9" s="101">
        <f>+AH9*$AI$7</f>
        <v>100776000</v>
      </c>
      <c r="AJ9" s="101">
        <f>IF(E9="TK",54000000,(IF(OR(E9="TK1",E9="K"),58500000,(IF(OR(E9="TK2",E9="K1"),63000000,(IF(OR(OR(E9="TK3",E9="TK4"),E9="K2"),67500000,72000000)))))))</f>
        <v>63000000</v>
      </c>
      <c r="AK9" s="113">
        <f t="shared" ref="AK9:AK21" si="2">IF((+AI9-AJ9)&lt;=0,0,TRUNC((AI9-AJ9)/1000)*1000)</f>
        <v>37776000</v>
      </c>
      <c r="AL9" s="113">
        <f t="shared" ref="AL9:AL21" si="3">IF(AK9&lt;=60000000,AK9*5%,IF(AK9&lt;=250000000,3000000+((AK9-60000000)*15%),IF(AK9&lt;=500000000,31500000+((AK9-250000000)*25%),IF(AND(AK9&gt;=500000000,AK9&lt;=5000000000),94000000+((AK9-500000000)*30%),IF(AK9&gt;5000000000,(1444000000+(AK9-5000000000)*35%))))))</f>
        <v>1888800</v>
      </c>
      <c r="AM9" s="38">
        <f>+AL9/12</f>
        <v>157400</v>
      </c>
    </row>
    <row r="10" spans="1:39" s="54" customFormat="1" ht="15" customHeight="1">
      <c r="A10" s="72">
        <v>2</v>
      </c>
      <c r="B10" s="239" t="s">
        <v>366</v>
      </c>
      <c r="C10" s="72">
        <v>12</v>
      </c>
      <c r="D10" s="239" t="s">
        <v>41</v>
      </c>
      <c r="E10" s="72" t="s">
        <v>10</v>
      </c>
      <c r="F10" s="242" t="s">
        <v>253</v>
      </c>
      <c r="G10" s="66">
        <v>9450558</v>
      </c>
      <c r="H10" s="66"/>
      <c r="I10" s="66">
        <v>500000</v>
      </c>
      <c r="J10" s="66">
        <v>0</v>
      </c>
      <c r="K10" s="66">
        <v>0</v>
      </c>
      <c r="L10" s="66">
        <v>0</v>
      </c>
      <c r="M10" s="66"/>
      <c r="N10" s="121">
        <f>SUM(G10:M10)</f>
        <v>9950558</v>
      </c>
      <c r="O10" s="66">
        <f>+AD10*$O$7</f>
        <v>112461.64020000001</v>
      </c>
      <c r="P10" s="66">
        <f>+AD10*$P$7</f>
        <v>189011.16</v>
      </c>
      <c r="Q10" s="66">
        <f>+AD10*$Q$7</f>
        <v>189011.16</v>
      </c>
      <c r="R10" s="66">
        <f>+AE10*$R$7</f>
        <v>398022.32</v>
      </c>
      <c r="S10" s="121">
        <f>SUM(O10:R10)</f>
        <v>888506.28019999992</v>
      </c>
      <c r="T10" s="121">
        <f>+N10+S10</f>
        <v>10839064.280200001</v>
      </c>
      <c r="U10" s="66">
        <f>+AD10*$U$7</f>
        <v>189011.16</v>
      </c>
      <c r="V10" s="66">
        <f>+AD10*$V$7</f>
        <v>94505.58</v>
      </c>
      <c r="W10" s="66">
        <f>+AE10*$W$7</f>
        <v>99505.58</v>
      </c>
      <c r="X10" s="116">
        <v>0</v>
      </c>
      <c r="Y10" s="121">
        <f t="shared" si="1"/>
        <v>383022.32</v>
      </c>
      <c r="Z10" s="24">
        <v>261526</v>
      </c>
      <c r="AA10" s="121">
        <f t="shared" ref="AA10:AA21" si="4">+N10-Y10-Z10</f>
        <v>9306009.6799999997</v>
      </c>
      <c r="AB10" s="53"/>
      <c r="AD10" s="24">
        <f>+G10</f>
        <v>9450558</v>
      </c>
      <c r="AE10" s="24">
        <f t="shared" ref="AE10:AE21" si="5">+N10</f>
        <v>9950558</v>
      </c>
      <c r="AF10" s="101">
        <f>+N10+O10+R10</f>
        <v>10461041.960200001</v>
      </c>
      <c r="AG10" s="101">
        <f t="shared" ref="AG10:AG21" si="6">IF(AF10*$AG$7&gt;500000,500000,AF10*$AG$7)</f>
        <v>500000</v>
      </c>
      <c r="AH10" s="101">
        <f t="shared" ref="AH10:AH21" si="7">+AF10-AG10-U10-V10</f>
        <v>9677525.2202000003</v>
      </c>
      <c r="AI10" s="101">
        <f t="shared" ref="AI10:AI21" si="8">+AH10*$AI$7</f>
        <v>116130302.6424</v>
      </c>
      <c r="AJ10" s="101">
        <f t="shared" ref="AJ10:AJ21" si="9">IF(E10="TK",54000000,(IF(OR(E10="TK1",E10="K"),58500000,(IF(OR(E10="TK2",E10="K1"),63000000,(IF(OR(OR(E10="TK3",E10="TK4"),E10="K2"),67500000,72000000)))))))</f>
        <v>54000000</v>
      </c>
      <c r="AK10" s="113">
        <f t="shared" si="2"/>
        <v>62130000</v>
      </c>
      <c r="AL10" s="113">
        <f t="shared" si="3"/>
        <v>3319500</v>
      </c>
      <c r="AM10" s="38">
        <f t="shared" ref="AM10:AM21" si="10">+AL10/12</f>
        <v>276625</v>
      </c>
    </row>
    <row r="11" spans="1:39" ht="15" customHeight="1">
      <c r="A11" s="72">
        <v>4</v>
      </c>
      <c r="B11" s="239" t="s">
        <v>367</v>
      </c>
      <c r="C11" s="72">
        <v>12</v>
      </c>
      <c r="D11" s="239" t="s">
        <v>43</v>
      </c>
      <c r="E11" s="72" t="s">
        <v>10</v>
      </c>
      <c r="F11" s="243" t="s">
        <v>255</v>
      </c>
      <c r="G11" s="66">
        <v>10106032</v>
      </c>
      <c r="H11" s="66"/>
      <c r="I11" s="66">
        <v>700000</v>
      </c>
      <c r="J11" s="66">
        <v>0</v>
      </c>
      <c r="K11" s="66">
        <v>0</v>
      </c>
      <c r="L11" s="66">
        <v>0</v>
      </c>
      <c r="M11" s="66"/>
      <c r="N11" s="121">
        <f t="shared" ref="N11:N21" si="11">SUM(G11:M11)</f>
        <v>10806032</v>
      </c>
      <c r="O11" s="66">
        <f t="shared" ref="O11:O21" si="12">+AD11*$O$7</f>
        <v>120261.78080000001</v>
      </c>
      <c r="P11" s="66">
        <f t="shared" ref="P11:P21" si="13">+AD11*$P$7</f>
        <v>202120.64</v>
      </c>
      <c r="Q11" s="66">
        <f t="shared" ref="Q11:Q21" si="14">+AD11*$Q$7</f>
        <v>202120.64</v>
      </c>
      <c r="R11" s="66">
        <f t="shared" ref="R11:R21" si="15">+AE11*$R$7</f>
        <v>432241.28</v>
      </c>
      <c r="S11" s="121">
        <f t="shared" ref="S11:S21" si="16">SUM(O11:R11)</f>
        <v>956744.34080000012</v>
      </c>
      <c r="T11" s="121">
        <f t="shared" si="0"/>
        <v>11762776.3408</v>
      </c>
      <c r="U11" s="66">
        <f>+AD11*$U$7-95931</f>
        <v>106189.64000000001</v>
      </c>
      <c r="V11" s="66">
        <f t="shared" ref="V11:V21" si="17">+AD11*$V$7</f>
        <v>101060.32</v>
      </c>
      <c r="W11" s="66">
        <f t="shared" ref="W11:W21" si="18">+AE11*$W$7</f>
        <v>108060.32</v>
      </c>
      <c r="X11" s="116">
        <f>+W11*1</f>
        <v>108060.32</v>
      </c>
      <c r="Y11" s="121">
        <f t="shared" si="1"/>
        <v>423370.60000000003</v>
      </c>
      <c r="Z11" s="24">
        <v>397549</v>
      </c>
      <c r="AA11" s="121">
        <f t="shared" si="4"/>
        <v>9985112.4000000004</v>
      </c>
      <c r="AB11" s="53"/>
      <c r="AD11" s="24">
        <f t="shared" ref="AD11:AD21" si="19">+G11</f>
        <v>10106032</v>
      </c>
      <c r="AE11" s="24">
        <f t="shared" si="5"/>
        <v>10806032</v>
      </c>
      <c r="AF11" s="101">
        <f t="shared" ref="AF11:AF18" si="20">+N11+O11+R11</f>
        <v>11358535.060799999</v>
      </c>
      <c r="AG11" s="101">
        <f t="shared" si="6"/>
        <v>500000</v>
      </c>
      <c r="AH11" s="101">
        <f t="shared" si="7"/>
        <v>10651285.100799998</v>
      </c>
      <c r="AI11" s="101">
        <f t="shared" si="8"/>
        <v>127815421.20959997</v>
      </c>
      <c r="AJ11" s="101">
        <f t="shared" si="9"/>
        <v>54000000</v>
      </c>
      <c r="AK11" s="113">
        <f t="shared" si="2"/>
        <v>73815000</v>
      </c>
      <c r="AL11" s="113">
        <f t="shared" si="3"/>
        <v>5072250</v>
      </c>
      <c r="AM11" s="38">
        <f t="shared" si="10"/>
        <v>422687.5</v>
      </c>
    </row>
    <row r="12" spans="1:39" ht="15" customHeight="1">
      <c r="A12" s="72">
        <v>5</v>
      </c>
      <c r="B12" s="239" t="s">
        <v>368</v>
      </c>
      <c r="C12" s="72">
        <v>12</v>
      </c>
      <c r="D12" s="239" t="s">
        <v>45</v>
      </c>
      <c r="E12" s="72" t="s">
        <v>7</v>
      </c>
      <c r="F12" s="242" t="s">
        <v>256</v>
      </c>
      <c r="G12" s="66">
        <v>7970090</v>
      </c>
      <c r="H12" s="66"/>
      <c r="I12" s="66">
        <v>500000</v>
      </c>
      <c r="J12" s="160">
        <v>0</v>
      </c>
      <c r="K12" s="160">
        <v>0</v>
      </c>
      <c r="L12" s="160">
        <v>0</v>
      </c>
      <c r="M12" s="66"/>
      <c r="N12" s="121">
        <f t="shared" si="11"/>
        <v>8470090</v>
      </c>
      <c r="O12" s="66">
        <f t="shared" si="12"/>
        <v>94844.071000000011</v>
      </c>
      <c r="P12" s="66">
        <f t="shared" si="13"/>
        <v>159401.80000000002</v>
      </c>
      <c r="Q12" s="66">
        <f t="shared" si="14"/>
        <v>159401.80000000002</v>
      </c>
      <c r="R12" s="66">
        <f t="shared" si="15"/>
        <v>338803.60000000003</v>
      </c>
      <c r="S12" s="121">
        <f t="shared" si="16"/>
        <v>752451.27100000018</v>
      </c>
      <c r="T12" s="121">
        <f t="shared" si="0"/>
        <v>9222541.2709999997</v>
      </c>
      <c r="U12" s="66">
        <f t="shared" ref="U12:U21" si="21">+AD12*$U$7</f>
        <v>159401.80000000002</v>
      </c>
      <c r="V12" s="66">
        <f t="shared" si="17"/>
        <v>79700.900000000009</v>
      </c>
      <c r="W12" s="66">
        <f t="shared" si="18"/>
        <v>84700.900000000009</v>
      </c>
      <c r="X12" s="116">
        <f>+W12*2+2920+15</f>
        <v>172336.80000000002</v>
      </c>
      <c r="Y12" s="121">
        <f t="shared" si="1"/>
        <v>496140.4</v>
      </c>
      <c r="Z12" s="24">
        <v>89037</v>
      </c>
      <c r="AA12" s="121">
        <f t="shared" si="4"/>
        <v>7884912.5999999996</v>
      </c>
      <c r="AB12" s="53"/>
      <c r="AD12" s="24">
        <f t="shared" si="19"/>
        <v>7970090</v>
      </c>
      <c r="AE12" s="24">
        <f t="shared" si="5"/>
        <v>8470090</v>
      </c>
      <c r="AF12" s="101">
        <f t="shared" si="20"/>
        <v>8903737.6710000001</v>
      </c>
      <c r="AG12" s="101">
        <f t="shared" si="6"/>
        <v>445186.88355000003</v>
      </c>
      <c r="AH12" s="101">
        <f t="shared" si="7"/>
        <v>8219448.0874500005</v>
      </c>
      <c r="AI12" s="101">
        <f t="shared" si="8"/>
        <v>98633377.049400002</v>
      </c>
      <c r="AJ12" s="101">
        <f t="shared" si="9"/>
        <v>67500000</v>
      </c>
      <c r="AK12" s="113">
        <f t="shared" si="2"/>
        <v>31133000</v>
      </c>
      <c r="AL12" s="113">
        <f t="shared" si="3"/>
        <v>1556650</v>
      </c>
      <c r="AM12" s="38">
        <f t="shared" si="10"/>
        <v>129720.83333333333</v>
      </c>
    </row>
    <row r="13" spans="1:39" ht="15" customHeight="1">
      <c r="A13" s="72">
        <v>6</v>
      </c>
      <c r="B13" s="239" t="s">
        <v>369</v>
      </c>
      <c r="C13" s="72">
        <v>12</v>
      </c>
      <c r="D13" s="239" t="s">
        <v>76</v>
      </c>
      <c r="E13" s="72" t="s">
        <v>9</v>
      </c>
      <c r="F13" s="246" t="s">
        <v>257</v>
      </c>
      <c r="G13" s="66">
        <v>8321247</v>
      </c>
      <c r="H13" s="66"/>
      <c r="I13" s="66">
        <v>300000</v>
      </c>
      <c r="J13" s="66">
        <v>0</v>
      </c>
      <c r="K13" s="66">
        <v>0</v>
      </c>
      <c r="L13" s="66">
        <v>0</v>
      </c>
      <c r="M13" s="66"/>
      <c r="N13" s="121">
        <f t="shared" si="11"/>
        <v>8621247</v>
      </c>
      <c r="O13" s="66">
        <f t="shared" si="12"/>
        <v>99022.839300000007</v>
      </c>
      <c r="P13" s="66">
        <f t="shared" si="13"/>
        <v>166424.94</v>
      </c>
      <c r="Q13" s="66">
        <f t="shared" si="14"/>
        <v>166424.94</v>
      </c>
      <c r="R13" s="66">
        <f t="shared" si="15"/>
        <v>344849.88</v>
      </c>
      <c r="S13" s="121">
        <f t="shared" si="16"/>
        <v>776722.5993</v>
      </c>
      <c r="T13" s="121">
        <f t="shared" si="0"/>
        <v>9397969.5993000008</v>
      </c>
      <c r="U13" s="66">
        <f t="shared" si="21"/>
        <v>166424.94</v>
      </c>
      <c r="V13" s="66">
        <f t="shared" si="17"/>
        <v>83212.47</v>
      </c>
      <c r="W13" s="66">
        <f t="shared" si="18"/>
        <v>86212.47</v>
      </c>
      <c r="X13" s="116">
        <f>+W13*1</f>
        <v>86212.47</v>
      </c>
      <c r="Y13" s="121">
        <f t="shared" si="1"/>
        <v>422062.35</v>
      </c>
      <c r="Z13" s="24">
        <v>90651</v>
      </c>
      <c r="AA13" s="121">
        <f t="shared" si="4"/>
        <v>8108533.6500000004</v>
      </c>
      <c r="AB13" s="53"/>
      <c r="AD13" s="24">
        <f t="shared" si="19"/>
        <v>8321247</v>
      </c>
      <c r="AE13" s="24">
        <f t="shared" si="5"/>
        <v>8621247</v>
      </c>
      <c r="AF13" s="101">
        <f t="shared" si="20"/>
        <v>9065119.7193</v>
      </c>
      <c r="AG13" s="101">
        <f t="shared" si="6"/>
        <v>453255.985965</v>
      </c>
      <c r="AH13" s="101">
        <f t="shared" si="7"/>
        <v>8362226.3233350003</v>
      </c>
      <c r="AI13" s="101">
        <f t="shared" si="8"/>
        <v>100346715.88002001</v>
      </c>
      <c r="AJ13" s="101">
        <f t="shared" si="9"/>
        <v>63000000</v>
      </c>
      <c r="AK13" s="113">
        <f t="shared" si="2"/>
        <v>37346000</v>
      </c>
      <c r="AL13" s="113">
        <f t="shared" si="3"/>
        <v>1867300</v>
      </c>
      <c r="AM13" s="38">
        <f t="shared" si="10"/>
        <v>155608.33333333334</v>
      </c>
    </row>
    <row r="14" spans="1:39" ht="15" customHeight="1">
      <c r="A14" s="72">
        <v>7</v>
      </c>
      <c r="B14" s="239" t="s">
        <v>370</v>
      </c>
      <c r="C14" s="72">
        <v>12</v>
      </c>
      <c r="D14" s="239" t="s">
        <v>77</v>
      </c>
      <c r="E14" s="72" t="s">
        <v>7</v>
      </c>
      <c r="F14" s="242" t="s">
        <v>258</v>
      </c>
      <c r="G14" s="66">
        <v>8700359</v>
      </c>
      <c r="H14" s="66"/>
      <c r="I14" s="66">
        <v>500000</v>
      </c>
      <c r="J14" s="66">
        <v>0</v>
      </c>
      <c r="K14" s="66">
        <v>0</v>
      </c>
      <c r="L14" s="66">
        <v>0</v>
      </c>
      <c r="M14" s="66"/>
      <c r="N14" s="121">
        <f t="shared" si="11"/>
        <v>9200359</v>
      </c>
      <c r="O14" s="66">
        <f t="shared" si="12"/>
        <v>103534.2721</v>
      </c>
      <c r="P14" s="66">
        <f t="shared" si="13"/>
        <v>174007.18</v>
      </c>
      <c r="Q14" s="66">
        <f t="shared" si="14"/>
        <v>174007.18</v>
      </c>
      <c r="R14" s="66">
        <f t="shared" si="15"/>
        <v>368014.36</v>
      </c>
      <c r="S14" s="121">
        <f t="shared" si="16"/>
        <v>819562.99209999992</v>
      </c>
      <c r="T14" s="121">
        <f t="shared" si="0"/>
        <v>10019921.9921</v>
      </c>
      <c r="U14" s="66">
        <f t="shared" si="21"/>
        <v>174007.18</v>
      </c>
      <c r="V14" s="66">
        <f t="shared" si="17"/>
        <v>87003.59</v>
      </c>
      <c r="W14" s="66">
        <f t="shared" si="18"/>
        <v>92003.59</v>
      </c>
      <c r="X14" s="116">
        <v>0</v>
      </c>
      <c r="Y14" s="121">
        <f t="shared" si="1"/>
        <v>353014.36</v>
      </c>
      <c r="Z14" s="24">
        <v>145079</v>
      </c>
      <c r="AA14" s="121">
        <f t="shared" si="4"/>
        <v>8702265.6400000006</v>
      </c>
      <c r="AB14" s="53"/>
      <c r="AD14" s="24">
        <f t="shared" si="19"/>
        <v>8700359</v>
      </c>
      <c r="AE14" s="24">
        <f t="shared" si="5"/>
        <v>9200359</v>
      </c>
      <c r="AF14" s="101">
        <f t="shared" si="20"/>
        <v>9671907.6320999991</v>
      </c>
      <c r="AG14" s="101">
        <f t="shared" si="6"/>
        <v>483595.381605</v>
      </c>
      <c r="AH14" s="101">
        <f t="shared" si="7"/>
        <v>8927301.4804950003</v>
      </c>
      <c r="AI14" s="101">
        <f t="shared" si="8"/>
        <v>107127617.76594001</v>
      </c>
      <c r="AJ14" s="101">
        <f t="shared" si="9"/>
        <v>67500000</v>
      </c>
      <c r="AK14" s="113">
        <f t="shared" si="2"/>
        <v>39627000</v>
      </c>
      <c r="AL14" s="113">
        <f t="shared" si="3"/>
        <v>1981350</v>
      </c>
      <c r="AM14" s="38">
        <f t="shared" si="10"/>
        <v>165112.5</v>
      </c>
    </row>
    <row r="15" spans="1:39" ht="15" customHeight="1">
      <c r="A15" s="72">
        <v>9</v>
      </c>
      <c r="B15" s="239" t="s">
        <v>371</v>
      </c>
      <c r="C15" s="72">
        <v>12</v>
      </c>
      <c r="D15" s="239" t="s">
        <v>78</v>
      </c>
      <c r="E15" s="72" t="s">
        <v>7</v>
      </c>
      <c r="F15" s="242" t="s">
        <v>260</v>
      </c>
      <c r="G15" s="66">
        <v>6519752</v>
      </c>
      <c r="H15" s="66"/>
      <c r="I15" s="66">
        <v>300000</v>
      </c>
      <c r="J15" s="160">
        <v>0</v>
      </c>
      <c r="K15" s="160">
        <v>0</v>
      </c>
      <c r="L15" s="160">
        <v>0</v>
      </c>
      <c r="M15" s="66"/>
      <c r="N15" s="121">
        <f t="shared" si="11"/>
        <v>6819752</v>
      </c>
      <c r="O15" s="66">
        <f t="shared" si="12"/>
        <v>77585.048800000004</v>
      </c>
      <c r="P15" s="66">
        <f t="shared" si="13"/>
        <v>130395.04000000001</v>
      </c>
      <c r="Q15" s="66">
        <f t="shared" si="14"/>
        <v>130395.04000000001</v>
      </c>
      <c r="R15" s="66">
        <f t="shared" si="15"/>
        <v>272790.08</v>
      </c>
      <c r="S15" s="121">
        <f t="shared" si="16"/>
        <v>611165.20880000014</v>
      </c>
      <c r="T15" s="121">
        <f t="shared" si="0"/>
        <v>7430917.2088000001</v>
      </c>
      <c r="U15" s="66">
        <f t="shared" si="21"/>
        <v>130395.04000000001</v>
      </c>
      <c r="V15" s="66">
        <f t="shared" si="17"/>
        <v>65197.520000000004</v>
      </c>
      <c r="W15" s="66">
        <f t="shared" si="18"/>
        <v>68197.52</v>
      </c>
      <c r="X15" s="116">
        <v>0</v>
      </c>
      <c r="Y15" s="121">
        <f t="shared" si="1"/>
        <v>263790.08000000002</v>
      </c>
      <c r="Z15" s="24">
        <v>53776</v>
      </c>
      <c r="AA15" s="121">
        <f t="shared" si="4"/>
        <v>6502185.9199999999</v>
      </c>
      <c r="AB15" s="53"/>
      <c r="AD15" s="24">
        <f t="shared" si="19"/>
        <v>6519752</v>
      </c>
      <c r="AE15" s="24">
        <f t="shared" si="5"/>
        <v>6819752</v>
      </c>
      <c r="AF15" s="101">
        <f t="shared" si="20"/>
        <v>7170127.1288000001</v>
      </c>
      <c r="AG15" s="101">
        <f t="shared" si="6"/>
        <v>358506.35644</v>
      </c>
      <c r="AH15" s="101">
        <f t="shared" si="7"/>
        <v>6616028.2123600002</v>
      </c>
      <c r="AI15" s="101">
        <f t="shared" si="8"/>
        <v>79392338.548319995</v>
      </c>
      <c r="AJ15" s="101">
        <f t="shared" si="9"/>
        <v>67500000</v>
      </c>
      <c r="AK15" s="113">
        <f t="shared" si="2"/>
        <v>11892000</v>
      </c>
      <c r="AL15" s="113">
        <f t="shared" si="3"/>
        <v>594600</v>
      </c>
      <c r="AM15" s="38">
        <f t="shared" si="10"/>
        <v>49550</v>
      </c>
    </row>
    <row r="16" spans="1:39" ht="15" customHeight="1">
      <c r="A16" s="72">
        <v>10</v>
      </c>
      <c r="B16" s="239" t="s">
        <v>372</v>
      </c>
      <c r="C16" s="72">
        <v>12</v>
      </c>
      <c r="D16" s="239" t="s">
        <v>42</v>
      </c>
      <c r="E16" s="72" t="s">
        <v>9</v>
      </c>
      <c r="F16" s="242" t="s">
        <v>261</v>
      </c>
      <c r="G16" s="66">
        <v>6009388</v>
      </c>
      <c r="H16" s="66"/>
      <c r="I16" s="66">
        <v>200000</v>
      </c>
      <c r="J16" s="66">
        <v>0</v>
      </c>
      <c r="K16" s="66">
        <v>0</v>
      </c>
      <c r="L16" s="66">
        <v>0</v>
      </c>
      <c r="M16" s="66"/>
      <c r="N16" s="121">
        <f t="shared" si="11"/>
        <v>6209388</v>
      </c>
      <c r="O16" s="66">
        <f t="shared" si="12"/>
        <v>71511.717199999999</v>
      </c>
      <c r="P16" s="66">
        <f t="shared" si="13"/>
        <v>120187.76000000001</v>
      </c>
      <c r="Q16" s="66">
        <f t="shared" si="14"/>
        <v>120187.76000000001</v>
      </c>
      <c r="R16" s="66">
        <f t="shared" si="15"/>
        <v>248375.52000000002</v>
      </c>
      <c r="S16" s="121">
        <f t="shared" si="16"/>
        <v>560262.75720000011</v>
      </c>
      <c r="T16" s="121">
        <f t="shared" si="0"/>
        <v>6769650.7571999999</v>
      </c>
      <c r="U16" s="66">
        <f t="shared" si="21"/>
        <v>120187.76000000001</v>
      </c>
      <c r="V16" s="66">
        <f t="shared" si="17"/>
        <v>60093.880000000005</v>
      </c>
      <c r="W16" s="66">
        <f t="shared" si="18"/>
        <v>62093.880000000005</v>
      </c>
      <c r="X16" s="116">
        <v>0</v>
      </c>
      <c r="Y16" s="121">
        <f t="shared" si="1"/>
        <v>242375.52000000002</v>
      </c>
      <c r="Z16" s="24">
        <v>32646</v>
      </c>
      <c r="AA16" s="121">
        <f t="shared" si="4"/>
        <v>5934366.4800000004</v>
      </c>
      <c r="AB16" s="53"/>
      <c r="AD16" s="24">
        <f t="shared" si="19"/>
        <v>6009388</v>
      </c>
      <c r="AE16" s="24">
        <f t="shared" si="5"/>
        <v>6209388</v>
      </c>
      <c r="AF16" s="101">
        <f t="shared" si="20"/>
        <v>6529275.2371999994</v>
      </c>
      <c r="AG16" s="101">
        <f t="shared" si="6"/>
        <v>326463.76185999997</v>
      </c>
      <c r="AH16" s="101">
        <f t="shared" si="7"/>
        <v>6022529.8353399998</v>
      </c>
      <c r="AI16" s="101">
        <f t="shared" si="8"/>
        <v>72270358.024079993</v>
      </c>
      <c r="AJ16" s="101">
        <f t="shared" si="9"/>
        <v>63000000</v>
      </c>
      <c r="AK16" s="113">
        <f t="shared" si="2"/>
        <v>9270000</v>
      </c>
      <c r="AL16" s="113">
        <f t="shared" si="3"/>
        <v>463500</v>
      </c>
      <c r="AM16" s="38">
        <f t="shared" si="10"/>
        <v>38625</v>
      </c>
    </row>
    <row r="17" spans="1:39" ht="15" customHeight="1">
      <c r="A17" s="72">
        <v>12</v>
      </c>
      <c r="B17" s="239" t="s">
        <v>373</v>
      </c>
      <c r="C17" s="72">
        <v>12</v>
      </c>
      <c r="D17" s="239" t="s">
        <v>44</v>
      </c>
      <c r="E17" s="72" t="s">
        <v>10</v>
      </c>
      <c r="F17" s="242" t="s">
        <v>263</v>
      </c>
      <c r="G17" s="66">
        <v>6340220</v>
      </c>
      <c r="H17" s="66"/>
      <c r="I17" s="66">
        <v>200000</v>
      </c>
      <c r="J17" s="66">
        <v>0</v>
      </c>
      <c r="K17" s="66">
        <v>0</v>
      </c>
      <c r="L17" s="66">
        <v>0</v>
      </c>
      <c r="M17" s="66"/>
      <c r="N17" s="121">
        <f t="shared" si="11"/>
        <v>6540220</v>
      </c>
      <c r="O17" s="66">
        <f t="shared" si="12"/>
        <v>75448.618000000002</v>
      </c>
      <c r="P17" s="66">
        <f t="shared" si="13"/>
        <v>126804.40000000001</v>
      </c>
      <c r="Q17" s="66">
        <f t="shared" si="14"/>
        <v>126804.40000000001</v>
      </c>
      <c r="R17" s="66">
        <f t="shared" si="15"/>
        <v>261608.80000000002</v>
      </c>
      <c r="S17" s="121">
        <f t="shared" si="16"/>
        <v>590666.21799999999</v>
      </c>
      <c r="T17" s="121">
        <f t="shared" si="0"/>
        <v>7130886.2180000003</v>
      </c>
      <c r="U17" s="66">
        <f t="shared" si="21"/>
        <v>126804.40000000001</v>
      </c>
      <c r="V17" s="66">
        <f t="shared" si="17"/>
        <v>63402.200000000004</v>
      </c>
      <c r="W17" s="66">
        <f t="shared" si="18"/>
        <v>65402.200000000004</v>
      </c>
      <c r="X17" s="116">
        <f>+W17*2</f>
        <v>130804.40000000001</v>
      </c>
      <c r="Y17" s="121">
        <f t="shared" si="1"/>
        <v>386413.2</v>
      </c>
      <c r="Z17" s="24">
        <v>85966</v>
      </c>
      <c r="AA17" s="121">
        <f t="shared" si="4"/>
        <v>6067840.7999999998</v>
      </c>
      <c r="AB17" s="53"/>
      <c r="AD17" s="24">
        <f t="shared" si="19"/>
        <v>6340220</v>
      </c>
      <c r="AE17" s="24">
        <f t="shared" si="5"/>
        <v>6540220</v>
      </c>
      <c r="AF17" s="101">
        <f t="shared" si="20"/>
        <v>6877277.4179999996</v>
      </c>
      <c r="AG17" s="101">
        <f t="shared" si="6"/>
        <v>343863.87089999998</v>
      </c>
      <c r="AH17" s="101">
        <f t="shared" si="7"/>
        <v>6343206.9470999995</v>
      </c>
      <c r="AI17" s="101">
        <f t="shared" si="8"/>
        <v>76118483.365199998</v>
      </c>
      <c r="AJ17" s="101">
        <f t="shared" si="9"/>
        <v>54000000</v>
      </c>
      <c r="AK17" s="113">
        <f t="shared" si="2"/>
        <v>22118000</v>
      </c>
      <c r="AL17" s="113">
        <f t="shared" si="3"/>
        <v>1105900</v>
      </c>
      <c r="AM17" s="38">
        <f t="shared" si="10"/>
        <v>92158.333333333328</v>
      </c>
    </row>
    <row r="18" spans="1:39" ht="15" customHeight="1">
      <c r="A18" s="72">
        <v>14</v>
      </c>
      <c r="B18" s="239" t="s">
        <v>375</v>
      </c>
      <c r="C18" s="72">
        <v>12</v>
      </c>
      <c r="D18" s="239" t="s">
        <v>46</v>
      </c>
      <c r="E18" s="72" t="s">
        <v>10</v>
      </c>
      <c r="F18" s="242" t="s">
        <v>265</v>
      </c>
      <c r="G18" s="66">
        <v>5353160</v>
      </c>
      <c r="H18" s="66"/>
      <c r="I18" s="66">
        <v>200000</v>
      </c>
      <c r="J18" s="66">
        <v>0</v>
      </c>
      <c r="K18" s="66">
        <v>0</v>
      </c>
      <c r="L18" s="66">
        <v>0</v>
      </c>
      <c r="M18" s="66"/>
      <c r="N18" s="121">
        <f t="shared" si="11"/>
        <v>5553160</v>
      </c>
      <c r="O18" s="66">
        <f t="shared" si="12"/>
        <v>63702.604000000007</v>
      </c>
      <c r="P18" s="66">
        <f t="shared" si="13"/>
        <v>107063.2</v>
      </c>
      <c r="Q18" s="66">
        <f t="shared" si="14"/>
        <v>107063.2</v>
      </c>
      <c r="R18" s="66">
        <f t="shared" si="15"/>
        <v>222126.4</v>
      </c>
      <c r="S18" s="121">
        <f t="shared" si="16"/>
        <v>499955.40399999998</v>
      </c>
      <c r="T18" s="121">
        <f t="shared" si="0"/>
        <v>6053115.4040000001</v>
      </c>
      <c r="U18" s="66">
        <f t="shared" si="21"/>
        <v>107063.2</v>
      </c>
      <c r="V18" s="66">
        <f t="shared" si="17"/>
        <v>53531.6</v>
      </c>
      <c r="W18" s="66">
        <f t="shared" si="18"/>
        <v>55531.6</v>
      </c>
      <c r="X18" s="116">
        <v>0</v>
      </c>
      <c r="Y18" s="121">
        <f t="shared" si="1"/>
        <v>216126.4</v>
      </c>
      <c r="Z18" s="24">
        <v>29195</v>
      </c>
      <c r="AA18" s="121">
        <f t="shared" si="4"/>
        <v>5307838.5999999996</v>
      </c>
      <c r="AB18" s="53"/>
      <c r="AD18" s="24">
        <f t="shared" si="19"/>
        <v>5353160</v>
      </c>
      <c r="AE18" s="24">
        <f t="shared" si="5"/>
        <v>5553160</v>
      </c>
      <c r="AF18" s="101">
        <f t="shared" si="20"/>
        <v>5838989.0040000007</v>
      </c>
      <c r="AG18" s="101">
        <f t="shared" si="6"/>
        <v>291949.45020000002</v>
      </c>
      <c r="AH18" s="101">
        <f t="shared" si="7"/>
        <v>5386444.753800001</v>
      </c>
      <c r="AI18" s="101">
        <f t="shared" si="8"/>
        <v>64637337.045600012</v>
      </c>
      <c r="AJ18" s="101">
        <f t="shared" si="9"/>
        <v>54000000</v>
      </c>
      <c r="AK18" s="113">
        <f t="shared" si="2"/>
        <v>10637000</v>
      </c>
      <c r="AL18" s="113">
        <f t="shared" si="3"/>
        <v>531850</v>
      </c>
      <c r="AM18" s="38">
        <f t="shared" si="10"/>
        <v>44320.833333333336</v>
      </c>
    </row>
    <row r="19" spans="1:39" ht="15" customHeight="1">
      <c r="A19" s="72">
        <v>15</v>
      </c>
      <c r="B19" s="239" t="s">
        <v>376</v>
      </c>
      <c r="C19" s="72">
        <v>12</v>
      </c>
      <c r="D19" s="239" t="s">
        <v>79</v>
      </c>
      <c r="E19" s="72" t="s">
        <v>10</v>
      </c>
      <c r="F19" s="242" t="s">
        <v>266</v>
      </c>
      <c r="G19" s="66">
        <v>4877211</v>
      </c>
      <c r="H19" s="66"/>
      <c r="I19" s="66">
        <v>200000</v>
      </c>
      <c r="J19" s="66">
        <v>0</v>
      </c>
      <c r="K19" s="66">
        <v>0</v>
      </c>
      <c r="L19" s="66">
        <v>0</v>
      </c>
      <c r="M19" s="66"/>
      <c r="N19" s="121">
        <f t="shared" si="11"/>
        <v>5077211</v>
      </c>
      <c r="O19" s="66">
        <f t="shared" si="12"/>
        <v>58038.810900000004</v>
      </c>
      <c r="P19" s="66">
        <f t="shared" si="13"/>
        <v>97544.22</v>
      </c>
      <c r="Q19" s="66">
        <f t="shared" si="14"/>
        <v>97544.22</v>
      </c>
      <c r="R19" s="66">
        <f t="shared" si="15"/>
        <v>203088.44</v>
      </c>
      <c r="S19" s="121">
        <f t="shared" si="16"/>
        <v>456215.69090000005</v>
      </c>
      <c r="T19" s="121">
        <f t="shared" si="0"/>
        <v>5533426.6908999998</v>
      </c>
      <c r="U19" s="66">
        <f t="shared" si="21"/>
        <v>97544.22</v>
      </c>
      <c r="V19" s="66">
        <f t="shared" si="17"/>
        <v>48772.11</v>
      </c>
      <c r="W19" s="66">
        <f t="shared" si="18"/>
        <v>50772.11</v>
      </c>
      <c r="X19" s="116">
        <v>0</v>
      </c>
      <c r="Y19" s="121">
        <f t="shared" si="1"/>
        <v>197088.44</v>
      </c>
      <c r="Z19" s="24">
        <v>0</v>
      </c>
      <c r="AA19" s="121">
        <f t="shared" si="4"/>
        <v>4880122.5599999996</v>
      </c>
      <c r="AB19" s="53"/>
      <c r="AD19" s="24">
        <f t="shared" si="19"/>
        <v>4877211</v>
      </c>
      <c r="AE19" s="24">
        <f t="shared" si="5"/>
        <v>5077211</v>
      </c>
      <c r="AF19" s="101">
        <f>+N19+O19+R19</f>
        <v>5338338.2509000003</v>
      </c>
      <c r="AG19" s="101">
        <f t="shared" si="6"/>
        <v>266916.91254500003</v>
      </c>
      <c r="AH19" s="101">
        <f t="shared" si="7"/>
        <v>4925105.0083550001</v>
      </c>
      <c r="AI19" s="101">
        <f t="shared" si="8"/>
        <v>59101260.100260004</v>
      </c>
      <c r="AJ19" s="101">
        <f t="shared" si="9"/>
        <v>54000000</v>
      </c>
      <c r="AK19" s="113">
        <f t="shared" si="2"/>
        <v>5101000</v>
      </c>
      <c r="AL19" s="113">
        <f t="shared" si="3"/>
        <v>255050</v>
      </c>
      <c r="AM19" s="38">
        <f t="shared" si="10"/>
        <v>21254.166666666668</v>
      </c>
    </row>
    <row r="20" spans="1:39" ht="15" customHeight="1">
      <c r="A20" s="72">
        <v>16</v>
      </c>
      <c r="B20" s="239" t="s">
        <v>377</v>
      </c>
      <c r="C20" s="72">
        <v>12</v>
      </c>
      <c r="D20" s="239" t="s">
        <v>80</v>
      </c>
      <c r="E20" s="72" t="s">
        <v>10</v>
      </c>
      <c r="F20" s="242" t="s">
        <v>267</v>
      </c>
      <c r="G20" s="66">
        <v>4877211</v>
      </c>
      <c r="H20" s="66"/>
      <c r="I20" s="66">
        <v>200000</v>
      </c>
      <c r="J20" s="66">
        <v>0</v>
      </c>
      <c r="K20" s="66">
        <v>0</v>
      </c>
      <c r="L20" s="66">
        <v>0</v>
      </c>
      <c r="M20" s="66"/>
      <c r="N20" s="121">
        <f t="shared" si="11"/>
        <v>5077211</v>
      </c>
      <c r="O20" s="66">
        <f t="shared" si="12"/>
        <v>58038.810900000004</v>
      </c>
      <c r="P20" s="66">
        <f t="shared" si="13"/>
        <v>97544.22</v>
      </c>
      <c r="Q20" s="66">
        <f t="shared" si="14"/>
        <v>97544.22</v>
      </c>
      <c r="R20" s="66">
        <f t="shared" si="15"/>
        <v>203088.44</v>
      </c>
      <c r="S20" s="121">
        <f t="shared" si="16"/>
        <v>456215.69090000005</v>
      </c>
      <c r="T20" s="121">
        <f t="shared" si="0"/>
        <v>5533426.6908999998</v>
      </c>
      <c r="U20" s="66">
        <f t="shared" si="21"/>
        <v>97544.22</v>
      </c>
      <c r="V20" s="66">
        <f t="shared" si="17"/>
        <v>48772.11</v>
      </c>
      <c r="W20" s="66">
        <f t="shared" si="18"/>
        <v>50772.11</v>
      </c>
      <c r="X20" s="116">
        <v>0</v>
      </c>
      <c r="Y20" s="121">
        <f t="shared" si="1"/>
        <v>197088.44</v>
      </c>
      <c r="Z20" s="24">
        <v>0</v>
      </c>
      <c r="AA20" s="121">
        <f t="shared" si="4"/>
        <v>4880122.5599999996</v>
      </c>
      <c r="AB20" s="53"/>
      <c r="AD20" s="24">
        <f t="shared" si="19"/>
        <v>4877211</v>
      </c>
      <c r="AE20" s="24">
        <f t="shared" si="5"/>
        <v>5077211</v>
      </c>
      <c r="AF20" s="101">
        <f t="shared" ref="AF20:AF21" si="22">+N20+O20+R20</f>
        <v>5338338.2509000003</v>
      </c>
      <c r="AG20" s="101">
        <f t="shared" si="6"/>
        <v>266916.91254500003</v>
      </c>
      <c r="AH20" s="101">
        <f t="shared" si="7"/>
        <v>4925105.0083550001</v>
      </c>
      <c r="AI20" s="101">
        <f t="shared" si="8"/>
        <v>59101260.100260004</v>
      </c>
      <c r="AJ20" s="101">
        <f t="shared" si="9"/>
        <v>54000000</v>
      </c>
      <c r="AK20" s="113">
        <f t="shared" si="2"/>
        <v>5101000</v>
      </c>
      <c r="AL20" s="113">
        <f t="shared" si="3"/>
        <v>255050</v>
      </c>
      <c r="AM20" s="38">
        <f t="shared" si="10"/>
        <v>21254.166666666668</v>
      </c>
    </row>
    <row r="21" spans="1:39" ht="15" customHeight="1">
      <c r="A21" s="72">
        <v>17</v>
      </c>
      <c r="B21" s="239" t="s">
        <v>378</v>
      </c>
      <c r="C21" s="72">
        <v>12</v>
      </c>
      <c r="D21" s="239" t="s">
        <v>81</v>
      </c>
      <c r="E21" s="72" t="s">
        <v>10</v>
      </c>
      <c r="F21" s="242" t="s">
        <v>268</v>
      </c>
      <c r="G21" s="66">
        <v>4877211</v>
      </c>
      <c r="H21" s="66"/>
      <c r="I21" s="66">
        <v>200000</v>
      </c>
      <c r="J21" s="160">
        <v>0</v>
      </c>
      <c r="K21" s="160">
        <v>0</v>
      </c>
      <c r="L21" s="160">
        <v>0</v>
      </c>
      <c r="M21" s="66"/>
      <c r="N21" s="121">
        <f t="shared" si="11"/>
        <v>5077211</v>
      </c>
      <c r="O21" s="66">
        <f t="shared" si="12"/>
        <v>58038.810900000004</v>
      </c>
      <c r="P21" s="66">
        <f t="shared" si="13"/>
        <v>97544.22</v>
      </c>
      <c r="Q21" s="66">
        <f t="shared" si="14"/>
        <v>97544.22</v>
      </c>
      <c r="R21" s="66">
        <f t="shared" si="15"/>
        <v>203088.44</v>
      </c>
      <c r="S21" s="121">
        <f t="shared" si="16"/>
        <v>456215.69090000005</v>
      </c>
      <c r="T21" s="121">
        <f t="shared" si="0"/>
        <v>5533426.6908999998</v>
      </c>
      <c r="U21" s="66">
        <f t="shared" si="21"/>
        <v>97544.22</v>
      </c>
      <c r="V21" s="66">
        <f t="shared" si="17"/>
        <v>48772.11</v>
      </c>
      <c r="W21" s="66">
        <f t="shared" si="18"/>
        <v>50772.11</v>
      </c>
      <c r="X21" s="116">
        <v>0</v>
      </c>
      <c r="Y21" s="121">
        <f t="shared" si="1"/>
        <v>197088.44</v>
      </c>
      <c r="Z21" s="24">
        <v>0</v>
      </c>
      <c r="AA21" s="121">
        <f t="shared" si="4"/>
        <v>4880122.5599999996</v>
      </c>
      <c r="AB21" s="53"/>
      <c r="AD21" s="24">
        <f t="shared" si="19"/>
        <v>4877211</v>
      </c>
      <c r="AE21" s="24">
        <f t="shared" si="5"/>
        <v>5077211</v>
      </c>
      <c r="AF21" s="101">
        <f t="shared" si="22"/>
        <v>5338338.2509000003</v>
      </c>
      <c r="AG21" s="101">
        <f t="shared" si="6"/>
        <v>266916.91254500003</v>
      </c>
      <c r="AH21" s="101">
        <f t="shared" si="7"/>
        <v>4925105.0083550001</v>
      </c>
      <c r="AI21" s="101">
        <f t="shared" si="8"/>
        <v>59101260.100260004</v>
      </c>
      <c r="AJ21" s="101">
        <f t="shared" si="9"/>
        <v>54000000</v>
      </c>
      <c r="AK21" s="113">
        <f t="shared" si="2"/>
        <v>5101000</v>
      </c>
      <c r="AL21" s="113">
        <f t="shared" si="3"/>
        <v>255050</v>
      </c>
      <c r="AM21" s="38">
        <f t="shared" si="10"/>
        <v>21254.166666666668</v>
      </c>
    </row>
    <row r="22" spans="1:39" ht="15" customHeight="1">
      <c r="A22" s="42"/>
      <c r="B22" s="43"/>
      <c r="C22" s="43"/>
      <c r="D22" s="43"/>
      <c r="E22" s="42"/>
      <c r="F22" s="35"/>
      <c r="G22" s="36"/>
      <c r="H22" s="36"/>
      <c r="I22" s="36"/>
      <c r="J22" s="36"/>
      <c r="K22" s="36"/>
      <c r="L22" s="36"/>
      <c r="M22" s="36"/>
      <c r="N22" s="37"/>
      <c r="O22" s="36"/>
      <c r="P22" s="36"/>
      <c r="Q22" s="37"/>
      <c r="R22" s="36"/>
      <c r="S22" s="37"/>
      <c r="T22" s="37"/>
      <c r="U22" s="36"/>
      <c r="V22" s="36"/>
      <c r="W22" s="36">
        <f ca="1">SUM(W9:W22)</f>
        <v>0</v>
      </c>
      <c r="X22" s="36"/>
      <c r="Y22" s="37"/>
      <c r="Z22" s="37"/>
      <c r="AA22" s="37"/>
    </row>
    <row r="23" spans="1:39" ht="15" customHeight="1">
      <c r="A23" s="277" t="s">
        <v>11</v>
      </c>
      <c r="B23" s="277"/>
      <c r="C23" s="277"/>
      <c r="D23" s="277"/>
      <c r="E23" s="277"/>
      <c r="F23" s="277"/>
      <c r="G23" s="268">
        <f>SUM(G9:G22)</f>
        <v>91902439</v>
      </c>
      <c r="H23" s="268">
        <f>SUM(H9:H22)</f>
        <v>0</v>
      </c>
      <c r="I23" s="268">
        <f>SUM(I9:I22)</f>
        <v>4000000</v>
      </c>
      <c r="J23" s="268">
        <f>SUM(J10:J22)</f>
        <v>0</v>
      </c>
      <c r="K23" s="268">
        <f>SUM(K8:K22)</f>
        <v>0</v>
      </c>
      <c r="L23" s="268">
        <f>SUM(L9:L22)</f>
        <v>0</v>
      </c>
      <c r="M23" s="268">
        <f>SUM(M9:M22)</f>
        <v>0</v>
      </c>
      <c r="N23" s="268">
        <f>SUM(N9:N22)</f>
        <v>95902439</v>
      </c>
      <c r="O23" s="268">
        <f>SUM(O9:O22)</f>
        <v>992489.02410000016</v>
      </c>
      <c r="P23" s="268">
        <f>SUM(P9:P22)</f>
        <v>1668048.7799999998</v>
      </c>
      <c r="Q23" s="268">
        <f>SUM(Q9:Q22)</f>
        <v>1668048.7799999998</v>
      </c>
      <c r="R23" s="268">
        <f>SUM(R9:R22)</f>
        <v>3836097.5599999996</v>
      </c>
      <c r="S23" s="268">
        <f>SUM(S9:S22)</f>
        <v>8164684.1441000002</v>
      </c>
      <c r="T23" s="268">
        <f>SUM(T9:T22)</f>
        <v>104067123.1441</v>
      </c>
      <c r="U23" s="268">
        <f>SUM(U9:U22)</f>
        <v>1572117.7799999998</v>
      </c>
      <c r="V23" s="268">
        <f>SUM(V9:V22)</f>
        <v>834024.3899999999</v>
      </c>
      <c r="W23" s="268">
        <f>SUM(W9:W21)</f>
        <v>959024.3899999999</v>
      </c>
      <c r="X23" s="268">
        <f>SUM(X9:X22)</f>
        <v>497413.99</v>
      </c>
      <c r="Y23" s="268">
        <f>SUM(Y9:Y22)</f>
        <v>3862580.55</v>
      </c>
      <c r="Z23" s="268">
        <f>SUM(Z9:Z22)</f>
        <v>1273825</v>
      </c>
      <c r="AA23" s="268">
        <f>SUM(AA9:AA22)</f>
        <v>90766033.450000003</v>
      </c>
    </row>
    <row r="24" spans="1:39" ht="15" customHeight="1">
      <c r="A24" s="278"/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80"/>
      <c r="N24" s="40">
        <f>+T23</f>
        <v>104067123.1441</v>
      </c>
      <c r="O24" s="278"/>
      <c r="P24" s="279"/>
      <c r="Q24" s="279"/>
      <c r="R24" s="280"/>
      <c r="S24" s="269">
        <f>+O23+P23+Q23+U23+V23</f>
        <v>6734728.7540999996</v>
      </c>
      <c r="T24" s="40">
        <f>+R23+W23+X23</f>
        <v>5292535.9399999995</v>
      </c>
      <c r="U24" s="281"/>
      <c r="V24" s="281"/>
      <c r="W24" s="281"/>
      <c r="X24" s="281"/>
      <c r="Y24" s="40"/>
      <c r="Z24" s="40">
        <f>+Z23</f>
        <v>1273825</v>
      </c>
      <c r="AA24" s="40">
        <f>+AA23</f>
        <v>90766033.450000003</v>
      </c>
    </row>
    <row r="27" spans="1:39" ht="15" customHeight="1">
      <c r="R27" s="165"/>
      <c r="AB27" s="94"/>
    </row>
    <row r="28" spans="1:39" ht="15" customHeight="1">
      <c r="R28" s="290"/>
      <c r="S28" s="290"/>
      <c r="AB28" s="94"/>
    </row>
    <row r="29" spans="1:39" ht="15" customHeight="1">
      <c r="AB29" s="94"/>
    </row>
    <row r="30" spans="1:39" ht="15" customHeight="1">
      <c r="AB30" s="94"/>
    </row>
    <row r="31" spans="1:39" ht="15" customHeight="1">
      <c r="T31" s="141"/>
      <c r="AB31" s="94"/>
    </row>
    <row r="32" spans="1:39" ht="15" customHeight="1">
      <c r="AB32" s="94"/>
    </row>
    <row r="33" spans="28:28" ht="15" customHeight="1">
      <c r="AB33" s="94"/>
    </row>
    <row r="34" spans="28:28" ht="15" customHeight="1">
      <c r="AB34" s="94"/>
    </row>
  </sheetData>
  <mergeCells count="34">
    <mergeCell ref="A24:M24"/>
    <mergeCell ref="O24:R24"/>
    <mergeCell ref="U24:X24"/>
    <mergeCell ref="R28:S28"/>
    <mergeCell ref="AM5:AM7"/>
    <mergeCell ref="I6:I7"/>
    <mergeCell ref="J6:J7"/>
    <mergeCell ref="K6:K7"/>
    <mergeCell ref="Z6:Z7"/>
    <mergeCell ref="A23:F23"/>
    <mergeCell ref="AG5:AG6"/>
    <mergeCell ref="AH5:AH7"/>
    <mergeCell ref="AI5:AI6"/>
    <mergeCell ref="AJ5:AJ7"/>
    <mergeCell ref="AK5:AK7"/>
    <mergeCell ref="AL5:AL7"/>
    <mergeCell ref="U5:X5"/>
    <mergeCell ref="Y5:Z5"/>
    <mergeCell ref="AA5:AA6"/>
    <mergeCell ref="AD5:AD7"/>
    <mergeCell ref="AE5:AE7"/>
    <mergeCell ref="AF5:AF7"/>
    <mergeCell ref="H5:H7"/>
    <mergeCell ref="I5:M5"/>
    <mergeCell ref="N5:N7"/>
    <mergeCell ref="O5:R5"/>
    <mergeCell ref="S5:S7"/>
    <mergeCell ref="T5:T7"/>
    <mergeCell ref="A5:A7"/>
    <mergeCell ref="B5:B7"/>
    <mergeCell ref="D5:D7"/>
    <mergeCell ref="E5:E7"/>
    <mergeCell ref="F5:F7"/>
    <mergeCell ref="G5:G7"/>
  </mergeCells>
  <printOptions horizontalCentered="1"/>
  <pageMargins left="1.1811023622047245" right="0" top="0.98425196850393704" bottom="0.19685039370078741" header="0.31496062992125984" footer="0.31496062992125984"/>
  <pageSetup paperSize="5" scale="5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DA26-CC20-4760-A6CD-FE0BA90CC700}">
  <dimension ref="A1:CY52"/>
  <sheetViews>
    <sheetView showGridLines="0" zoomScale="80" zoomScaleNormal="80" workbookViewId="0">
      <selection activeCell="H24" sqref="H24"/>
    </sheetView>
  </sheetViews>
  <sheetFormatPr defaultColWidth="9.140625" defaultRowHeight="15" customHeight="1"/>
  <cols>
    <col min="1" max="1" width="4.85546875" style="6" customWidth="1"/>
    <col min="2" max="2" width="28.28515625" style="267" customWidth="1"/>
    <col min="3" max="3" width="14.42578125" style="50" customWidth="1"/>
    <col min="4" max="4" width="5" style="6" customWidth="1"/>
    <col min="5" max="5" width="18.140625" style="6" customWidth="1"/>
    <col min="6" max="6" width="6.7109375" style="267" customWidth="1"/>
    <col min="7" max="7" width="10.28515625" style="6" hidden="1" customWidth="1"/>
    <col min="8" max="8" width="12.7109375" style="6" customWidth="1"/>
    <col min="9" max="10" width="10.7109375" style="6" customWidth="1"/>
    <col min="11" max="11" width="10.7109375" style="6" hidden="1" customWidth="1"/>
    <col min="12" max="12" width="15.140625" style="6" hidden="1" customWidth="1"/>
    <col min="13" max="13" width="8.7109375" style="6" hidden="1" customWidth="1"/>
    <col min="14" max="14" width="12.7109375" style="6" hidden="1" customWidth="1"/>
    <col min="15" max="15" width="6.7109375" style="88" customWidth="1"/>
    <col min="16" max="16" width="8.7109375" style="6" customWidth="1"/>
    <col min="17" max="17" width="11.28515625" style="267" hidden="1" customWidth="1"/>
    <col min="18" max="18" width="10.7109375" style="6" customWidth="1"/>
    <col min="19" max="19" width="10.7109375" style="267" customWidth="1"/>
    <col min="20" max="20" width="10.7109375" style="267" hidden="1" customWidth="1"/>
    <col min="21" max="21" width="12.7109375" style="267" hidden="1" customWidth="1"/>
    <col min="22" max="22" width="12.7109375" style="27" customWidth="1"/>
    <col min="23" max="24" width="10.7109375" style="267" customWidth="1"/>
    <col min="25" max="25" width="10.7109375" style="27" customWidth="1"/>
    <col min="26" max="26" width="10.7109375" style="267" customWidth="1"/>
    <col min="27" max="27" width="10.7109375" style="27" customWidth="1"/>
    <col min="28" max="28" width="12.7109375" style="27" customWidth="1"/>
    <col min="29" max="32" width="10.7109375" style="267" customWidth="1"/>
    <col min="33" max="34" width="10.7109375" style="27" customWidth="1"/>
    <col min="35" max="35" width="12.7109375" style="27" customWidth="1"/>
    <col min="36" max="36" width="5.28515625" style="267" customWidth="1"/>
    <col min="37" max="37" width="3.85546875" style="6" customWidth="1"/>
    <col min="38" max="38" width="11.7109375" style="267" customWidth="1"/>
    <col min="39" max="39" width="11.7109375" style="6" customWidth="1"/>
    <col min="40" max="40" width="14.28515625" style="6" customWidth="1"/>
    <col min="41" max="41" width="11.7109375" style="6" customWidth="1"/>
    <col min="42" max="42" width="13.85546875" style="6" customWidth="1"/>
    <col min="43" max="43" width="15.140625" style="6" customWidth="1"/>
    <col min="44" max="44" width="12.28515625" style="267" customWidth="1"/>
    <col min="45" max="45" width="13" style="267" customWidth="1"/>
    <col min="46" max="46" width="11.7109375" style="267" customWidth="1"/>
    <col min="47" max="50" width="11.7109375" style="6" customWidth="1"/>
    <col min="51" max="51" width="16.42578125" style="6" customWidth="1"/>
    <col min="52" max="52" width="12.140625" style="6" customWidth="1"/>
    <col min="53" max="53" width="13.85546875" style="6" customWidth="1"/>
    <col min="54" max="54" width="11.85546875" style="6" customWidth="1"/>
    <col min="55" max="55" width="14.5703125" style="6" customWidth="1"/>
    <col min="56" max="56" width="15.5703125" style="6" customWidth="1"/>
    <col min="57" max="57" width="11.42578125" style="6" customWidth="1"/>
    <col min="58" max="58" width="26.140625" style="6" customWidth="1"/>
    <col min="59" max="59" width="12" style="6" customWidth="1"/>
    <col min="60" max="60" width="10.7109375" style="6" customWidth="1"/>
    <col min="61" max="61" width="11.85546875" style="6" bestFit="1" customWidth="1"/>
    <col min="62" max="62" width="12.5703125" style="6" bestFit="1" customWidth="1"/>
    <col min="63" max="63" width="3.85546875" style="6" bestFit="1" customWidth="1"/>
    <col min="64" max="64" width="12.140625" style="6" bestFit="1" customWidth="1"/>
    <col min="65" max="65" width="9.42578125" style="6" bestFit="1" customWidth="1"/>
    <col min="66" max="66" width="9.28515625" style="6" bestFit="1" customWidth="1"/>
    <col min="67" max="67" width="9.42578125" style="6" bestFit="1" customWidth="1"/>
    <col min="68" max="68" width="9.28515625" style="6" bestFit="1" customWidth="1"/>
    <col min="69" max="70" width="10.7109375" style="6" bestFit="1" customWidth="1"/>
    <col min="71" max="71" width="12" style="6" customWidth="1"/>
    <col min="72" max="72" width="13.85546875" style="6" bestFit="1" customWidth="1"/>
    <col min="73" max="73" width="13" style="6" bestFit="1" customWidth="1"/>
    <col min="74" max="74" width="9.85546875" style="6" bestFit="1" customWidth="1"/>
    <col min="75" max="75" width="10.85546875" style="6" bestFit="1" customWidth="1"/>
    <col min="76" max="76" width="15.140625" style="6" bestFit="1" customWidth="1"/>
    <col min="77" max="77" width="16.28515625" style="6" bestFit="1" customWidth="1"/>
    <col min="78" max="78" width="12.140625" style="6" bestFit="1" customWidth="1"/>
    <col min="79" max="79" width="13.85546875" style="6" bestFit="1" customWidth="1"/>
    <col min="80" max="80" width="11.85546875" style="6" bestFit="1" customWidth="1"/>
    <col min="81" max="82" width="9.42578125" style="6" bestFit="1" customWidth="1"/>
    <col min="83" max="83" width="9.140625" style="6"/>
    <col min="84" max="84" width="9.28515625" style="6" bestFit="1" customWidth="1"/>
    <col min="85" max="85" width="9.140625" style="6"/>
    <col min="86" max="88" width="10.140625" style="6" bestFit="1" customWidth="1"/>
    <col min="89" max="91" width="9.28515625" style="6" bestFit="1" customWidth="1"/>
    <col min="92" max="94" width="10.140625" style="6" bestFit="1" customWidth="1"/>
    <col min="95" max="100" width="9.140625" style="6"/>
    <col min="101" max="103" width="9.28515625" style="6" bestFit="1" customWidth="1"/>
    <col min="104" max="16384" width="9.140625" style="6"/>
  </cols>
  <sheetData>
    <row r="1" spans="1:47" s="45" customFormat="1" ht="15" customHeight="1">
      <c r="A1" s="41" t="s">
        <v>351</v>
      </c>
      <c r="B1" s="47"/>
      <c r="C1" s="47"/>
      <c r="D1" s="69"/>
      <c r="E1" s="69"/>
      <c r="F1" s="13"/>
      <c r="G1" s="69"/>
      <c r="H1" s="69"/>
      <c r="I1" s="69"/>
      <c r="J1" s="69"/>
      <c r="K1" s="69"/>
      <c r="L1" s="69"/>
      <c r="M1" s="69"/>
      <c r="N1" s="69"/>
      <c r="O1" s="126"/>
      <c r="P1" s="69"/>
      <c r="Q1" s="13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spans="1:47" s="45" customFormat="1" ht="15" customHeight="1">
      <c r="A2" s="41" t="s">
        <v>242</v>
      </c>
      <c r="B2" s="47"/>
      <c r="C2" s="47"/>
      <c r="D2" s="69"/>
      <c r="E2" s="69"/>
      <c r="F2" s="13"/>
      <c r="G2" s="69"/>
      <c r="H2" s="69"/>
      <c r="I2" s="69"/>
      <c r="J2" s="69"/>
      <c r="K2" s="69"/>
      <c r="L2" s="69"/>
      <c r="M2" s="69"/>
      <c r="N2" s="69"/>
      <c r="O2" s="126"/>
      <c r="P2" s="69"/>
      <c r="Q2" s="13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47" s="45" customFormat="1" ht="15" customHeight="1">
      <c r="A3" s="240" t="s">
        <v>364</v>
      </c>
      <c r="B3" s="265"/>
      <c r="C3" s="240"/>
      <c r="D3" s="240"/>
      <c r="E3" s="240"/>
      <c r="F3" s="13"/>
      <c r="G3" s="69"/>
      <c r="H3" s="13"/>
      <c r="I3" s="69"/>
      <c r="J3" s="69"/>
      <c r="K3" s="69"/>
      <c r="L3" s="69"/>
      <c r="M3" s="69"/>
      <c r="N3" s="69"/>
      <c r="O3" s="126"/>
      <c r="P3" s="69"/>
      <c r="Q3" s="13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</row>
    <row r="4" spans="1:47" ht="15" customHeight="1">
      <c r="A4" s="7"/>
      <c r="B4" s="8"/>
      <c r="C4" s="49"/>
      <c r="D4" s="9"/>
      <c r="E4" s="9"/>
      <c r="F4" s="8"/>
      <c r="G4" s="9"/>
      <c r="H4" s="9"/>
      <c r="I4" s="9"/>
      <c r="J4" s="9"/>
      <c r="K4" s="9"/>
      <c r="L4" s="9"/>
      <c r="M4" s="9"/>
      <c r="N4" s="9"/>
      <c r="O4" s="127"/>
      <c r="P4" s="9"/>
      <c r="Q4" s="8"/>
      <c r="R4" s="9"/>
      <c r="S4" s="9"/>
      <c r="T4" s="9"/>
      <c r="U4" s="9"/>
      <c r="V4" s="10"/>
      <c r="W4" s="8"/>
      <c r="X4" s="8"/>
      <c r="Y4" s="11"/>
      <c r="Z4" s="12"/>
      <c r="AA4" s="11"/>
      <c r="AB4" s="13"/>
      <c r="AC4" s="8"/>
      <c r="AD4" s="8"/>
      <c r="AE4" s="8"/>
      <c r="AF4" s="8"/>
      <c r="AG4" s="13"/>
      <c r="AH4" s="14"/>
      <c r="AI4" s="14"/>
    </row>
    <row r="5" spans="1:47" ht="19.899999999999999" customHeight="1">
      <c r="A5" s="282" t="s">
        <v>82</v>
      </c>
      <c r="B5" s="282" t="s">
        <v>3</v>
      </c>
      <c r="C5" s="282" t="s">
        <v>97</v>
      </c>
      <c r="D5" s="282" t="s">
        <v>4</v>
      </c>
      <c r="E5" s="283" t="s">
        <v>251</v>
      </c>
      <c r="F5" s="276" t="s">
        <v>150</v>
      </c>
      <c r="G5" s="275" t="s">
        <v>111</v>
      </c>
      <c r="H5" s="284" t="s">
        <v>111</v>
      </c>
      <c r="I5" s="284" t="s">
        <v>0</v>
      </c>
      <c r="J5" s="284"/>
      <c r="K5" s="132"/>
      <c r="L5" s="304" t="s">
        <v>194</v>
      </c>
      <c r="M5" s="305"/>
      <c r="N5" s="305"/>
      <c r="O5" s="305"/>
      <c r="P5" s="305"/>
      <c r="Q5" s="306"/>
      <c r="R5" s="299" t="s">
        <v>156</v>
      </c>
      <c r="S5" s="299" t="s">
        <v>195</v>
      </c>
      <c r="T5" s="299" t="s">
        <v>89</v>
      </c>
      <c r="U5" s="302" t="s">
        <v>175</v>
      </c>
      <c r="V5" s="276" t="s">
        <v>110</v>
      </c>
      <c r="W5" s="276" t="s">
        <v>103</v>
      </c>
      <c r="X5" s="276"/>
      <c r="Y5" s="276"/>
      <c r="Z5" s="276"/>
      <c r="AA5" s="276" t="s">
        <v>146</v>
      </c>
      <c r="AB5" s="276" t="s">
        <v>114</v>
      </c>
      <c r="AC5" s="276" t="s">
        <v>102</v>
      </c>
      <c r="AD5" s="276"/>
      <c r="AE5" s="276"/>
      <c r="AF5" s="276"/>
      <c r="AG5" s="98" t="s">
        <v>113</v>
      </c>
      <c r="AH5" s="98"/>
      <c r="AI5" s="276" t="s">
        <v>115</v>
      </c>
      <c r="AL5" s="288" t="s">
        <v>167</v>
      </c>
      <c r="AM5" s="289" t="s">
        <v>168</v>
      </c>
      <c r="AN5" s="288" t="s">
        <v>114</v>
      </c>
      <c r="AO5" s="285" t="s">
        <v>164</v>
      </c>
      <c r="AP5" s="288" t="s">
        <v>153</v>
      </c>
      <c r="AQ5" s="285" t="s">
        <v>169</v>
      </c>
      <c r="AR5" s="288" t="s">
        <v>165</v>
      </c>
      <c r="AS5" s="289" t="s">
        <v>166</v>
      </c>
      <c r="AT5" s="291" t="s">
        <v>171</v>
      </c>
      <c r="AU5" s="285" t="s">
        <v>170</v>
      </c>
    </row>
    <row r="6" spans="1:47" ht="19.899999999999999" customHeight="1">
      <c r="A6" s="282"/>
      <c r="B6" s="282"/>
      <c r="C6" s="282"/>
      <c r="D6" s="282"/>
      <c r="E6" s="283"/>
      <c r="F6" s="276"/>
      <c r="G6" s="275"/>
      <c r="H6" s="284"/>
      <c r="I6" s="299" t="s">
        <v>109</v>
      </c>
      <c r="J6" s="302" t="s">
        <v>159</v>
      </c>
      <c r="K6" s="299" t="s">
        <v>85</v>
      </c>
      <c r="L6" s="307"/>
      <c r="M6" s="308"/>
      <c r="N6" s="308"/>
      <c r="O6" s="308"/>
      <c r="P6" s="308"/>
      <c r="Q6" s="309"/>
      <c r="R6" s="300"/>
      <c r="S6" s="300"/>
      <c r="T6" s="300"/>
      <c r="U6" s="313"/>
      <c r="V6" s="276"/>
      <c r="W6" s="268" t="s">
        <v>106</v>
      </c>
      <c r="X6" s="268" t="s">
        <v>108</v>
      </c>
      <c r="Y6" s="268" t="s">
        <v>107</v>
      </c>
      <c r="Z6" s="268" t="s">
        <v>83</v>
      </c>
      <c r="AA6" s="276"/>
      <c r="AB6" s="276"/>
      <c r="AC6" s="273" t="s">
        <v>108</v>
      </c>
      <c r="AD6" s="273" t="s">
        <v>107</v>
      </c>
      <c r="AE6" s="273" t="s">
        <v>83</v>
      </c>
      <c r="AF6" s="273" t="s">
        <v>104</v>
      </c>
      <c r="AG6" s="272" t="s">
        <v>105</v>
      </c>
      <c r="AH6" s="272" t="s">
        <v>1</v>
      </c>
      <c r="AI6" s="276"/>
      <c r="AL6" s="288"/>
      <c r="AM6" s="289"/>
      <c r="AN6" s="288"/>
      <c r="AO6" s="286"/>
      <c r="AP6" s="288"/>
      <c r="AQ6" s="286"/>
      <c r="AR6" s="288"/>
      <c r="AS6" s="289"/>
      <c r="AT6" s="292"/>
      <c r="AU6" s="286"/>
    </row>
    <row r="7" spans="1:47" ht="19.899999999999999" customHeight="1">
      <c r="A7" s="282"/>
      <c r="B7" s="282"/>
      <c r="C7" s="282"/>
      <c r="D7" s="282"/>
      <c r="E7" s="283"/>
      <c r="F7" s="276"/>
      <c r="G7" s="275"/>
      <c r="H7" s="284"/>
      <c r="I7" s="301"/>
      <c r="J7" s="303"/>
      <c r="K7" s="301"/>
      <c r="L7" s="310"/>
      <c r="M7" s="311"/>
      <c r="N7" s="311"/>
      <c r="O7" s="311"/>
      <c r="P7" s="311"/>
      <c r="Q7" s="312"/>
      <c r="R7" s="301"/>
      <c r="S7" s="301"/>
      <c r="T7" s="301"/>
      <c r="U7" s="303"/>
      <c r="V7" s="276"/>
      <c r="W7" s="33">
        <v>1.1900000000000001E-2</v>
      </c>
      <c r="X7" s="33">
        <v>0.02</v>
      </c>
      <c r="Y7" s="33">
        <v>0.02</v>
      </c>
      <c r="Z7" s="77">
        <v>0.04</v>
      </c>
      <c r="AA7" s="276"/>
      <c r="AB7" s="276"/>
      <c r="AC7" s="96">
        <v>0.02</v>
      </c>
      <c r="AD7" s="96">
        <v>0.01</v>
      </c>
      <c r="AE7" s="96">
        <v>0.01</v>
      </c>
      <c r="AF7" s="97">
        <v>0.01</v>
      </c>
      <c r="AG7" s="271" t="s">
        <v>163</v>
      </c>
      <c r="AH7" s="100"/>
      <c r="AI7" s="276"/>
      <c r="AL7" s="288"/>
      <c r="AM7" s="289"/>
      <c r="AN7" s="288"/>
      <c r="AO7" s="102">
        <v>0.05</v>
      </c>
      <c r="AP7" s="288"/>
      <c r="AQ7" s="103">
        <v>12</v>
      </c>
      <c r="AR7" s="288"/>
      <c r="AS7" s="289"/>
      <c r="AT7" s="293"/>
      <c r="AU7" s="287"/>
    </row>
    <row r="8" spans="1:47" s="267" customFormat="1" ht="15" customHeight="1">
      <c r="A8" s="83"/>
      <c r="B8" s="55"/>
      <c r="C8" s="8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128"/>
      <c r="P8" s="55"/>
      <c r="Q8" s="55"/>
      <c r="R8" s="55"/>
      <c r="S8" s="55"/>
      <c r="T8" s="55"/>
      <c r="U8" s="55"/>
      <c r="V8" s="55"/>
      <c r="W8" s="55"/>
      <c r="X8" s="55"/>
      <c r="Y8" s="56"/>
      <c r="Z8" s="55"/>
      <c r="AA8" s="55"/>
      <c r="AB8" s="55"/>
      <c r="AC8" s="56"/>
      <c r="AD8" s="56"/>
      <c r="AE8" s="56"/>
      <c r="AF8" s="76"/>
      <c r="AG8" s="55"/>
      <c r="AH8" s="55"/>
      <c r="AI8" s="85"/>
      <c r="AL8" s="101"/>
      <c r="AM8" s="101"/>
      <c r="AN8" s="101"/>
      <c r="AO8" s="101"/>
      <c r="AP8" s="101"/>
      <c r="AQ8" s="101"/>
      <c r="AR8" s="101"/>
      <c r="AS8" s="101"/>
      <c r="AT8" s="101"/>
      <c r="AU8" s="101"/>
    </row>
    <row r="9" spans="1:47" ht="15" customHeight="1">
      <c r="A9" s="237">
        <v>1</v>
      </c>
      <c r="B9" s="28" t="s">
        <v>379</v>
      </c>
      <c r="C9" s="28" t="s">
        <v>23</v>
      </c>
      <c r="D9" s="106" t="s">
        <v>7</v>
      </c>
      <c r="E9" s="248" t="s">
        <v>281</v>
      </c>
      <c r="F9" s="68">
        <v>30</v>
      </c>
      <c r="G9" s="68">
        <v>145452</v>
      </c>
      <c r="H9" s="24">
        <v>4594855</v>
      </c>
      <c r="I9" s="68">
        <v>100000</v>
      </c>
      <c r="J9" s="68">
        <v>100000</v>
      </c>
      <c r="K9" s="68"/>
      <c r="L9" s="135"/>
      <c r="M9" s="122"/>
      <c r="N9" s="68"/>
      <c r="O9" s="142">
        <v>0</v>
      </c>
      <c r="P9" s="122">
        <v>26559.855491329479</v>
      </c>
      <c r="Q9" s="120">
        <f>+O9*P9</f>
        <v>0</v>
      </c>
      <c r="R9" s="136">
        <f t="shared" ref="R9:R18" si="0">+N9+Q9</f>
        <v>0</v>
      </c>
      <c r="S9" s="24">
        <v>100000</v>
      </c>
      <c r="T9" s="24"/>
      <c r="U9" s="24">
        <v>0</v>
      </c>
      <c r="V9" s="25">
        <f t="shared" ref="V9:V18" si="1">+H9+I9+J9+K9+R9+S9+U9</f>
        <v>4894855</v>
      </c>
      <c r="W9" s="24">
        <f>+AL9*$W$7</f>
        <v>58038.810900000004</v>
      </c>
      <c r="X9" s="24">
        <f>+AL9*$X$7</f>
        <v>97544.22</v>
      </c>
      <c r="Y9" s="24">
        <f>+AL9*$Y$7</f>
        <v>97544.22</v>
      </c>
      <c r="Z9" s="24">
        <f>+AM9*$Z$7</f>
        <v>195088.44</v>
      </c>
      <c r="AA9" s="25">
        <f>SUM(W9:Z9)</f>
        <v>448215.69090000005</v>
      </c>
      <c r="AB9" s="25">
        <f>+V9+AA9</f>
        <v>5343070.6908999998</v>
      </c>
      <c r="AC9" s="66">
        <f>+AL9*$AC$7</f>
        <v>97544.22</v>
      </c>
      <c r="AD9" s="66">
        <f>+AL9*$AD$7</f>
        <v>48772.11</v>
      </c>
      <c r="AE9" s="66">
        <f>+AM9*$AE$7</f>
        <v>48772.11</v>
      </c>
      <c r="AF9" s="66">
        <v>0</v>
      </c>
      <c r="AG9" s="121">
        <f t="shared" ref="AG9:AG18" si="2">SUM(AC9:AF9)</f>
        <v>195088.44</v>
      </c>
      <c r="AH9" s="24">
        <v>0</v>
      </c>
      <c r="AI9" s="238">
        <f>+V9-AG9-AH9</f>
        <v>4699766.5599999996</v>
      </c>
      <c r="AL9" s="24">
        <v>4877211</v>
      </c>
      <c r="AM9" s="24">
        <v>4877211</v>
      </c>
      <c r="AN9" s="101">
        <f>+V9+W9+Z9</f>
        <v>5147982.2509000003</v>
      </c>
      <c r="AO9" s="108">
        <f t="shared" ref="AO9:AO18" si="3">IF(AN9*0.05&gt;500000,500000,AN9*0.05)</f>
        <v>257399.11254500004</v>
      </c>
      <c r="AP9" s="101">
        <f>+AN9-AO9-AC9-AD9</f>
        <v>4744266.8083549999</v>
      </c>
      <c r="AQ9" s="101">
        <f t="shared" ref="AQ9:AQ18" si="4">+AP9*$AQ$7</f>
        <v>56931201.700259998</v>
      </c>
      <c r="AR9" s="101">
        <f t="shared" ref="AR9:AR18" si="5">IF(D9="TK",54000000,(IF(OR(D9="TK1",D9="K"),58500000,(IF(OR(D9="TK2",D9="K1"),63000000,(IF(OR(OR(D9="TK3",D9="TK4"),D9="K2"),67500000,72000000)))))))</f>
        <v>67500000</v>
      </c>
      <c r="AS9" s="113">
        <f t="shared" ref="AS9:AS18" si="6">IF((+AQ9-AR9)&lt;=0,0,TRUNC((AQ9-AR9)/1000)*1000)</f>
        <v>0</v>
      </c>
      <c r="AT9" s="113">
        <f t="shared" ref="AT9:AT18" si="7">IF(AS9&lt;=60000000,AS9*5%,IF(AS9&lt;=250000000,3000000+((AS9-60000000)*15%),IF(AS9&lt;=500000000,31500000+((AS9-250000000)*25%),IF(AND(AS9&gt;=500000000,AS9&lt;=5000000000),94000000+((AS9-500000000)*30%),IF(AS9&gt;5000000000,(1444000000+(AS9-5000000000)*35%))))))</f>
        <v>0</v>
      </c>
      <c r="AU9" s="38">
        <f>+AT9/12</f>
        <v>0</v>
      </c>
    </row>
    <row r="10" spans="1:47" ht="15" customHeight="1">
      <c r="A10" s="237">
        <v>2</v>
      </c>
      <c r="B10" s="28" t="s">
        <v>381</v>
      </c>
      <c r="C10" s="28" t="s">
        <v>15</v>
      </c>
      <c r="D10" s="106" t="s">
        <v>7</v>
      </c>
      <c r="E10" s="248" t="s">
        <v>282</v>
      </c>
      <c r="F10" s="68">
        <v>19</v>
      </c>
      <c r="G10" s="68">
        <v>145452</v>
      </c>
      <c r="H10" s="24">
        <v>4594855</v>
      </c>
      <c r="I10" s="68">
        <v>0</v>
      </c>
      <c r="J10" s="68">
        <v>0</v>
      </c>
      <c r="K10" s="68"/>
      <c r="L10" s="135"/>
      <c r="M10" s="122"/>
      <c r="N10" s="68"/>
      <c r="O10" s="142">
        <v>36</v>
      </c>
      <c r="P10" s="122">
        <v>26559.855491329479</v>
      </c>
      <c r="Q10" s="120">
        <f t="shared" ref="Q10:Q18" si="8">+O10*P10</f>
        <v>956154.79768786125</v>
      </c>
      <c r="R10" s="136">
        <f t="shared" si="0"/>
        <v>956154.79768786125</v>
      </c>
      <c r="S10" s="24">
        <v>60000</v>
      </c>
      <c r="T10" s="24"/>
      <c r="U10" s="24">
        <v>0</v>
      </c>
      <c r="V10" s="25">
        <f t="shared" si="1"/>
        <v>5611009.7976878611</v>
      </c>
      <c r="W10" s="24">
        <f t="shared" ref="W10:W18" si="9">+AL10*$W$7</f>
        <v>58038.810900000004</v>
      </c>
      <c r="X10" s="24">
        <f t="shared" ref="X10:X18" si="10">+AL10*$X$7</f>
        <v>97544.22</v>
      </c>
      <c r="Y10" s="24">
        <f t="shared" ref="Y10:Y18" si="11">+AL10*$Y$7</f>
        <v>97544.22</v>
      </c>
      <c r="Z10" s="24">
        <f t="shared" ref="Z10:Z18" si="12">+AM10*$Z$7</f>
        <v>195088.44</v>
      </c>
      <c r="AA10" s="25">
        <f t="shared" ref="AA10:AA18" si="13">SUM(W10:Z10)</f>
        <v>448215.69090000005</v>
      </c>
      <c r="AB10" s="25">
        <f t="shared" ref="AB10:AB18" si="14">+V10+AA10</f>
        <v>6059225.4885878609</v>
      </c>
      <c r="AC10" s="66">
        <f t="shared" ref="AC10:AC18" si="15">+AL10*$AC$7</f>
        <v>97544.22</v>
      </c>
      <c r="AD10" s="66">
        <f t="shared" ref="AD10:AD18" si="16">+AL10*$AD$7</f>
        <v>48772.11</v>
      </c>
      <c r="AE10" s="66">
        <f t="shared" ref="AE10:AE18" si="17">+AM10*$AE$7</f>
        <v>48772.11</v>
      </c>
      <c r="AF10" s="24"/>
      <c r="AG10" s="121">
        <f t="shared" si="2"/>
        <v>195088.44</v>
      </c>
      <c r="AH10" s="24">
        <v>0</v>
      </c>
      <c r="AI10" s="238">
        <f t="shared" ref="AI10:AI18" si="18">+V10-AG10-AH10</f>
        <v>5415921.3576878607</v>
      </c>
      <c r="AL10" s="24">
        <v>4877211</v>
      </c>
      <c r="AM10" s="24">
        <v>4877211</v>
      </c>
      <c r="AN10" s="101">
        <f t="shared" ref="AN10:AN18" si="19">+V10+W10+Z10</f>
        <v>5864137.0485878615</v>
      </c>
      <c r="AO10" s="108">
        <f t="shared" si="3"/>
        <v>293206.8524293931</v>
      </c>
      <c r="AP10" s="101">
        <f t="shared" ref="AP10:AP18" si="20">+AN10-AO10-AC10-AD10</f>
        <v>5424613.8661584686</v>
      </c>
      <c r="AQ10" s="101">
        <f t="shared" si="4"/>
        <v>65095366.393901624</v>
      </c>
      <c r="AR10" s="101">
        <f t="shared" si="5"/>
        <v>67500000</v>
      </c>
      <c r="AS10" s="113">
        <f t="shared" si="6"/>
        <v>0</v>
      </c>
      <c r="AT10" s="113">
        <f t="shared" si="7"/>
        <v>0</v>
      </c>
      <c r="AU10" s="38">
        <f t="shared" ref="AU10:AU18" si="21">+AT10/12</f>
        <v>0</v>
      </c>
    </row>
    <row r="11" spans="1:47" ht="15" customHeight="1">
      <c r="A11" s="237">
        <v>3</v>
      </c>
      <c r="B11" s="28" t="s">
        <v>380</v>
      </c>
      <c r="C11" s="28" t="s">
        <v>16</v>
      </c>
      <c r="D11" s="106" t="s">
        <v>9</v>
      </c>
      <c r="E11" s="248" t="s">
        <v>283</v>
      </c>
      <c r="F11" s="68">
        <v>30</v>
      </c>
      <c r="G11" s="68">
        <v>145452</v>
      </c>
      <c r="H11" s="24">
        <v>4594855</v>
      </c>
      <c r="I11" s="68">
        <v>0</v>
      </c>
      <c r="J11" s="68">
        <v>0</v>
      </c>
      <c r="K11" s="68"/>
      <c r="L11" s="135"/>
      <c r="M11" s="122"/>
      <c r="N11" s="68"/>
      <c r="O11" s="142">
        <v>0</v>
      </c>
      <c r="P11" s="122">
        <v>26559.855491329479</v>
      </c>
      <c r="Q11" s="120">
        <f t="shared" si="8"/>
        <v>0</v>
      </c>
      <c r="R11" s="136">
        <f t="shared" si="0"/>
        <v>0</v>
      </c>
      <c r="S11" s="24">
        <v>96000</v>
      </c>
      <c r="T11" s="24"/>
      <c r="U11" s="24">
        <v>0</v>
      </c>
      <c r="V11" s="25">
        <f t="shared" si="1"/>
        <v>4690855</v>
      </c>
      <c r="W11" s="24">
        <f t="shared" si="9"/>
        <v>58038.810900000004</v>
      </c>
      <c r="X11" s="24">
        <f t="shared" si="10"/>
        <v>97544.22</v>
      </c>
      <c r="Y11" s="24">
        <f t="shared" si="11"/>
        <v>97544.22</v>
      </c>
      <c r="Z11" s="24">
        <f t="shared" si="12"/>
        <v>195088.44</v>
      </c>
      <c r="AA11" s="25">
        <f t="shared" si="13"/>
        <v>448215.69090000005</v>
      </c>
      <c r="AB11" s="25">
        <f t="shared" si="14"/>
        <v>5139070.6908999998</v>
      </c>
      <c r="AC11" s="66">
        <f t="shared" si="15"/>
        <v>97544.22</v>
      </c>
      <c r="AD11" s="66">
        <f t="shared" si="16"/>
        <v>48772.11</v>
      </c>
      <c r="AE11" s="66">
        <f t="shared" si="17"/>
        <v>48772.11</v>
      </c>
      <c r="AF11" s="24"/>
      <c r="AG11" s="121">
        <f t="shared" si="2"/>
        <v>195088.44</v>
      </c>
      <c r="AH11" s="24">
        <v>0</v>
      </c>
      <c r="AI11" s="238">
        <f t="shared" si="18"/>
        <v>4495766.5599999996</v>
      </c>
      <c r="AL11" s="24">
        <v>4877211</v>
      </c>
      <c r="AM11" s="24">
        <v>4877211</v>
      </c>
      <c r="AN11" s="101">
        <f t="shared" si="19"/>
        <v>4943982.2509000003</v>
      </c>
      <c r="AO11" s="108">
        <f t="shared" si="3"/>
        <v>247199.11254500004</v>
      </c>
      <c r="AP11" s="101">
        <f t="shared" si="20"/>
        <v>4550466.8083549999</v>
      </c>
      <c r="AQ11" s="101">
        <f t="shared" si="4"/>
        <v>54605601.700259998</v>
      </c>
      <c r="AR11" s="101">
        <f t="shared" si="5"/>
        <v>63000000</v>
      </c>
      <c r="AS11" s="113">
        <f t="shared" si="6"/>
        <v>0</v>
      </c>
      <c r="AT11" s="113">
        <f t="shared" si="7"/>
        <v>0</v>
      </c>
      <c r="AU11" s="38">
        <f t="shared" si="21"/>
        <v>0</v>
      </c>
    </row>
    <row r="12" spans="1:47" s="111" customFormat="1" ht="15" customHeight="1">
      <c r="A12" s="237">
        <v>4</v>
      </c>
      <c r="B12" s="29" t="s">
        <v>382</v>
      </c>
      <c r="C12" s="28" t="s">
        <v>124</v>
      </c>
      <c r="D12" s="106" t="s">
        <v>8</v>
      </c>
      <c r="E12" s="248" t="s">
        <v>284</v>
      </c>
      <c r="F12" s="68">
        <v>28</v>
      </c>
      <c r="G12" s="68">
        <v>145452</v>
      </c>
      <c r="H12" s="24">
        <v>4594855</v>
      </c>
      <c r="I12" s="68">
        <v>0</v>
      </c>
      <c r="J12" s="68">
        <v>0</v>
      </c>
      <c r="K12" s="68"/>
      <c r="L12" s="135"/>
      <c r="M12" s="122"/>
      <c r="N12" s="68"/>
      <c r="O12" s="142">
        <v>0</v>
      </c>
      <c r="P12" s="122">
        <v>26559.855491329479</v>
      </c>
      <c r="Q12" s="120">
        <f t="shared" si="8"/>
        <v>0</v>
      </c>
      <c r="R12" s="136">
        <f t="shared" si="0"/>
        <v>0</v>
      </c>
      <c r="S12" s="24">
        <v>92000</v>
      </c>
      <c r="T12" s="24"/>
      <c r="U12" s="24">
        <v>0</v>
      </c>
      <c r="V12" s="25">
        <f t="shared" si="1"/>
        <v>4686855</v>
      </c>
      <c r="W12" s="24">
        <f t="shared" si="9"/>
        <v>58038.810900000004</v>
      </c>
      <c r="X12" s="24">
        <f t="shared" si="10"/>
        <v>97544.22</v>
      </c>
      <c r="Y12" s="24">
        <f t="shared" si="11"/>
        <v>97544.22</v>
      </c>
      <c r="Z12" s="24">
        <f t="shared" si="12"/>
        <v>195088.44</v>
      </c>
      <c r="AA12" s="25">
        <f t="shared" si="13"/>
        <v>448215.69090000005</v>
      </c>
      <c r="AB12" s="25">
        <f t="shared" si="14"/>
        <v>5135070.6908999998</v>
      </c>
      <c r="AC12" s="66">
        <f t="shared" si="15"/>
        <v>97544.22</v>
      </c>
      <c r="AD12" s="66">
        <f t="shared" si="16"/>
        <v>48772.11</v>
      </c>
      <c r="AE12" s="66">
        <f t="shared" si="17"/>
        <v>48772.11</v>
      </c>
      <c r="AF12" s="24"/>
      <c r="AG12" s="121">
        <f t="shared" si="2"/>
        <v>195088.44</v>
      </c>
      <c r="AH12" s="24">
        <v>0</v>
      </c>
      <c r="AI12" s="238">
        <f t="shared" si="18"/>
        <v>4491766.5599999996</v>
      </c>
      <c r="AJ12" s="112"/>
      <c r="AL12" s="24">
        <v>4877211</v>
      </c>
      <c r="AM12" s="24">
        <v>4877211</v>
      </c>
      <c r="AN12" s="38">
        <f t="shared" si="19"/>
        <v>4939982.2509000003</v>
      </c>
      <c r="AO12" s="108">
        <f t="shared" si="3"/>
        <v>246999.11254500004</v>
      </c>
      <c r="AP12" s="38">
        <f t="shared" si="20"/>
        <v>4546666.8083549999</v>
      </c>
      <c r="AQ12" s="38">
        <f t="shared" si="4"/>
        <v>54560001.700259998</v>
      </c>
      <c r="AR12" s="38">
        <f t="shared" si="5"/>
        <v>72000000</v>
      </c>
      <c r="AS12" s="113">
        <f t="shared" si="6"/>
        <v>0</v>
      </c>
      <c r="AT12" s="113">
        <f t="shared" si="7"/>
        <v>0</v>
      </c>
      <c r="AU12" s="38">
        <f t="shared" si="21"/>
        <v>0</v>
      </c>
    </row>
    <row r="13" spans="1:47" s="111" customFormat="1" ht="15" customHeight="1">
      <c r="A13" s="237">
        <v>5</v>
      </c>
      <c r="B13" s="29" t="s">
        <v>383</v>
      </c>
      <c r="C13" s="28" t="s">
        <v>15</v>
      </c>
      <c r="D13" s="62" t="s">
        <v>9</v>
      </c>
      <c r="E13" s="248" t="s">
        <v>285</v>
      </c>
      <c r="F13" s="68">
        <v>23</v>
      </c>
      <c r="G13" s="68">
        <v>145452</v>
      </c>
      <c r="H13" s="24">
        <v>4594855</v>
      </c>
      <c r="I13" s="68">
        <v>0</v>
      </c>
      <c r="J13" s="68">
        <v>0</v>
      </c>
      <c r="K13" s="68"/>
      <c r="L13" s="135"/>
      <c r="M13" s="122"/>
      <c r="N13" s="68"/>
      <c r="O13" s="142">
        <v>12</v>
      </c>
      <c r="P13" s="122">
        <v>26559.855491329479</v>
      </c>
      <c r="Q13" s="120">
        <f t="shared" si="8"/>
        <v>318718.26589595375</v>
      </c>
      <c r="R13" s="136">
        <f t="shared" si="0"/>
        <v>318718.26589595375</v>
      </c>
      <c r="S13" s="24">
        <v>72000</v>
      </c>
      <c r="T13" s="24"/>
      <c r="U13" s="24">
        <v>0</v>
      </c>
      <c r="V13" s="25">
        <f t="shared" si="1"/>
        <v>4985573.2658959534</v>
      </c>
      <c r="W13" s="24">
        <f t="shared" si="9"/>
        <v>58038.810900000004</v>
      </c>
      <c r="X13" s="24">
        <f t="shared" si="10"/>
        <v>97544.22</v>
      </c>
      <c r="Y13" s="24">
        <f t="shared" si="11"/>
        <v>97544.22</v>
      </c>
      <c r="Z13" s="24">
        <f t="shared" si="12"/>
        <v>195088.44</v>
      </c>
      <c r="AA13" s="25">
        <f t="shared" si="13"/>
        <v>448215.69090000005</v>
      </c>
      <c r="AB13" s="25">
        <f t="shared" si="14"/>
        <v>5433788.9567959532</v>
      </c>
      <c r="AC13" s="66">
        <f t="shared" si="15"/>
        <v>97544.22</v>
      </c>
      <c r="AD13" s="66">
        <f t="shared" si="16"/>
        <v>48772.11</v>
      </c>
      <c r="AE13" s="66">
        <f t="shared" si="17"/>
        <v>48772.11</v>
      </c>
      <c r="AF13" s="24"/>
      <c r="AG13" s="121">
        <f t="shared" si="2"/>
        <v>195088.44</v>
      </c>
      <c r="AH13" s="24">
        <v>0</v>
      </c>
      <c r="AI13" s="238">
        <f t="shared" si="18"/>
        <v>4790484.825895953</v>
      </c>
      <c r="AJ13" s="112"/>
      <c r="AL13" s="24">
        <v>4877211</v>
      </c>
      <c r="AM13" s="24">
        <v>4877211</v>
      </c>
      <c r="AN13" s="38">
        <f t="shared" si="19"/>
        <v>5238700.5167959537</v>
      </c>
      <c r="AO13" s="108">
        <f t="shared" si="3"/>
        <v>261935.02583979769</v>
      </c>
      <c r="AP13" s="38">
        <f t="shared" si="20"/>
        <v>4830449.1609561555</v>
      </c>
      <c r="AQ13" s="38">
        <f t="shared" si="4"/>
        <v>57965389.931473866</v>
      </c>
      <c r="AR13" s="38">
        <f t="shared" si="5"/>
        <v>63000000</v>
      </c>
      <c r="AS13" s="113">
        <f t="shared" si="6"/>
        <v>0</v>
      </c>
      <c r="AT13" s="113">
        <f t="shared" si="7"/>
        <v>0</v>
      </c>
      <c r="AU13" s="38">
        <f t="shared" si="21"/>
        <v>0</v>
      </c>
    </row>
    <row r="14" spans="1:47" s="111" customFormat="1" ht="15" customHeight="1">
      <c r="A14" s="237">
        <v>6</v>
      </c>
      <c r="B14" s="29" t="s">
        <v>384</v>
      </c>
      <c r="C14" s="28" t="s">
        <v>125</v>
      </c>
      <c r="D14" s="62" t="s">
        <v>7</v>
      </c>
      <c r="E14" s="248" t="s">
        <v>286</v>
      </c>
      <c r="F14" s="68">
        <v>16</v>
      </c>
      <c r="G14" s="68">
        <v>145452</v>
      </c>
      <c r="H14" s="24">
        <v>4594855</v>
      </c>
      <c r="I14" s="68">
        <v>80000</v>
      </c>
      <c r="J14" s="68">
        <v>80000</v>
      </c>
      <c r="K14" s="68"/>
      <c r="L14" s="135"/>
      <c r="M14" s="122"/>
      <c r="N14" s="68"/>
      <c r="O14" s="142">
        <v>0</v>
      </c>
      <c r="P14" s="122">
        <v>26559.855491329479</v>
      </c>
      <c r="Q14" s="120">
        <f t="shared" si="8"/>
        <v>0</v>
      </c>
      <c r="R14" s="136">
        <f t="shared" si="0"/>
        <v>0</v>
      </c>
      <c r="S14" s="24">
        <v>52000</v>
      </c>
      <c r="T14" s="24"/>
      <c r="U14" s="24">
        <v>0</v>
      </c>
      <c r="V14" s="25">
        <f t="shared" si="1"/>
        <v>4806855</v>
      </c>
      <c r="W14" s="24">
        <f t="shared" si="9"/>
        <v>58038.810900000004</v>
      </c>
      <c r="X14" s="24">
        <f t="shared" si="10"/>
        <v>97544.22</v>
      </c>
      <c r="Y14" s="24">
        <f t="shared" si="11"/>
        <v>97544.22</v>
      </c>
      <c r="Z14" s="24">
        <f t="shared" si="12"/>
        <v>195088.44</v>
      </c>
      <c r="AA14" s="25">
        <f t="shared" si="13"/>
        <v>448215.69090000005</v>
      </c>
      <c r="AB14" s="25">
        <f t="shared" si="14"/>
        <v>5255070.6908999998</v>
      </c>
      <c r="AC14" s="66">
        <f t="shared" si="15"/>
        <v>97544.22</v>
      </c>
      <c r="AD14" s="66">
        <f t="shared" si="16"/>
        <v>48772.11</v>
      </c>
      <c r="AE14" s="66">
        <f t="shared" si="17"/>
        <v>48772.11</v>
      </c>
      <c r="AF14" s="24"/>
      <c r="AG14" s="121">
        <f t="shared" si="2"/>
        <v>195088.44</v>
      </c>
      <c r="AH14" s="24">
        <v>0</v>
      </c>
      <c r="AI14" s="238">
        <f t="shared" si="18"/>
        <v>4611766.5599999996</v>
      </c>
      <c r="AJ14" s="112"/>
      <c r="AL14" s="24">
        <v>4877211</v>
      </c>
      <c r="AM14" s="24">
        <v>4877211</v>
      </c>
      <c r="AN14" s="38">
        <f t="shared" si="19"/>
        <v>5059982.2509000003</v>
      </c>
      <c r="AO14" s="108">
        <f t="shared" si="3"/>
        <v>252999.11254500004</v>
      </c>
      <c r="AP14" s="38">
        <f t="shared" si="20"/>
        <v>4660666.8083549999</v>
      </c>
      <c r="AQ14" s="38">
        <f t="shared" si="4"/>
        <v>55928001.700259998</v>
      </c>
      <c r="AR14" s="38">
        <f t="shared" si="5"/>
        <v>67500000</v>
      </c>
      <c r="AS14" s="113">
        <f t="shared" si="6"/>
        <v>0</v>
      </c>
      <c r="AT14" s="113">
        <f t="shared" si="7"/>
        <v>0</v>
      </c>
      <c r="AU14" s="38">
        <f t="shared" si="21"/>
        <v>0</v>
      </c>
    </row>
    <row r="15" spans="1:47" s="111" customFormat="1" ht="15" customHeight="1">
      <c r="A15" s="237">
        <v>7</v>
      </c>
      <c r="B15" s="29" t="s">
        <v>385</v>
      </c>
      <c r="C15" s="28" t="s">
        <v>126</v>
      </c>
      <c r="D15" s="62" t="s">
        <v>7</v>
      </c>
      <c r="E15" s="248" t="s">
        <v>287</v>
      </c>
      <c r="F15" s="68">
        <v>16</v>
      </c>
      <c r="G15" s="68">
        <v>145452</v>
      </c>
      <c r="H15" s="24">
        <v>4594855</v>
      </c>
      <c r="I15" s="68">
        <v>0</v>
      </c>
      <c r="J15" s="68">
        <v>0</v>
      </c>
      <c r="K15" s="68"/>
      <c r="L15" s="135"/>
      <c r="M15" s="122"/>
      <c r="N15" s="68"/>
      <c r="O15" s="142">
        <v>0</v>
      </c>
      <c r="P15" s="122">
        <v>26559.855491329479</v>
      </c>
      <c r="Q15" s="120">
        <f t="shared" si="8"/>
        <v>0</v>
      </c>
      <c r="R15" s="136">
        <f t="shared" si="0"/>
        <v>0</v>
      </c>
      <c r="S15" s="24">
        <v>52000</v>
      </c>
      <c r="T15" s="24"/>
      <c r="U15" s="24">
        <v>0</v>
      </c>
      <c r="V15" s="25">
        <f t="shared" si="1"/>
        <v>4646855</v>
      </c>
      <c r="W15" s="24">
        <f t="shared" si="9"/>
        <v>58038.810900000004</v>
      </c>
      <c r="X15" s="24">
        <f t="shared" si="10"/>
        <v>97544.22</v>
      </c>
      <c r="Y15" s="24">
        <f t="shared" si="11"/>
        <v>97544.22</v>
      </c>
      <c r="Z15" s="24">
        <f t="shared" si="12"/>
        <v>195088.44</v>
      </c>
      <c r="AA15" s="25">
        <f t="shared" si="13"/>
        <v>448215.69090000005</v>
      </c>
      <c r="AB15" s="25">
        <f t="shared" si="14"/>
        <v>5095070.6908999998</v>
      </c>
      <c r="AC15" s="66">
        <f t="shared" si="15"/>
        <v>97544.22</v>
      </c>
      <c r="AD15" s="66">
        <f t="shared" si="16"/>
        <v>48772.11</v>
      </c>
      <c r="AE15" s="66">
        <f t="shared" si="17"/>
        <v>48772.11</v>
      </c>
      <c r="AF15" s="24">
        <v>48772.11</v>
      </c>
      <c r="AG15" s="121">
        <f t="shared" si="2"/>
        <v>243860.55</v>
      </c>
      <c r="AH15" s="24">
        <v>0</v>
      </c>
      <c r="AI15" s="238">
        <f t="shared" si="18"/>
        <v>4402994.45</v>
      </c>
      <c r="AJ15" s="112"/>
      <c r="AL15" s="24">
        <v>4877211</v>
      </c>
      <c r="AM15" s="24">
        <v>4877211</v>
      </c>
      <c r="AN15" s="38">
        <f t="shared" si="19"/>
        <v>4899982.2509000003</v>
      </c>
      <c r="AO15" s="108">
        <f t="shared" si="3"/>
        <v>244999.11254500004</v>
      </c>
      <c r="AP15" s="38">
        <f t="shared" si="20"/>
        <v>4508666.8083549999</v>
      </c>
      <c r="AQ15" s="38">
        <f t="shared" si="4"/>
        <v>54104001.700259998</v>
      </c>
      <c r="AR15" s="38">
        <f t="shared" si="5"/>
        <v>67500000</v>
      </c>
      <c r="AS15" s="113">
        <f t="shared" si="6"/>
        <v>0</v>
      </c>
      <c r="AT15" s="113">
        <f t="shared" si="7"/>
        <v>0</v>
      </c>
      <c r="AU15" s="38">
        <f t="shared" si="21"/>
        <v>0</v>
      </c>
    </row>
    <row r="16" spans="1:47" s="111" customFormat="1" ht="15" customHeight="1">
      <c r="A16" s="237">
        <v>8</v>
      </c>
      <c r="B16" s="29" t="s">
        <v>386</v>
      </c>
      <c r="C16" s="28" t="s">
        <v>100</v>
      </c>
      <c r="D16" s="123" t="s">
        <v>9</v>
      </c>
      <c r="E16" s="248" t="s">
        <v>288</v>
      </c>
      <c r="F16" s="68">
        <v>30</v>
      </c>
      <c r="G16" s="68">
        <v>145452</v>
      </c>
      <c r="H16" s="24">
        <v>4594855</v>
      </c>
      <c r="I16" s="68">
        <v>0</v>
      </c>
      <c r="J16" s="68">
        <v>100000</v>
      </c>
      <c r="K16" s="68"/>
      <c r="L16" s="135"/>
      <c r="M16" s="122"/>
      <c r="N16" s="68"/>
      <c r="O16" s="142">
        <v>12.5</v>
      </c>
      <c r="P16" s="122">
        <v>26559.855491329479</v>
      </c>
      <c r="Q16" s="120">
        <f t="shared" si="8"/>
        <v>331998.19364161848</v>
      </c>
      <c r="R16" s="136">
        <f t="shared" si="0"/>
        <v>331998.19364161848</v>
      </c>
      <c r="S16" s="24">
        <v>100000</v>
      </c>
      <c r="T16" s="24"/>
      <c r="U16" s="24">
        <v>0</v>
      </c>
      <c r="V16" s="25">
        <f t="shared" si="1"/>
        <v>5126853.1936416188</v>
      </c>
      <c r="W16" s="24">
        <f t="shared" si="9"/>
        <v>58038.810900000004</v>
      </c>
      <c r="X16" s="24">
        <f t="shared" si="10"/>
        <v>97544.22</v>
      </c>
      <c r="Y16" s="24">
        <f t="shared" si="11"/>
        <v>97544.22</v>
      </c>
      <c r="Z16" s="24">
        <f t="shared" si="12"/>
        <v>195088.44</v>
      </c>
      <c r="AA16" s="25">
        <f t="shared" si="13"/>
        <v>448215.69090000005</v>
      </c>
      <c r="AB16" s="25">
        <f t="shared" si="14"/>
        <v>5575068.8845416186</v>
      </c>
      <c r="AC16" s="66">
        <f t="shared" si="15"/>
        <v>97544.22</v>
      </c>
      <c r="AD16" s="66">
        <f t="shared" si="16"/>
        <v>48772.11</v>
      </c>
      <c r="AE16" s="66">
        <f t="shared" si="17"/>
        <v>48772.11</v>
      </c>
      <c r="AF16" s="24">
        <v>0</v>
      </c>
      <c r="AG16" s="121">
        <f t="shared" si="2"/>
        <v>195088.44</v>
      </c>
      <c r="AH16" s="24">
        <v>0</v>
      </c>
      <c r="AI16" s="238">
        <f t="shared" si="18"/>
        <v>4931764.7536416184</v>
      </c>
      <c r="AJ16" s="112"/>
      <c r="AL16" s="24">
        <v>4877211</v>
      </c>
      <c r="AM16" s="24">
        <v>4877211</v>
      </c>
      <c r="AN16" s="38">
        <f t="shared" si="19"/>
        <v>5379980.4445416192</v>
      </c>
      <c r="AO16" s="108">
        <f t="shared" si="3"/>
        <v>268999.02222708095</v>
      </c>
      <c r="AP16" s="38">
        <f t="shared" si="20"/>
        <v>4964665.0923145385</v>
      </c>
      <c r="AQ16" s="38">
        <f t="shared" si="4"/>
        <v>59575981.107774466</v>
      </c>
      <c r="AR16" s="38">
        <f t="shared" si="5"/>
        <v>63000000</v>
      </c>
      <c r="AS16" s="113">
        <f t="shared" si="6"/>
        <v>0</v>
      </c>
      <c r="AT16" s="113">
        <f t="shared" si="7"/>
        <v>0</v>
      </c>
      <c r="AU16" s="38">
        <f t="shared" si="21"/>
        <v>0</v>
      </c>
    </row>
    <row r="17" spans="1:103" s="111" customFormat="1" ht="15" customHeight="1">
      <c r="A17" s="237">
        <v>9</v>
      </c>
      <c r="B17" s="29" t="s">
        <v>387</v>
      </c>
      <c r="C17" s="28" t="s">
        <v>15</v>
      </c>
      <c r="D17" s="123" t="s">
        <v>9</v>
      </c>
      <c r="E17" s="248" t="s">
        <v>289</v>
      </c>
      <c r="F17" s="68">
        <v>24</v>
      </c>
      <c r="G17" s="68">
        <v>145452</v>
      </c>
      <c r="H17" s="24">
        <v>4594855</v>
      </c>
      <c r="I17" s="68">
        <v>0</v>
      </c>
      <c r="J17" s="68">
        <v>0</v>
      </c>
      <c r="K17" s="68"/>
      <c r="L17" s="135"/>
      <c r="M17" s="122"/>
      <c r="N17" s="68"/>
      <c r="O17" s="142">
        <v>39</v>
      </c>
      <c r="P17" s="122">
        <v>26559.855491329479</v>
      </c>
      <c r="Q17" s="120">
        <f t="shared" si="8"/>
        <v>1035834.3641618497</v>
      </c>
      <c r="R17" s="136">
        <f t="shared" si="0"/>
        <v>1035834.3641618497</v>
      </c>
      <c r="S17" s="24">
        <v>72000</v>
      </c>
      <c r="T17" s="24"/>
      <c r="U17" s="24">
        <v>0</v>
      </c>
      <c r="V17" s="25">
        <f t="shared" si="1"/>
        <v>5702689.36416185</v>
      </c>
      <c r="W17" s="24">
        <f t="shared" si="9"/>
        <v>58038.810900000004</v>
      </c>
      <c r="X17" s="24">
        <f t="shared" si="10"/>
        <v>97544.22</v>
      </c>
      <c r="Y17" s="24">
        <f t="shared" si="11"/>
        <v>97544.22</v>
      </c>
      <c r="Z17" s="24">
        <f t="shared" si="12"/>
        <v>195088.44</v>
      </c>
      <c r="AA17" s="25">
        <f t="shared" si="13"/>
        <v>448215.69090000005</v>
      </c>
      <c r="AB17" s="25">
        <f t="shared" si="14"/>
        <v>6150905.0550618498</v>
      </c>
      <c r="AC17" s="66">
        <f t="shared" si="15"/>
        <v>97544.22</v>
      </c>
      <c r="AD17" s="66">
        <f t="shared" si="16"/>
        <v>48772.11</v>
      </c>
      <c r="AE17" s="66">
        <f t="shared" si="17"/>
        <v>48772.11</v>
      </c>
      <c r="AF17" s="24"/>
      <c r="AG17" s="121">
        <f t="shared" si="2"/>
        <v>195088.44</v>
      </c>
      <c r="AH17" s="24">
        <v>0</v>
      </c>
      <c r="AI17" s="238">
        <f t="shared" si="18"/>
        <v>5507600.9241618495</v>
      </c>
      <c r="AJ17" s="112"/>
      <c r="AL17" s="24">
        <v>4877211</v>
      </c>
      <c r="AM17" s="24">
        <v>4877211</v>
      </c>
      <c r="AN17" s="38">
        <f t="shared" si="19"/>
        <v>5955816.6150618503</v>
      </c>
      <c r="AO17" s="108">
        <f t="shared" si="3"/>
        <v>297790.83075309254</v>
      </c>
      <c r="AP17" s="38">
        <f t="shared" si="20"/>
        <v>5511709.4543087576</v>
      </c>
      <c r="AQ17" s="38">
        <f t="shared" si="4"/>
        <v>66140513.451705091</v>
      </c>
      <c r="AR17" s="38">
        <f t="shared" si="5"/>
        <v>63000000</v>
      </c>
      <c r="AS17" s="113">
        <f t="shared" si="6"/>
        <v>3140000</v>
      </c>
      <c r="AT17" s="113">
        <f t="shared" si="7"/>
        <v>157000</v>
      </c>
      <c r="AU17" s="38">
        <f t="shared" si="21"/>
        <v>13083.333333333334</v>
      </c>
    </row>
    <row r="18" spans="1:103" s="111" customFormat="1" ht="15" customHeight="1">
      <c r="A18" s="237">
        <v>10</v>
      </c>
      <c r="B18" s="29" t="s">
        <v>374</v>
      </c>
      <c r="C18" s="28" t="s">
        <v>14</v>
      </c>
      <c r="D18" s="62" t="s">
        <v>7</v>
      </c>
      <c r="E18" s="248" t="s">
        <v>290</v>
      </c>
      <c r="F18" s="68">
        <v>28</v>
      </c>
      <c r="G18" s="68">
        <v>145452</v>
      </c>
      <c r="H18" s="24">
        <v>4594855</v>
      </c>
      <c r="I18" s="68">
        <v>100000</v>
      </c>
      <c r="J18" s="68">
        <v>100000</v>
      </c>
      <c r="K18" s="68"/>
      <c r="L18" s="135"/>
      <c r="M18" s="122"/>
      <c r="N18" s="68"/>
      <c r="O18" s="142">
        <v>0</v>
      </c>
      <c r="P18" s="122">
        <v>26559.855491329479</v>
      </c>
      <c r="Q18" s="120">
        <f t="shared" si="8"/>
        <v>0</v>
      </c>
      <c r="R18" s="136">
        <f t="shared" si="0"/>
        <v>0</v>
      </c>
      <c r="S18" s="24">
        <v>92000</v>
      </c>
      <c r="T18" s="24"/>
      <c r="U18" s="24">
        <v>0</v>
      </c>
      <c r="V18" s="25">
        <f t="shared" si="1"/>
        <v>4886855</v>
      </c>
      <c r="W18" s="24">
        <f t="shared" si="9"/>
        <v>58038.810900000004</v>
      </c>
      <c r="X18" s="24">
        <f t="shared" si="10"/>
        <v>97544.22</v>
      </c>
      <c r="Y18" s="24">
        <f t="shared" si="11"/>
        <v>97544.22</v>
      </c>
      <c r="Z18" s="24">
        <f t="shared" si="12"/>
        <v>195088.44</v>
      </c>
      <c r="AA18" s="25">
        <f t="shared" si="13"/>
        <v>448215.69090000005</v>
      </c>
      <c r="AB18" s="25">
        <f t="shared" si="14"/>
        <v>5335070.6908999998</v>
      </c>
      <c r="AC18" s="66">
        <f t="shared" si="15"/>
        <v>97544.22</v>
      </c>
      <c r="AD18" s="66">
        <f t="shared" si="16"/>
        <v>48772.11</v>
      </c>
      <c r="AE18" s="66">
        <f t="shared" si="17"/>
        <v>48772.11</v>
      </c>
      <c r="AF18" s="24"/>
      <c r="AG18" s="121">
        <f t="shared" si="2"/>
        <v>195088.44</v>
      </c>
      <c r="AH18" s="24">
        <v>0</v>
      </c>
      <c r="AI18" s="238">
        <f t="shared" si="18"/>
        <v>4691766.5599999996</v>
      </c>
      <c r="AJ18" s="112"/>
      <c r="AL18" s="24">
        <v>4877211</v>
      </c>
      <c r="AM18" s="24">
        <v>4877211</v>
      </c>
      <c r="AN18" s="38">
        <f t="shared" si="19"/>
        <v>5139982.2509000003</v>
      </c>
      <c r="AO18" s="108">
        <f t="shared" si="3"/>
        <v>256999.11254500004</v>
      </c>
      <c r="AP18" s="38">
        <f t="shared" si="20"/>
        <v>4736666.8083549999</v>
      </c>
      <c r="AQ18" s="38">
        <f t="shared" si="4"/>
        <v>56840001.700259998</v>
      </c>
      <c r="AR18" s="38">
        <f t="shared" si="5"/>
        <v>67500000</v>
      </c>
      <c r="AS18" s="113">
        <f t="shared" si="6"/>
        <v>0</v>
      </c>
      <c r="AT18" s="113">
        <f t="shared" si="7"/>
        <v>0</v>
      </c>
      <c r="AU18" s="38">
        <f t="shared" si="21"/>
        <v>0</v>
      </c>
    </row>
    <row r="19" spans="1:103" ht="15" customHeight="1">
      <c r="A19" s="58"/>
      <c r="B19" s="78"/>
      <c r="C19" s="79"/>
      <c r="D19" s="19"/>
      <c r="E19" s="19"/>
      <c r="F19" s="78"/>
      <c r="G19" s="19"/>
      <c r="H19" s="19"/>
      <c r="I19" s="19"/>
      <c r="J19" s="19"/>
      <c r="K19" s="19"/>
      <c r="L19" s="19"/>
      <c r="M19" s="19"/>
      <c r="N19" s="19"/>
      <c r="O19" s="129"/>
      <c r="P19" s="78"/>
      <c r="Q19" s="78"/>
      <c r="R19" s="78"/>
      <c r="S19" s="78"/>
      <c r="T19" s="78"/>
      <c r="U19" s="78"/>
      <c r="V19" s="80"/>
      <c r="W19" s="78"/>
      <c r="X19" s="78"/>
      <c r="Y19" s="78"/>
      <c r="Z19" s="78"/>
      <c r="AA19" s="80"/>
      <c r="AB19" s="80"/>
      <c r="AC19" s="78"/>
      <c r="AD19" s="78"/>
      <c r="AE19" s="78"/>
      <c r="AF19" s="81"/>
      <c r="AG19" s="80"/>
      <c r="AH19" s="80"/>
      <c r="AI19" s="82"/>
    </row>
    <row r="20" spans="1:103" ht="15" customHeight="1">
      <c r="A20" s="277" t="s">
        <v>11</v>
      </c>
      <c r="B20" s="277"/>
      <c r="C20" s="277"/>
      <c r="D20" s="277"/>
      <c r="E20" s="277"/>
      <c r="F20" s="268">
        <f>SUM(F8:F19)</f>
        <v>244</v>
      </c>
      <c r="G20" s="268"/>
      <c r="H20" s="268">
        <f>SUM(H8:H19)</f>
        <v>45948550</v>
      </c>
      <c r="I20" s="268">
        <f>SUM(I8:I19)</f>
        <v>280000</v>
      </c>
      <c r="J20" s="268">
        <f>SUM(J8:J19)</f>
        <v>380000</v>
      </c>
      <c r="K20" s="268">
        <f>SUM(K8:K19)</f>
        <v>0</v>
      </c>
      <c r="L20" s="130">
        <f>SUM(L8:L19)</f>
        <v>0</v>
      </c>
      <c r="M20" s="131"/>
      <c r="N20" s="131"/>
      <c r="O20" s="263">
        <f>SUM(O9:O19)</f>
        <v>99.5</v>
      </c>
      <c r="P20" s="131"/>
      <c r="Q20" s="132"/>
      <c r="R20" s="268">
        <f>SUM(R8:R19)</f>
        <v>2642705.6213872833</v>
      </c>
      <c r="S20" s="268">
        <f>SUM(S8:S19)</f>
        <v>788000</v>
      </c>
      <c r="T20" s="268">
        <f>SUM(T8:T19)</f>
        <v>0</v>
      </c>
      <c r="U20" s="268">
        <f>SUM(U8:U19)</f>
        <v>0</v>
      </c>
      <c r="V20" s="268">
        <f>SUM(V8:V19)</f>
        <v>50039255.621387281</v>
      </c>
      <c r="W20" s="268">
        <f>SUM(W8:W19)</f>
        <v>580388.10899999994</v>
      </c>
      <c r="X20" s="268">
        <f>SUM(X8:X19)</f>
        <v>975442.19999999984</v>
      </c>
      <c r="Y20" s="268">
        <f>SUM(Y8:Y19)</f>
        <v>975442.19999999984</v>
      </c>
      <c r="Z20" s="268">
        <f>SUM(Z8:Z19)</f>
        <v>1950884.3999999997</v>
      </c>
      <c r="AA20" s="268">
        <f>SUM(AA8:AA19)</f>
        <v>4482156.9089999991</v>
      </c>
      <c r="AB20" s="268">
        <f>SUM(AB8:AB19)</f>
        <v>54521412.530387275</v>
      </c>
      <c r="AC20" s="268">
        <f>SUM(AC8:AC19)</f>
        <v>975442.19999999984</v>
      </c>
      <c r="AD20" s="268">
        <f>SUM(AD8:AD19)</f>
        <v>487721.09999999992</v>
      </c>
      <c r="AE20" s="268">
        <f>SUM(AE8:AE19)</f>
        <v>487721.09999999992</v>
      </c>
      <c r="AF20" s="268">
        <f>SUM(AF8:AF19)</f>
        <v>48772.11</v>
      </c>
      <c r="AG20" s="268">
        <f>SUM(AG8:AG19)</f>
        <v>1999656.5099999998</v>
      </c>
      <c r="AH20" s="268">
        <f>SUM(AH8:AH19)</f>
        <v>0</v>
      </c>
      <c r="AI20" s="268">
        <f>SUM(AI8:AI19)</f>
        <v>48039599.111387283</v>
      </c>
      <c r="AN20" s="267">
        <f>SUM(AN9:AN19)</f>
        <v>52570528.130387284</v>
      </c>
      <c r="AP20" s="267">
        <f>SUM(AP9:AP19)</f>
        <v>48478838.423867911</v>
      </c>
    </row>
    <row r="21" spans="1:103" ht="15" customHeight="1">
      <c r="A21" s="277"/>
      <c r="B21" s="277"/>
      <c r="C21" s="277"/>
      <c r="D21" s="277"/>
      <c r="E21" s="277"/>
      <c r="F21" s="268"/>
      <c r="G21" s="268"/>
      <c r="H21" s="268"/>
      <c r="I21" s="268"/>
      <c r="J21" s="268"/>
      <c r="K21" s="268"/>
      <c r="L21" s="130"/>
      <c r="M21" s="131"/>
      <c r="N21" s="131"/>
      <c r="O21" s="133"/>
      <c r="P21" s="131"/>
      <c r="Q21" s="132"/>
      <c r="R21" s="268"/>
      <c r="S21" s="268"/>
      <c r="T21" s="268"/>
      <c r="U21" s="268"/>
      <c r="V21" s="268"/>
      <c r="W21" s="268">
        <f>+W20+X20+Y20+AC20+AD20</f>
        <v>3994435.8089999994</v>
      </c>
      <c r="X21" s="268"/>
      <c r="Y21" s="268"/>
      <c r="Z21" s="268">
        <f>+Z20+AE20+AF20</f>
        <v>2487377.6099999994</v>
      </c>
      <c r="AA21" s="268"/>
      <c r="AB21" s="268"/>
      <c r="AC21" s="268"/>
      <c r="AD21" s="268"/>
      <c r="AE21" s="268"/>
      <c r="AF21" s="268"/>
      <c r="AG21" s="268"/>
      <c r="AH21" s="268"/>
      <c r="AI21" s="268"/>
      <c r="AN21" s="267"/>
      <c r="AP21" s="267"/>
    </row>
    <row r="22" spans="1:103" ht="15" customHeight="1">
      <c r="I22" s="267"/>
      <c r="J22" s="267"/>
      <c r="R22" s="267"/>
    </row>
    <row r="23" spans="1:103" ht="15" customHeight="1">
      <c r="P23" s="267"/>
      <c r="R23" s="267"/>
    </row>
    <row r="24" spans="1:103" s="267" customFormat="1" ht="15" customHeight="1">
      <c r="A24" s="6"/>
      <c r="C24" s="50"/>
      <c r="D24" s="6"/>
      <c r="E24" s="6"/>
      <c r="G24" s="6"/>
      <c r="H24" s="6"/>
      <c r="I24" s="6"/>
      <c r="J24" s="6"/>
      <c r="K24" s="6"/>
      <c r="L24" s="6"/>
      <c r="M24" s="6"/>
      <c r="N24" s="6"/>
      <c r="O24" s="88"/>
      <c r="P24" s="6"/>
      <c r="R24" s="6"/>
      <c r="S24" s="267">
        <f>25*4000</f>
        <v>100000</v>
      </c>
      <c r="V24" s="27"/>
      <c r="Y24" s="27"/>
      <c r="AA24" s="27"/>
      <c r="AB24" s="27"/>
      <c r="AG24" s="27"/>
      <c r="AH24" s="27"/>
      <c r="AI24" s="27"/>
      <c r="AK24" s="6"/>
      <c r="AM24" s="6"/>
      <c r="AN24" s="6"/>
      <c r="AO24" s="6"/>
      <c r="AP24" s="6"/>
      <c r="AQ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s="267" customFormat="1" ht="15" customHeight="1">
      <c r="A25" s="6"/>
      <c r="C25" s="50"/>
      <c r="D25" s="6"/>
      <c r="E25" s="6"/>
      <c r="G25" s="6"/>
      <c r="H25" s="6"/>
      <c r="I25" s="6"/>
      <c r="J25" s="6"/>
      <c r="K25" s="6"/>
      <c r="L25" s="6"/>
      <c r="M25" s="6"/>
      <c r="N25" s="6"/>
      <c r="O25" s="88"/>
      <c r="V25" s="27"/>
      <c r="Y25" s="27"/>
      <c r="AA25" s="27"/>
      <c r="AB25" s="27"/>
      <c r="AG25" s="27"/>
      <c r="AH25" s="27"/>
      <c r="AI25" s="27"/>
      <c r="AK25" s="6"/>
      <c r="AM25" s="6"/>
      <c r="AN25" s="6"/>
      <c r="AO25" s="6"/>
      <c r="AP25" s="6"/>
      <c r="AQ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s="267" customFormat="1" ht="15" customHeight="1">
      <c r="A26" s="6"/>
      <c r="C26" s="50"/>
      <c r="D26" s="6"/>
      <c r="E26" s="6"/>
      <c r="G26" s="6"/>
      <c r="H26" s="6"/>
      <c r="I26" s="6"/>
      <c r="J26" s="6"/>
      <c r="K26" s="6"/>
      <c r="L26" s="6"/>
      <c r="M26" s="6"/>
      <c r="N26" s="6"/>
      <c r="O26" s="88"/>
      <c r="V26" s="27"/>
      <c r="Y26" s="27"/>
      <c r="AA26" s="27"/>
      <c r="AB26" s="27"/>
      <c r="AG26" s="27"/>
      <c r="AH26" s="27"/>
      <c r="AI26" s="27"/>
      <c r="AK26" s="6"/>
      <c r="AM26" s="6"/>
      <c r="AN26" s="6"/>
      <c r="AO26" s="6"/>
      <c r="AP26" s="6"/>
      <c r="AQ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31" spans="1:103" s="267" customFormat="1" ht="15" hidden="1" customHeight="1">
      <c r="A31" s="6"/>
      <c r="C31" s="50"/>
      <c r="D31" s="6"/>
      <c r="E31" s="6"/>
      <c r="G31" s="6"/>
      <c r="H31" s="6"/>
      <c r="I31" s="6"/>
      <c r="J31" s="6"/>
      <c r="K31" s="6"/>
      <c r="L31" s="6"/>
      <c r="M31" s="6"/>
      <c r="N31" s="6"/>
      <c r="O31" s="88"/>
      <c r="P31" s="6"/>
      <c r="R31" s="6"/>
      <c r="V31" s="27"/>
      <c r="Y31" s="27"/>
      <c r="AA31" s="27"/>
      <c r="AB31" s="27"/>
      <c r="AG31" s="27"/>
      <c r="AH31" s="27"/>
      <c r="AI31" s="27"/>
      <c r="AK31" s="6"/>
      <c r="AM31" s="6"/>
      <c r="AN31" s="6"/>
      <c r="AO31" s="6"/>
      <c r="AP31" s="6"/>
      <c r="AQ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s="267" customFormat="1" ht="15" hidden="1" customHeight="1">
      <c r="A32" s="6"/>
      <c r="C32" s="50"/>
      <c r="D32" s="6"/>
      <c r="E32" s="6"/>
      <c r="G32" s="6"/>
      <c r="H32" s="6"/>
      <c r="I32" s="6"/>
      <c r="J32" s="6"/>
      <c r="K32" s="6"/>
      <c r="L32" s="6"/>
      <c r="M32" s="6"/>
      <c r="N32" s="6"/>
      <c r="O32" s="88"/>
      <c r="P32" s="6"/>
      <c r="R32" s="6"/>
      <c r="V32" s="27"/>
      <c r="Y32" s="27"/>
      <c r="AA32" s="27"/>
      <c r="AB32" s="27"/>
      <c r="AG32" s="27"/>
      <c r="AH32" s="27"/>
      <c r="AI32" s="27"/>
      <c r="AK32" s="6"/>
      <c r="AM32" s="6"/>
      <c r="AN32" s="6"/>
      <c r="AO32" s="6"/>
      <c r="AP32" s="6"/>
      <c r="AQ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s="267" customFormat="1" ht="15" hidden="1" customHeight="1">
      <c r="A33" s="6"/>
      <c r="C33" s="50"/>
      <c r="D33" s="6"/>
      <c r="E33" s="6"/>
      <c r="G33" s="6"/>
      <c r="H33" s="6"/>
      <c r="I33" s="6"/>
      <c r="J33" s="6"/>
      <c r="K33" s="6"/>
      <c r="L33" s="6"/>
      <c r="M33" s="6"/>
      <c r="N33" s="6"/>
      <c r="O33" s="88"/>
      <c r="P33" s="6"/>
      <c r="R33" s="6"/>
      <c r="V33" s="27"/>
      <c r="Y33" s="27"/>
      <c r="AA33" s="27"/>
      <c r="AB33" s="27"/>
      <c r="AG33" s="27"/>
      <c r="AH33" s="27"/>
      <c r="AI33" s="27"/>
      <c r="AK33" s="6"/>
      <c r="AM33" s="6"/>
      <c r="AN33" s="6"/>
      <c r="AO33" s="6"/>
      <c r="AP33" s="6"/>
      <c r="AQ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s="267" customFormat="1" ht="15" hidden="1" customHeight="1">
      <c r="A34" s="6"/>
      <c r="C34" s="50"/>
      <c r="D34" s="6"/>
      <c r="E34" s="6"/>
      <c r="G34" s="6"/>
      <c r="H34" s="6"/>
      <c r="I34" s="6"/>
      <c r="J34" s="6"/>
      <c r="K34" s="6"/>
      <c r="L34" s="6"/>
      <c r="M34" s="6"/>
      <c r="N34" s="6"/>
      <c r="O34" s="88"/>
      <c r="P34" s="6"/>
      <c r="R34" s="6"/>
      <c r="V34" s="27"/>
      <c r="Y34" s="27"/>
      <c r="AA34" s="27"/>
      <c r="AB34" s="27"/>
      <c r="AG34" s="27"/>
      <c r="AH34" s="27"/>
      <c r="AI34" s="27"/>
      <c r="AK34" s="6"/>
      <c r="AM34" s="6"/>
      <c r="AN34" s="6"/>
      <c r="AO34" s="6"/>
      <c r="AP34" s="6"/>
      <c r="AQ34" s="6"/>
    </row>
    <row r="35" spans="1:103" s="267" customFormat="1" ht="15" hidden="1" customHeight="1">
      <c r="A35" s="6"/>
      <c r="C35" s="50"/>
      <c r="D35" s="6"/>
      <c r="E35" s="6"/>
      <c r="G35" s="6"/>
      <c r="H35" s="6"/>
      <c r="I35" s="6"/>
      <c r="J35" s="6"/>
      <c r="K35" s="6"/>
      <c r="L35" s="6"/>
      <c r="M35" s="6"/>
      <c r="N35" s="6"/>
      <c r="O35" s="88"/>
      <c r="P35" s="6"/>
      <c r="R35" s="6"/>
      <c r="V35" s="27"/>
      <c r="Y35" s="27"/>
      <c r="AA35" s="27"/>
      <c r="AB35" s="27"/>
      <c r="AG35" s="27"/>
      <c r="AH35" s="27"/>
      <c r="AI35" s="27"/>
      <c r="AK35" s="6"/>
      <c r="AM35" s="6"/>
      <c r="AN35" s="6"/>
      <c r="AO35" s="6"/>
      <c r="AP35" s="6"/>
      <c r="AQ35" s="6"/>
    </row>
    <row r="36" spans="1:103" s="267" customFormat="1" ht="15" hidden="1" customHeight="1">
      <c r="A36" s="6"/>
      <c r="C36" s="50"/>
      <c r="D36" s="6"/>
      <c r="E36" s="6"/>
      <c r="G36" s="6"/>
      <c r="H36" s="6"/>
      <c r="I36" s="6"/>
      <c r="J36" s="6"/>
      <c r="K36" s="6"/>
      <c r="L36" s="6"/>
      <c r="M36" s="6"/>
      <c r="N36" s="6"/>
      <c r="O36" s="88"/>
      <c r="P36" s="6"/>
      <c r="R36" s="6"/>
      <c r="V36" s="27"/>
      <c r="Y36" s="27"/>
      <c r="AA36" s="27"/>
      <c r="AB36" s="27"/>
      <c r="AG36" s="27"/>
      <c r="AH36" s="27"/>
      <c r="AI36" s="27"/>
      <c r="AK36" s="6"/>
      <c r="AM36" s="6"/>
      <c r="AN36" s="6"/>
      <c r="AO36" s="6"/>
      <c r="AP36" s="6"/>
      <c r="AQ36" s="6"/>
    </row>
    <row r="37" spans="1:103" s="267" customFormat="1" ht="15" hidden="1" customHeight="1">
      <c r="A37" s="6"/>
      <c r="C37" s="50"/>
      <c r="D37" s="6"/>
      <c r="E37" s="6"/>
      <c r="G37" s="6"/>
      <c r="H37" s="6"/>
      <c r="I37" s="6"/>
      <c r="J37" s="6"/>
      <c r="K37" s="6"/>
      <c r="L37" s="6"/>
      <c r="M37" s="6"/>
      <c r="N37" s="6"/>
      <c r="O37" s="88"/>
      <c r="P37" s="6"/>
      <c r="R37" s="6"/>
      <c r="V37" s="27"/>
      <c r="Y37" s="27"/>
      <c r="AA37" s="27"/>
      <c r="AB37" s="27"/>
      <c r="AG37" s="27"/>
      <c r="AH37" s="27"/>
      <c r="AI37" s="27"/>
      <c r="AK37" s="6"/>
      <c r="AM37" s="6"/>
      <c r="AN37" s="6"/>
      <c r="AO37" s="6"/>
      <c r="AP37" s="6"/>
      <c r="AQ37" s="6"/>
    </row>
    <row r="38" spans="1:103" s="267" customFormat="1" ht="15" hidden="1" customHeight="1">
      <c r="A38" s="6"/>
      <c r="C38" s="50"/>
      <c r="D38" s="6"/>
      <c r="E38" s="6"/>
      <c r="G38" s="6"/>
      <c r="H38" s="6"/>
      <c r="I38" s="6"/>
      <c r="J38" s="6"/>
      <c r="K38" s="6"/>
      <c r="L38" s="6"/>
      <c r="M38" s="6"/>
      <c r="N38" s="6"/>
      <c r="O38" s="88"/>
      <c r="P38" s="6"/>
      <c r="R38" s="6"/>
      <c r="V38" s="27"/>
      <c r="Y38" s="27"/>
      <c r="AA38" s="27"/>
      <c r="AB38" s="27"/>
      <c r="AG38" s="27"/>
      <c r="AH38" s="27"/>
      <c r="AI38" s="27"/>
      <c r="AK38" s="6"/>
      <c r="AM38" s="6"/>
      <c r="AN38" s="6"/>
      <c r="AO38" s="6"/>
      <c r="AP38" s="6"/>
      <c r="AQ38" s="6"/>
    </row>
    <row r="39" spans="1:103" s="267" customFormat="1" ht="15" hidden="1" customHeight="1">
      <c r="A39" s="6"/>
      <c r="C39" s="50"/>
      <c r="D39" s="6"/>
      <c r="E39" s="6"/>
      <c r="G39" s="6"/>
      <c r="H39" s="6"/>
      <c r="I39" s="6"/>
      <c r="J39" s="6"/>
      <c r="K39" s="6"/>
      <c r="L39" s="6"/>
      <c r="M39" s="6"/>
      <c r="N39" s="6"/>
      <c r="O39" s="88"/>
      <c r="P39" s="6"/>
      <c r="R39" s="6"/>
      <c r="V39" s="27"/>
      <c r="Y39" s="27"/>
      <c r="AA39" s="27"/>
      <c r="AB39" s="27"/>
      <c r="AG39" s="27"/>
      <c r="AH39" s="27"/>
      <c r="AI39" s="27"/>
      <c r="AK39" s="6"/>
      <c r="AM39" s="6"/>
      <c r="AN39" s="6"/>
      <c r="AO39" s="6"/>
      <c r="AP39" s="6"/>
      <c r="AQ39" s="6"/>
    </row>
    <row r="40" spans="1:103" s="267" customFormat="1" ht="15" hidden="1" customHeight="1">
      <c r="A40" s="6"/>
      <c r="C40" s="50"/>
      <c r="D40" s="6"/>
      <c r="E40" s="6"/>
      <c r="G40" s="6"/>
      <c r="H40" s="6"/>
      <c r="I40" s="6"/>
      <c r="J40" s="6"/>
      <c r="K40" s="6"/>
      <c r="L40" s="6"/>
      <c r="M40" s="6"/>
      <c r="N40" s="6"/>
      <c r="O40" s="88"/>
      <c r="P40" s="6"/>
      <c r="R40" s="6"/>
      <c r="V40" s="27"/>
      <c r="Y40" s="27"/>
      <c r="AA40" s="27"/>
      <c r="AB40" s="27"/>
      <c r="AG40" s="27"/>
      <c r="AH40" s="27"/>
      <c r="AI40" s="27"/>
      <c r="AK40" s="6"/>
      <c r="AM40" s="6"/>
      <c r="AN40" s="6"/>
      <c r="AO40" s="6"/>
      <c r="AP40" s="6"/>
      <c r="AQ40" s="6"/>
    </row>
    <row r="41" spans="1:103" s="267" customFormat="1" ht="15" hidden="1" customHeight="1">
      <c r="A41" s="6"/>
      <c r="C41" s="50"/>
      <c r="D41" s="6"/>
      <c r="E41" s="6"/>
      <c r="G41" s="6"/>
      <c r="H41" s="6"/>
      <c r="I41" s="6"/>
      <c r="J41" s="6"/>
      <c r="K41" s="6"/>
      <c r="L41" s="6"/>
      <c r="M41" s="6"/>
      <c r="N41" s="6"/>
      <c r="O41" s="88"/>
      <c r="P41" s="6"/>
      <c r="R41" s="6"/>
      <c r="V41" s="27"/>
      <c r="Y41" s="27"/>
      <c r="AA41" s="27"/>
      <c r="AB41" s="27"/>
      <c r="AG41" s="27"/>
      <c r="AH41" s="27"/>
      <c r="AI41" s="27"/>
      <c r="AK41" s="6"/>
      <c r="AM41" s="6"/>
      <c r="AN41" s="6"/>
      <c r="AO41" s="6"/>
      <c r="AP41" s="6"/>
      <c r="AQ41" s="6"/>
    </row>
    <row r="42" spans="1:103" s="267" customFormat="1" ht="15" customHeight="1">
      <c r="A42" s="6"/>
      <c r="C42" s="50"/>
      <c r="D42" s="6"/>
      <c r="E42" s="6"/>
      <c r="G42" s="6"/>
      <c r="H42" s="6"/>
      <c r="I42" s="6"/>
      <c r="J42" s="6"/>
      <c r="K42" s="6"/>
      <c r="L42" s="6"/>
      <c r="M42" s="6"/>
      <c r="N42" s="6"/>
      <c r="O42" s="88"/>
      <c r="P42" s="6"/>
      <c r="R42" s="6"/>
      <c r="V42" s="27"/>
      <c r="Y42" s="27"/>
      <c r="AA42" s="27"/>
      <c r="AB42" s="27"/>
      <c r="AG42" s="27"/>
      <c r="AH42" s="27"/>
      <c r="AI42" s="27"/>
      <c r="AK42" s="6"/>
      <c r="AM42" s="6"/>
      <c r="AN42" s="6"/>
      <c r="AO42" s="6"/>
      <c r="AP42" s="6"/>
      <c r="AQ42" s="6"/>
    </row>
    <row r="43" spans="1:103" s="267" customFormat="1" ht="15" customHeight="1">
      <c r="A43" s="6"/>
      <c r="C43" s="50"/>
      <c r="D43" s="6"/>
      <c r="E43" s="6"/>
      <c r="G43" s="6"/>
      <c r="H43" s="6"/>
      <c r="I43" s="6"/>
      <c r="J43" s="6"/>
      <c r="K43" s="6"/>
      <c r="L43" s="6"/>
      <c r="M43" s="6"/>
      <c r="N43" s="6"/>
      <c r="O43" s="88"/>
      <c r="P43" s="6"/>
      <c r="R43" s="6"/>
      <c r="V43" s="27"/>
      <c r="Y43" s="27"/>
      <c r="AA43" s="27"/>
      <c r="AB43" s="27"/>
      <c r="AG43" s="27"/>
      <c r="AH43" s="27"/>
      <c r="AI43" s="27"/>
      <c r="AK43" s="6"/>
      <c r="AM43" s="6"/>
      <c r="AN43" s="6"/>
      <c r="AO43" s="6"/>
      <c r="AP43" s="6"/>
      <c r="AQ43" s="6"/>
    </row>
    <row r="44" spans="1:103" s="267" customFormat="1" ht="15" customHeight="1">
      <c r="A44" s="6"/>
      <c r="C44" s="50"/>
      <c r="D44" s="6"/>
      <c r="E44" s="6"/>
      <c r="G44" s="6"/>
      <c r="H44" s="6"/>
      <c r="I44" s="6"/>
      <c r="J44" s="6"/>
      <c r="K44" s="6"/>
      <c r="L44" s="6"/>
      <c r="M44" s="6"/>
      <c r="N44" s="6"/>
      <c r="O44" s="88"/>
      <c r="P44" s="6"/>
      <c r="R44" s="6"/>
      <c r="V44" s="27"/>
      <c r="Y44" s="27"/>
      <c r="AA44" s="27"/>
      <c r="AB44" s="27"/>
      <c r="AG44" s="27"/>
      <c r="AH44" s="27"/>
      <c r="AI44" s="27"/>
      <c r="AK44" s="6"/>
      <c r="AM44" s="6"/>
      <c r="AN44" s="6"/>
      <c r="AO44" s="6"/>
      <c r="AP44" s="6"/>
      <c r="AQ44" s="6"/>
    </row>
    <row r="47" spans="1:103" s="267" customFormat="1" ht="15" customHeight="1">
      <c r="A47" s="6"/>
      <c r="C47" s="50"/>
      <c r="D47" s="6"/>
      <c r="E47" s="6"/>
      <c r="G47" s="6"/>
      <c r="H47" s="6"/>
      <c r="I47" s="6"/>
      <c r="J47" s="6"/>
      <c r="K47" s="6"/>
      <c r="L47" s="6"/>
      <c r="M47" s="6"/>
      <c r="N47" s="6"/>
      <c r="O47" s="88"/>
      <c r="P47" s="6"/>
      <c r="R47" s="6"/>
      <c r="V47" s="27"/>
      <c r="Y47" s="27"/>
      <c r="AA47" s="27"/>
      <c r="AB47" s="27"/>
      <c r="AG47" s="27"/>
      <c r="AH47" s="27"/>
      <c r="AI47" s="27"/>
      <c r="AK47" s="6"/>
      <c r="AM47" s="6"/>
      <c r="AN47" s="6"/>
      <c r="AO47" s="6"/>
      <c r="AP47" s="6"/>
      <c r="AQ47" s="6"/>
    </row>
    <row r="49" spans="1:43" s="267" customFormat="1" ht="15" customHeight="1">
      <c r="A49" s="6"/>
      <c r="C49" s="50"/>
      <c r="D49" s="6"/>
      <c r="E49" s="6"/>
      <c r="G49" s="6"/>
      <c r="H49" s="6"/>
      <c r="I49" s="6"/>
      <c r="J49" s="6"/>
      <c r="K49" s="6"/>
      <c r="L49" s="6"/>
      <c r="M49" s="6"/>
      <c r="N49" s="6"/>
      <c r="O49" s="88"/>
      <c r="P49" s="6"/>
      <c r="R49" s="6"/>
      <c r="V49" s="27"/>
      <c r="Y49" s="27"/>
      <c r="AA49" s="27"/>
      <c r="AB49" s="27"/>
      <c r="AG49" s="27"/>
      <c r="AH49" s="27"/>
      <c r="AI49" s="27"/>
      <c r="AK49" s="6"/>
      <c r="AM49" s="6"/>
      <c r="AN49" s="6"/>
      <c r="AO49" s="6"/>
      <c r="AP49" s="6"/>
      <c r="AQ49" s="6"/>
    </row>
    <row r="50" spans="1:43" s="267" customFormat="1" ht="15" customHeight="1">
      <c r="A50" s="6"/>
      <c r="C50" s="50"/>
      <c r="D50" s="6"/>
      <c r="E50" s="6"/>
      <c r="G50" s="6"/>
      <c r="H50" s="6"/>
      <c r="I50" s="6"/>
      <c r="J50" s="6"/>
      <c r="K50" s="6"/>
      <c r="L50" s="6"/>
      <c r="M50" s="6"/>
      <c r="N50" s="6"/>
      <c r="O50" s="88"/>
      <c r="P50" s="6"/>
      <c r="R50" s="6"/>
      <c r="V50" s="27"/>
      <c r="Y50" s="27"/>
      <c r="AA50" s="27"/>
      <c r="AB50" s="27"/>
      <c r="AG50" s="27"/>
      <c r="AH50" s="27"/>
      <c r="AI50" s="27"/>
      <c r="AK50" s="6"/>
      <c r="AM50" s="6"/>
      <c r="AN50" s="6"/>
      <c r="AO50" s="6"/>
      <c r="AP50" s="6"/>
      <c r="AQ50" s="6"/>
    </row>
    <row r="52" spans="1:43" s="267" customFormat="1" ht="15" customHeight="1">
      <c r="A52" s="6"/>
      <c r="C52" s="50"/>
      <c r="D52" s="6"/>
      <c r="E52" s="6"/>
      <c r="G52" s="6"/>
      <c r="H52" s="6"/>
      <c r="I52" s="6"/>
      <c r="J52" s="6"/>
      <c r="K52" s="6"/>
      <c r="L52" s="6"/>
      <c r="M52" s="6"/>
      <c r="N52" s="6"/>
      <c r="O52" s="88"/>
      <c r="P52" s="6"/>
      <c r="R52" s="6"/>
      <c r="V52" s="27"/>
      <c r="Y52" s="27"/>
      <c r="AA52" s="27"/>
      <c r="AB52" s="27"/>
      <c r="AG52" s="27"/>
      <c r="AH52" s="27"/>
      <c r="AI52" s="27"/>
      <c r="AK52" s="6"/>
      <c r="AM52" s="6"/>
      <c r="AN52" s="6"/>
      <c r="AO52" s="6"/>
      <c r="AP52" s="6"/>
      <c r="AQ52" s="6"/>
    </row>
  </sheetData>
  <mergeCells count="35">
    <mergeCell ref="A20:E20"/>
    <mergeCell ref="A21:E21"/>
    <mergeCell ref="AP5:AP7"/>
    <mergeCell ref="AQ5:AQ6"/>
    <mergeCell ref="AR5:AR7"/>
    <mergeCell ref="AS5:AS7"/>
    <mergeCell ref="AT5:AT7"/>
    <mergeCell ref="AU5:AU7"/>
    <mergeCell ref="AC5:AF5"/>
    <mergeCell ref="AI5:AI7"/>
    <mergeCell ref="AL5:AL7"/>
    <mergeCell ref="AM5:AM7"/>
    <mergeCell ref="AN5:AN7"/>
    <mergeCell ref="AO5:AO6"/>
    <mergeCell ref="T5:T7"/>
    <mergeCell ref="U5:U7"/>
    <mergeCell ref="V5:V7"/>
    <mergeCell ref="W5:Z5"/>
    <mergeCell ref="AA5:AA7"/>
    <mergeCell ref="AB5:AB7"/>
    <mergeCell ref="G5:G7"/>
    <mergeCell ref="H5:H7"/>
    <mergeCell ref="I5:J5"/>
    <mergeCell ref="L5:Q7"/>
    <mergeCell ref="R5:R7"/>
    <mergeCell ref="S5:S7"/>
    <mergeCell ref="I6:I7"/>
    <mergeCell ref="J6:J7"/>
    <mergeCell ref="K6:K7"/>
    <mergeCell ref="A5:A7"/>
    <mergeCell ref="B5:B7"/>
    <mergeCell ref="C5:C7"/>
    <mergeCell ref="D5:D7"/>
    <mergeCell ref="E5:E7"/>
    <mergeCell ref="F5:F7"/>
  </mergeCells>
  <printOptions horizontalCentered="1"/>
  <pageMargins left="1.1811023622047245" right="0" top="1.1811023622047245" bottom="0.39370078740157483" header="0.31496062992125984" footer="0.31496062992125984"/>
  <pageSetup paperSize="5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</vt:i4>
      </vt:variant>
    </vt:vector>
  </HeadingPairs>
  <TitlesOfParts>
    <vt:vector size="27" baseType="lpstr">
      <vt:lpstr>DIREKSI</vt:lpstr>
      <vt:lpstr>STAFF</vt:lpstr>
      <vt:lpstr>SLIP-STAFF</vt:lpstr>
      <vt:lpstr>GENERAL</vt:lpstr>
      <vt:lpstr>SLIP-GENERAL</vt:lpstr>
      <vt:lpstr>PRODUKSI 1</vt:lpstr>
      <vt:lpstr>SLIP-PRODUKSI 1</vt:lpstr>
      <vt:lpstr>PRODUKSI 2</vt:lpstr>
      <vt:lpstr>SLIP-PRODUKSI 2</vt:lpstr>
      <vt:lpstr>DIREKSI ubah nama</vt:lpstr>
      <vt:lpstr>STAFF ubah nama</vt:lpstr>
      <vt:lpstr>PRODUKSI ubah nama</vt:lpstr>
      <vt:lpstr>DIREKSI!Print_Area</vt:lpstr>
      <vt:lpstr>'DIREKSI ubah nama'!Print_Area</vt:lpstr>
      <vt:lpstr>GENERAL!Print_Area</vt:lpstr>
      <vt:lpstr>'PRODUKSI 1'!Print_Area</vt:lpstr>
      <vt:lpstr>'PRODUKSI 2'!Print_Area</vt:lpstr>
      <vt:lpstr>'PRODUKSI ubah nama'!Print_Area</vt:lpstr>
      <vt:lpstr>'SLIP-GENERAL'!Print_Area</vt:lpstr>
      <vt:lpstr>'SLIP-PRODUKSI 1'!Print_Area</vt:lpstr>
      <vt:lpstr>'SLIP-PRODUKSI 2'!Print_Area</vt:lpstr>
      <vt:lpstr>'SLIP-STAFF'!Print_Area</vt:lpstr>
      <vt:lpstr>STAFF!Print_Area</vt:lpstr>
      <vt:lpstr>'STAFF ubah nama'!Print_Area</vt:lpstr>
      <vt:lpstr>'PRODUKSI 1'!Print_Titles</vt:lpstr>
      <vt:lpstr>'PRODUKSI 2'!Print_Titles</vt:lpstr>
      <vt:lpstr>'PRODUKSI ubah nama'!Print_Titles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</dc:creator>
  <cp:lastModifiedBy>Kartika Aulia</cp:lastModifiedBy>
  <cp:lastPrinted>2025-12-12T03:39:21Z</cp:lastPrinted>
  <dcterms:created xsi:type="dcterms:W3CDTF">2020-01-09T08:46:03Z</dcterms:created>
  <dcterms:modified xsi:type="dcterms:W3CDTF">2026-01-16T11:22:10Z</dcterms:modified>
</cp:coreProperties>
</file>